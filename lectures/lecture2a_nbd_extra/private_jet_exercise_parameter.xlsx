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anwu/Documents/GitHub/mktg-7760/lectures/lecture2a_nbd_extra/"/>
    </mc:Choice>
  </mc:AlternateContent>
  <xr:revisionPtr revIDLastSave="0" documentId="13_ncr:1_{6D3C96ED-0789-0A44-B5D3-2F45B5EA84BF}" xr6:coauthVersionLast="47" xr6:coauthVersionMax="47" xr10:uidLastSave="{00000000-0000-0000-0000-000000000000}"/>
  <bookViews>
    <workbookView xWindow="28800" yWindow="-1140" windowWidth="38400" windowHeight="21100" activeTab="4" xr2:uid="{C4783FA0-D666-5547-9958-AFE57648589B}"/>
  </bookViews>
  <sheets>
    <sheet name="Individual Data" sheetId="2" r:id="rId1"/>
    <sheet name="NBD fit (bad)" sheetId="19" r:id="rId2"/>
    <sheet name="zerospike" sheetId="21" r:id="rId3"/>
    <sheet name="roundtrip" sheetId="20" r:id="rId4"/>
    <sheet name="roundtrip+zerospike" sheetId="22" r:id="rId5"/>
    <sheet name="roundtrip+zerospike+seg" sheetId="23" r:id="rId6"/>
  </sheets>
  <definedNames>
    <definedName name="_xlnm.Print_Area" localSheetId="0">'Individual Data'!$A$2:$E$48</definedName>
    <definedName name="_xlnm.Print_Area" localSheetId="1">'NBD fit (bad)'!$A$2:$E$48</definedName>
    <definedName name="solver_adj" localSheetId="1" hidden="1">'NBD fit (bad)'!$B$1:$B$2</definedName>
    <definedName name="solver_adj" localSheetId="3" hidden="1">roundtrip!$B$1:$B$3</definedName>
    <definedName name="solver_adj" localSheetId="4" hidden="1">'roundtrip+zerospike'!$B$1:$B$4</definedName>
    <definedName name="solver_adj" localSheetId="5" hidden="1">'roundtrip+zerospike+seg'!$B$1:$B$7</definedName>
    <definedName name="solver_adj" localSheetId="2" hidden="1">zerospike!$B$1:$B$3</definedName>
    <definedName name="solver_cvg" localSheetId="1" hidden="1">0.0001</definedName>
    <definedName name="solver_cvg" localSheetId="3" hidden="1">0.0001</definedName>
    <definedName name="solver_cvg" localSheetId="4" hidden="1">0.0001</definedName>
    <definedName name="solver_cvg" localSheetId="5" hidden="1">0.0001</definedName>
    <definedName name="solver_cvg" localSheetId="2" hidden="1">0.0001</definedName>
    <definedName name="solver_drv" localSheetId="1" hidden="1">1</definedName>
    <definedName name="solver_drv" localSheetId="3" hidden="1">1</definedName>
    <definedName name="solver_drv" localSheetId="4" hidden="1">1</definedName>
    <definedName name="solver_drv" localSheetId="5" hidden="1">1</definedName>
    <definedName name="solver_drv" localSheetId="2" hidden="1">1</definedName>
    <definedName name="solver_eng" localSheetId="3" hidden="1">1</definedName>
    <definedName name="solver_eng" localSheetId="4" hidden="1">1</definedName>
    <definedName name="solver_eng" localSheetId="5" hidden="1">1</definedName>
    <definedName name="solver_eng" localSheetId="2" hidden="1">1</definedName>
    <definedName name="solver_est" localSheetId="1" hidden="1">1</definedName>
    <definedName name="solver_itr" localSheetId="1" hidden="1">100</definedName>
    <definedName name="solver_itr" localSheetId="3" hidden="1">2147483647</definedName>
    <definedName name="solver_itr" localSheetId="4" hidden="1">2147483647</definedName>
    <definedName name="solver_itr" localSheetId="5" hidden="1">2147483647</definedName>
    <definedName name="solver_itr" localSheetId="2" hidden="1">2147483647</definedName>
    <definedName name="solver_lhs1" localSheetId="1" hidden="1">'NBD fit (bad)'!$B$1:$B$2</definedName>
    <definedName name="solver_lhs1" localSheetId="3" hidden="1">roundtrip!$B$1:$B$3</definedName>
    <definedName name="solver_lhs1" localSheetId="4" hidden="1">'roundtrip+zerospike'!$B$1:$B$4</definedName>
    <definedName name="solver_lhs1" localSheetId="5" hidden="1">'roundtrip+zerospike+seg'!$B$1:$B$7</definedName>
    <definedName name="solver_lhs1" localSheetId="2" hidden="1">zerospike!$B$1:$B$3</definedName>
    <definedName name="solver_lhs2" localSheetId="4" hidden="1">'roundtrip+zerospike'!$B$4</definedName>
    <definedName name="solver_lhs2" localSheetId="5" hidden="1">'roundtrip+zerospike+seg'!$B$5</definedName>
    <definedName name="solver_lhs2" localSheetId="2" hidden="1">zerospike!$B$3</definedName>
    <definedName name="solver_lhs3" localSheetId="5" hidden="1">'roundtrip+zerospike+seg'!$B$7</definedName>
    <definedName name="solver_lin" localSheetId="1" hidden="1">2</definedName>
    <definedName name="solver_lin" localSheetId="3" hidden="1">2</definedName>
    <definedName name="solver_lin" localSheetId="4" hidden="1">2</definedName>
    <definedName name="solver_lin" localSheetId="5" hidden="1">2</definedName>
    <definedName name="solver_lin" localSheetId="2" hidden="1">2</definedName>
    <definedName name="solver_mip" localSheetId="3" hidden="1">2147483647</definedName>
    <definedName name="solver_mip" localSheetId="4" hidden="1">2147483647</definedName>
    <definedName name="solver_mip" localSheetId="5" hidden="1">2147483647</definedName>
    <definedName name="solver_mip" localSheetId="2" hidden="1">2147483647</definedName>
    <definedName name="solver_mni" localSheetId="3" hidden="1">30</definedName>
    <definedName name="solver_mni" localSheetId="4" hidden="1">30</definedName>
    <definedName name="solver_mni" localSheetId="5" hidden="1">30</definedName>
    <definedName name="solver_mni" localSheetId="2" hidden="1">30</definedName>
    <definedName name="solver_mrt" localSheetId="3" hidden="1">0.075</definedName>
    <definedName name="solver_mrt" localSheetId="4" hidden="1">0.075</definedName>
    <definedName name="solver_mrt" localSheetId="5" hidden="1">0.075</definedName>
    <definedName name="solver_mrt" localSheetId="2" hidden="1">0.075</definedName>
    <definedName name="solver_msl" localSheetId="3" hidden="1">2</definedName>
    <definedName name="solver_msl" localSheetId="4" hidden="1">2</definedName>
    <definedName name="solver_msl" localSheetId="5" hidden="1">2</definedName>
    <definedName name="solver_msl" localSheetId="2" hidden="1">2</definedName>
    <definedName name="solver_neg" localSheetId="1" hidden="1">2</definedName>
    <definedName name="solver_neg" localSheetId="3" hidden="1">1</definedName>
    <definedName name="solver_neg" localSheetId="4" hidden="1">1</definedName>
    <definedName name="solver_neg" localSheetId="5" hidden="1">1</definedName>
    <definedName name="solver_neg" localSheetId="2" hidden="1">1</definedName>
    <definedName name="solver_nod" localSheetId="3" hidden="1">2147483647</definedName>
    <definedName name="solver_nod" localSheetId="4" hidden="1">2147483647</definedName>
    <definedName name="solver_nod" localSheetId="5" hidden="1">2147483647</definedName>
    <definedName name="solver_nod" localSheetId="2" hidden="1">2147483647</definedName>
    <definedName name="solver_num" localSheetId="1" hidden="1">1</definedName>
    <definedName name="solver_num" localSheetId="3" hidden="1">1</definedName>
    <definedName name="solver_num" localSheetId="4" hidden="1">2</definedName>
    <definedName name="solver_num" localSheetId="5" hidden="1">3</definedName>
    <definedName name="solver_num" localSheetId="2" hidden="1">2</definedName>
    <definedName name="solver_nwt" localSheetId="1" hidden="1">1</definedName>
    <definedName name="solver_opt" localSheetId="1" hidden="1">'NBD fit (bad)'!$B$3</definedName>
    <definedName name="solver_opt" localSheetId="3" hidden="1">roundtrip!$B$4</definedName>
    <definedName name="solver_opt" localSheetId="4" hidden="1">'roundtrip+zerospike'!$B$5</definedName>
    <definedName name="solver_opt" localSheetId="5" hidden="1">'roundtrip+zerospike+seg'!$B$8</definedName>
    <definedName name="solver_opt" localSheetId="2" hidden="1">zerospike!$B$4</definedName>
    <definedName name="solver_pre" localSheetId="1" hidden="1">0.000001</definedName>
    <definedName name="solver_pre" localSheetId="3" hidden="1">0.000001</definedName>
    <definedName name="solver_pre" localSheetId="4" hidden="1">0.000001</definedName>
    <definedName name="solver_pre" localSheetId="5" hidden="1">0.000001</definedName>
    <definedName name="solver_pre" localSheetId="2" hidden="1">0.000001</definedName>
    <definedName name="solver_rbv" localSheetId="3" hidden="1">1</definedName>
    <definedName name="solver_rbv" localSheetId="4" hidden="1">1</definedName>
    <definedName name="solver_rbv" localSheetId="5" hidden="1">1</definedName>
    <definedName name="solver_rbv" localSheetId="2" hidden="1">1</definedName>
    <definedName name="solver_rel1" localSheetId="1" hidden="1">3</definedName>
    <definedName name="solver_rel1" localSheetId="3" hidden="1">3</definedName>
    <definedName name="solver_rel1" localSheetId="4" hidden="1">3</definedName>
    <definedName name="solver_rel1" localSheetId="5" hidden="1">3</definedName>
    <definedName name="solver_rel1" localSheetId="2" hidden="1">3</definedName>
    <definedName name="solver_rel2" localSheetId="4" hidden="1">1</definedName>
    <definedName name="solver_rel2" localSheetId="5" hidden="1">1</definedName>
    <definedName name="solver_rel2" localSheetId="2" hidden="1">1</definedName>
    <definedName name="solver_rel3" localSheetId="5" hidden="1">1</definedName>
    <definedName name="solver_rhs1" localSheetId="1" hidden="1">0.0001</definedName>
    <definedName name="solver_rhs1" localSheetId="3" hidden="1">0.00001</definedName>
    <definedName name="solver_rhs1" localSheetId="4" hidden="1">0.0000001</definedName>
    <definedName name="solver_rhs1" localSheetId="5" hidden="1">0.000001</definedName>
    <definedName name="solver_rhs1" localSheetId="2" hidden="1">0.00001</definedName>
    <definedName name="solver_rhs2" localSheetId="4" hidden="1">0.99999</definedName>
    <definedName name="solver_rhs2" localSheetId="5" hidden="1">0.99999</definedName>
    <definedName name="solver_rhs2" localSheetId="2" hidden="1">0.999999</definedName>
    <definedName name="solver_rhs3" localSheetId="5" hidden="1">0.99999</definedName>
    <definedName name="solver_rlx" localSheetId="3" hidden="1">2</definedName>
    <definedName name="solver_rlx" localSheetId="4" hidden="1">2</definedName>
    <definedName name="solver_rlx" localSheetId="5" hidden="1">2</definedName>
    <definedName name="solver_rlx" localSheetId="2" hidden="1">1</definedName>
    <definedName name="solver_rsd" localSheetId="3" hidden="1">0</definedName>
    <definedName name="solver_rsd" localSheetId="4" hidden="1">0</definedName>
    <definedName name="solver_rsd" localSheetId="5" hidden="1">0</definedName>
    <definedName name="solver_rsd" localSheetId="2" hidden="1">0</definedName>
    <definedName name="solver_scl" localSheetId="1" hidden="1">2</definedName>
    <definedName name="solver_scl" localSheetId="3" hidden="1">1</definedName>
    <definedName name="solver_scl" localSheetId="4" hidden="1">1</definedName>
    <definedName name="solver_scl" localSheetId="5" hidden="1">1</definedName>
    <definedName name="solver_scl" localSheetId="2" hidden="1">2</definedName>
    <definedName name="solver_sho" localSheetId="1" hidden="1">2</definedName>
    <definedName name="solver_sho" localSheetId="3" hidden="1">2</definedName>
    <definedName name="solver_sho" localSheetId="4" hidden="1">2</definedName>
    <definedName name="solver_sho" localSheetId="5" hidden="1">2</definedName>
    <definedName name="solver_sho" localSheetId="2" hidden="1">2</definedName>
    <definedName name="solver_ssz" localSheetId="3" hidden="1">100</definedName>
    <definedName name="solver_ssz" localSheetId="4" hidden="1">100</definedName>
    <definedName name="solver_ssz" localSheetId="5" hidden="1">100</definedName>
    <definedName name="solver_ssz" localSheetId="2" hidden="1">100</definedName>
    <definedName name="solver_tim" localSheetId="1" hidden="1">100</definedName>
    <definedName name="solver_tim" localSheetId="3" hidden="1">2147483647</definedName>
    <definedName name="solver_tim" localSheetId="4" hidden="1">2147483647</definedName>
    <definedName name="solver_tim" localSheetId="5" hidden="1">2147483647</definedName>
    <definedName name="solver_tim" localSheetId="2" hidden="1">2147483647</definedName>
    <definedName name="solver_tol" localSheetId="1" hidden="1">0.05</definedName>
    <definedName name="solver_tol" localSheetId="3" hidden="1">0.01</definedName>
    <definedName name="solver_tol" localSheetId="4" hidden="1">0.01</definedName>
    <definedName name="solver_tol" localSheetId="5" hidden="1">0.01</definedName>
    <definedName name="solver_tol" localSheetId="2" hidden="1">0.01</definedName>
    <definedName name="solver_typ" localSheetId="1" hidden="1">1</definedName>
    <definedName name="solver_typ" localSheetId="3" hidden="1">1</definedName>
    <definedName name="solver_typ" localSheetId="4" hidden="1">1</definedName>
    <definedName name="solver_typ" localSheetId="5" hidden="1">1</definedName>
    <definedName name="solver_typ" localSheetId="2" hidden="1">1</definedName>
    <definedName name="solver_val" localSheetId="1" hidden="1">0</definedName>
    <definedName name="solver_val" localSheetId="3" hidden="1">0</definedName>
    <definedName name="solver_val" localSheetId="4" hidden="1">0</definedName>
    <definedName name="solver_val" localSheetId="5" hidden="1">0</definedName>
    <definedName name="solver_val" localSheetId="2" hidden="1">0</definedName>
    <definedName name="solver_ver" localSheetId="3" hidden="1">2</definedName>
    <definedName name="solver_ver" localSheetId="4" hidden="1">2</definedName>
    <definedName name="solver_ver" localSheetId="5" hidden="1">2</definedName>
    <definedName name="solver_ver" localSheetId="2" hidden="1">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6" i="23" l="1"/>
  <c r="N39" i="23"/>
  <c r="D16" i="23"/>
  <c r="N44" i="23"/>
  <c r="C16" i="23"/>
  <c r="L36" i="22"/>
  <c r="L37" i="22" s="1"/>
  <c r="L35" i="22"/>
  <c r="L32" i="22"/>
  <c r="L31" i="22"/>
  <c r="L30" i="22"/>
  <c r="M9" i="22"/>
  <c r="M10" i="22"/>
  <c r="M11" i="22"/>
  <c r="M12" i="22"/>
  <c r="M13" i="22"/>
  <c r="M14" i="22"/>
  <c r="M15" i="22"/>
  <c r="M16" i="22"/>
  <c r="M17" i="22"/>
  <c r="M18" i="22"/>
  <c r="M19" i="22"/>
  <c r="M20" i="22"/>
  <c r="M21" i="22"/>
  <c r="M22" i="22"/>
  <c r="M23" i="22"/>
  <c r="M24" i="22"/>
  <c r="M25" i="22"/>
  <c r="M26" i="22"/>
  <c r="M27" i="22"/>
  <c r="M28" i="22"/>
  <c r="M8" i="22"/>
  <c r="L9" i="20"/>
  <c r="J30" i="20" s="1"/>
  <c r="J32" i="20" s="1"/>
  <c r="L10" i="20"/>
  <c r="L11" i="20"/>
  <c r="L12" i="20"/>
  <c r="L13" i="20"/>
  <c r="L14" i="20"/>
  <c r="L15" i="20"/>
  <c r="L16" i="20"/>
  <c r="L17" i="20"/>
  <c r="L18" i="20"/>
  <c r="L19" i="20"/>
  <c r="L20" i="20"/>
  <c r="L21" i="20"/>
  <c r="L22" i="20"/>
  <c r="L23" i="20"/>
  <c r="L24" i="20"/>
  <c r="L25" i="20"/>
  <c r="L26" i="20"/>
  <c r="L27" i="20"/>
  <c r="L28" i="20"/>
  <c r="L8" i="20"/>
  <c r="K28" i="20"/>
  <c r="K8" i="20"/>
  <c r="J28" i="20"/>
  <c r="K28" i="22"/>
  <c r="L28" i="22" s="1"/>
  <c r="K8" i="22"/>
  <c r="K27" i="22"/>
  <c r="L27" i="22" s="1"/>
  <c r="K26" i="22"/>
  <c r="L26" i="22" s="1"/>
  <c r="K25" i="22"/>
  <c r="L25" i="22" s="1"/>
  <c r="K24" i="22"/>
  <c r="L24" i="22" s="1"/>
  <c r="K23" i="22"/>
  <c r="L23" i="22" s="1"/>
  <c r="K22" i="22"/>
  <c r="L22" i="22" s="1"/>
  <c r="K21" i="22"/>
  <c r="L21" i="22" s="1"/>
  <c r="K20" i="22"/>
  <c r="L20" i="22" s="1"/>
  <c r="K19" i="22"/>
  <c r="L19" i="22" s="1"/>
  <c r="K18" i="22"/>
  <c r="L18" i="22" s="1"/>
  <c r="K17" i="22"/>
  <c r="L17" i="22" s="1"/>
  <c r="K16" i="22"/>
  <c r="L16" i="22" s="1"/>
  <c r="K15" i="22"/>
  <c r="L15" i="22" s="1"/>
  <c r="K14" i="22"/>
  <c r="L14" i="22" s="1"/>
  <c r="K13" i="22"/>
  <c r="L13" i="22" s="1"/>
  <c r="K12" i="22"/>
  <c r="L12" i="22" s="1"/>
  <c r="K11" i="22"/>
  <c r="L11" i="22" s="1"/>
  <c r="K10" i="22"/>
  <c r="L10" i="22" s="1"/>
  <c r="K9" i="22"/>
  <c r="L9" i="22" s="1"/>
  <c r="L8" i="22"/>
  <c r="D8" i="20"/>
  <c r="C8" i="22"/>
  <c r="C9" i="22" s="1"/>
  <c r="C10" i="22" s="1"/>
  <c r="C11" i="22" s="1"/>
  <c r="C12" i="22" s="1"/>
  <c r="C13" i="22" s="1"/>
  <c r="C14" i="22" s="1"/>
  <c r="C15" i="22" s="1"/>
  <c r="C16" i="22" s="1"/>
  <c r="C17" i="22" s="1"/>
  <c r="C18" i="22" s="1"/>
  <c r="C19" i="22" s="1"/>
  <c r="C20" i="22" s="1"/>
  <c r="C21" i="22" s="1"/>
  <c r="C22" i="22" s="1"/>
  <c r="C23" i="22" s="1"/>
  <c r="C24" i="22" s="1"/>
  <c r="C25" i="22" s="1"/>
  <c r="C26" i="22" s="1"/>
  <c r="C27" i="22" s="1"/>
  <c r="C28" i="22" s="1"/>
  <c r="C29" i="22" s="1"/>
  <c r="C30" i="22" s="1"/>
  <c r="C31" i="22" s="1"/>
  <c r="C32" i="22" s="1"/>
  <c r="C33" i="22" s="1"/>
  <c r="C34" i="22" s="1"/>
  <c r="C35" i="22" s="1"/>
  <c r="C36" i="22" s="1"/>
  <c r="C37" i="22" s="1"/>
  <c r="C38" i="22" s="1"/>
  <c r="C39" i="22" s="1"/>
  <c r="C40" i="22" s="1"/>
  <c r="C41" i="22" s="1"/>
  <c r="C42" i="22" s="1"/>
  <c r="C43" i="22" s="1"/>
  <c r="C44" i="22" s="1"/>
  <c r="C45" i="22" s="1"/>
  <c r="C46" i="22" s="1"/>
  <c r="C47" i="22" s="1"/>
  <c r="C48" i="22" s="1"/>
  <c r="C49" i="22" s="1"/>
  <c r="C50" i="22" s="1"/>
  <c r="D50" i="22" s="1"/>
  <c r="J41" i="20"/>
  <c r="J36" i="20"/>
  <c r="J31" i="20"/>
  <c r="C8" i="20"/>
  <c r="C9" i="20" s="1"/>
  <c r="D9" i="20" s="1"/>
  <c r="J35" i="21"/>
  <c r="J30" i="21"/>
  <c r="E6" i="19"/>
  <c r="C7" i="21"/>
  <c r="C8" i="21" s="1"/>
  <c r="G38" i="19"/>
  <c r="E30" i="2"/>
  <c r="E26" i="2"/>
  <c r="B51" i="2"/>
  <c r="C6" i="19"/>
  <c r="D6" i="19" s="1"/>
  <c r="E16" i="23" l="1"/>
  <c r="F16" i="23" s="1"/>
  <c r="C17" i="23"/>
  <c r="D17" i="23"/>
  <c r="D49" i="22"/>
  <c r="D33" i="22"/>
  <c r="D48" i="22"/>
  <c r="D24" i="22"/>
  <c r="D47" i="22"/>
  <c r="D31" i="22"/>
  <c r="D46" i="22"/>
  <c r="D22" i="22"/>
  <c r="D14" i="22"/>
  <c r="D45" i="22"/>
  <c r="D37" i="22"/>
  <c r="D29" i="22"/>
  <c r="D21" i="22"/>
  <c r="D13" i="22"/>
  <c r="D25" i="22"/>
  <c r="D40" i="22"/>
  <c r="D15" i="22"/>
  <c r="D8" i="22"/>
  <c r="D20" i="22"/>
  <c r="D12" i="22"/>
  <c r="D41" i="22"/>
  <c r="D17" i="22"/>
  <c r="D32" i="22"/>
  <c r="D16" i="22"/>
  <c r="D39" i="22"/>
  <c r="D23" i="22"/>
  <c r="D30" i="22"/>
  <c r="D36" i="22"/>
  <c r="D9" i="22"/>
  <c r="D43" i="22"/>
  <c r="D35" i="22"/>
  <c r="D27" i="22"/>
  <c r="D19" i="22"/>
  <c r="D11" i="22"/>
  <c r="D38" i="22"/>
  <c r="D44" i="22"/>
  <c r="D28" i="22"/>
  <c r="D42" i="22"/>
  <c r="D34" i="22"/>
  <c r="D26" i="22"/>
  <c r="D18" i="22"/>
  <c r="D10" i="22"/>
  <c r="C10" i="20"/>
  <c r="D10" i="20" s="1"/>
  <c r="D7" i="21"/>
  <c r="C9" i="21"/>
  <c r="D8" i="21"/>
  <c r="C7" i="19"/>
  <c r="F6" i="19"/>
  <c r="E17" i="23" l="1"/>
  <c r="D18" i="23"/>
  <c r="C18" i="23"/>
  <c r="E34" i="22"/>
  <c r="F34" i="22" s="1"/>
  <c r="G34" i="22" s="1"/>
  <c r="E35" i="22"/>
  <c r="F35" i="22" s="1"/>
  <c r="G35" i="22" s="1"/>
  <c r="E32" i="22"/>
  <c r="F32" i="22" s="1"/>
  <c r="G32" i="22" s="1"/>
  <c r="E25" i="22"/>
  <c r="F25" i="22" s="1"/>
  <c r="G25" i="22" s="1"/>
  <c r="E46" i="22"/>
  <c r="F46" i="22" s="1"/>
  <c r="G46" i="22" s="1"/>
  <c r="E42" i="22"/>
  <c r="F42" i="22" s="1"/>
  <c r="G42" i="22" s="1"/>
  <c r="E29" i="22"/>
  <c r="F29" i="22" s="1"/>
  <c r="G29" i="22" s="1"/>
  <c r="E28" i="22"/>
  <c r="F28" i="22" s="1"/>
  <c r="G28" i="22" s="1"/>
  <c r="E15" i="22"/>
  <c r="F15" i="22" s="1"/>
  <c r="G15" i="22" s="1"/>
  <c r="E41" i="22"/>
  <c r="F41" i="22" s="1"/>
  <c r="G41" i="22" s="1"/>
  <c r="E44" i="22"/>
  <c r="F44" i="22" s="1"/>
  <c r="G44" i="22" s="1"/>
  <c r="E36" i="22"/>
  <c r="F36" i="22" s="1"/>
  <c r="G36" i="22" s="1"/>
  <c r="E24" i="22"/>
  <c r="F24" i="22" s="1"/>
  <c r="G24" i="22" s="1"/>
  <c r="E10" i="22"/>
  <c r="F10" i="22" s="1"/>
  <c r="G10" i="22" s="1"/>
  <c r="E26" i="22"/>
  <c r="F26" i="22" s="1"/>
  <c r="G26" i="22" s="1"/>
  <c r="E27" i="22"/>
  <c r="F27" i="22" s="1"/>
  <c r="G27" i="22" s="1"/>
  <c r="E16" i="22"/>
  <c r="F16" i="22" s="1"/>
  <c r="G16" i="22" s="1"/>
  <c r="E40" i="22"/>
  <c r="F40" i="22" s="1"/>
  <c r="G40" i="22" s="1"/>
  <c r="E22" i="22"/>
  <c r="F22" i="22" s="1"/>
  <c r="G22" i="22" s="1"/>
  <c r="E43" i="22"/>
  <c r="F43" i="22" s="1"/>
  <c r="G43" i="22" s="1"/>
  <c r="E12" i="22"/>
  <c r="F12" i="22" s="1"/>
  <c r="G12" i="22" s="1"/>
  <c r="E30" i="22"/>
  <c r="F30" i="22" s="1"/>
  <c r="G30" i="22" s="1"/>
  <c r="E23" i="22"/>
  <c r="F23" i="22" s="1"/>
  <c r="G23" i="22" s="1"/>
  <c r="E48" i="22"/>
  <c r="F48" i="22" s="1"/>
  <c r="G48" i="22" s="1"/>
  <c r="E13" i="22"/>
  <c r="F13" i="22" s="1"/>
  <c r="G13" i="22" s="1"/>
  <c r="E9" i="22"/>
  <c r="F9" i="22" s="1"/>
  <c r="G9" i="22" s="1"/>
  <c r="E21" i="22"/>
  <c r="F21" i="22" s="1"/>
  <c r="G21" i="22" s="1"/>
  <c r="E39" i="22"/>
  <c r="F39" i="22" s="1"/>
  <c r="G39" i="22" s="1"/>
  <c r="E8" i="22"/>
  <c r="F8" i="22" s="1"/>
  <c r="G8" i="22" s="1"/>
  <c r="E47" i="22"/>
  <c r="F47" i="22" s="1"/>
  <c r="G47" i="22" s="1"/>
  <c r="E37" i="22"/>
  <c r="F37" i="22" s="1"/>
  <c r="G37" i="22" s="1"/>
  <c r="E33" i="22"/>
  <c r="F33" i="22" s="1"/>
  <c r="G33" i="22" s="1"/>
  <c r="E20" i="22"/>
  <c r="F20" i="22" s="1"/>
  <c r="G20" i="22" s="1"/>
  <c r="E38" i="22"/>
  <c r="F38" i="22" s="1"/>
  <c r="G38" i="22" s="1"/>
  <c r="E19" i="22"/>
  <c r="F19" i="22" s="1"/>
  <c r="G19" i="22" s="1"/>
  <c r="E18" i="22"/>
  <c r="F18" i="22" s="1"/>
  <c r="G18" i="22" s="1"/>
  <c r="E31" i="22"/>
  <c r="F31" i="22" s="1"/>
  <c r="G31" i="22" s="1"/>
  <c r="E17" i="22"/>
  <c r="F17" i="22" s="1"/>
  <c r="G17" i="22" s="1"/>
  <c r="E50" i="22"/>
  <c r="F50" i="22" s="1"/>
  <c r="G50" i="22" s="1"/>
  <c r="E45" i="22"/>
  <c r="F45" i="22" s="1"/>
  <c r="G45" i="22" s="1"/>
  <c r="E11" i="22"/>
  <c r="F11" i="22" s="1"/>
  <c r="G11" i="22" s="1"/>
  <c r="E14" i="22"/>
  <c r="F14" i="22" s="1"/>
  <c r="G14" i="22" s="1"/>
  <c r="E49" i="22"/>
  <c r="F49" i="22" s="1"/>
  <c r="G49" i="22" s="1"/>
  <c r="C11" i="20"/>
  <c r="D11" i="20" s="1"/>
  <c r="E8" i="21"/>
  <c r="J8" i="21"/>
  <c r="K8" i="21" s="1"/>
  <c r="L8" i="21" s="1"/>
  <c r="E7" i="21"/>
  <c r="J7" i="21"/>
  <c r="C10" i="21"/>
  <c r="D9" i="21"/>
  <c r="E7" i="19"/>
  <c r="F7" i="19" s="1"/>
  <c r="D7" i="19"/>
  <c r="C8" i="19"/>
  <c r="D19" i="23" l="1"/>
  <c r="E18" i="23"/>
  <c r="F18" i="23" s="1"/>
  <c r="F17" i="23"/>
  <c r="C19" i="23"/>
  <c r="B5" i="22"/>
  <c r="C12" i="20"/>
  <c r="D12" i="20" s="1"/>
  <c r="E9" i="21"/>
  <c r="J9" i="21"/>
  <c r="K9" i="21" s="1"/>
  <c r="L9" i="21" s="1"/>
  <c r="K7" i="21"/>
  <c r="L7" i="21" s="1"/>
  <c r="C11" i="21"/>
  <c r="D10" i="21"/>
  <c r="E8" i="19"/>
  <c r="F8" i="19" s="1"/>
  <c r="D8" i="19"/>
  <c r="C9" i="19"/>
  <c r="E19" i="23" l="1"/>
  <c r="D20" i="23"/>
  <c r="C20" i="23"/>
  <c r="C13" i="20"/>
  <c r="D13" i="20" s="1"/>
  <c r="E10" i="21"/>
  <c r="J10" i="21"/>
  <c r="C12" i="21"/>
  <c r="D11" i="21"/>
  <c r="E9" i="19"/>
  <c r="F9" i="19" s="1"/>
  <c r="C10" i="19"/>
  <c r="D9" i="19"/>
  <c r="E20" i="23" l="1"/>
  <c r="F20" i="23" s="1"/>
  <c r="D21" i="23"/>
  <c r="F19" i="23"/>
  <c r="C21" i="23"/>
  <c r="C14" i="20"/>
  <c r="D14" i="20" s="1"/>
  <c r="E11" i="21"/>
  <c r="J11" i="21"/>
  <c r="K11" i="21" s="1"/>
  <c r="L11" i="21" s="1"/>
  <c r="K10" i="21"/>
  <c r="L10" i="21" s="1"/>
  <c r="C13" i="21"/>
  <c r="D12" i="21"/>
  <c r="D10" i="19"/>
  <c r="C11" i="19"/>
  <c r="E10" i="19"/>
  <c r="F10" i="19" s="1"/>
  <c r="E21" i="23" l="1"/>
  <c r="D22" i="23"/>
  <c r="C22" i="23"/>
  <c r="C15" i="20"/>
  <c r="D15" i="20" s="1"/>
  <c r="E12" i="21"/>
  <c r="J12" i="21"/>
  <c r="C14" i="21"/>
  <c r="D13" i="21"/>
  <c r="D11" i="19"/>
  <c r="C12" i="19"/>
  <c r="E11" i="19"/>
  <c r="F11" i="19" s="1"/>
  <c r="D23" i="23" l="1"/>
  <c r="E22" i="23"/>
  <c r="F22" i="23" s="1"/>
  <c r="F21" i="23"/>
  <c r="C23" i="23"/>
  <c r="C16" i="20"/>
  <c r="D16" i="20" s="1"/>
  <c r="E13" i="21"/>
  <c r="J13" i="21"/>
  <c r="K13" i="21" s="1"/>
  <c r="L13" i="21" s="1"/>
  <c r="K12" i="21"/>
  <c r="L12" i="21" s="1"/>
  <c r="C15" i="21"/>
  <c r="D14" i="21"/>
  <c r="E12" i="19"/>
  <c r="F12" i="19" s="1"/>
  <c r="D12" i="19"/>
  <c r="C13" i="19"/>
  <c r="D24" i="23" l="1"/>
  <c r="E23" i="23"/>
  <c r="C24" i="23"/>
  <c r="C17" i="20"/>
  <c r="D17" i="20" s="1"/>
  <c r="E14" i="21"/>
  <c r="J14" i="21"/>
  <c r="C16" i="21"/>
  <c r="D15" i="21"/>
  <c r="C14" i="19"/>
  <c r="E13" i="19"/>
  <c r="F13" i="19" s="1"/>
  <c r="D13" i="19"/>
  <c r="D25" i="23" l="1"/>
  <c r="E24" i="23"/>
  <c r="F24" i="23" s="1"/>
  <c r="F23" i="23"/>
  <c r="C25" i="23"/>
  <c r="C18" i="20"/>
  <c r="D18" i="20" s="1"/>
  <c r="E15" i="21"/>
  <c r="J15" i="21"/>
  <c r="K15" i="21" s="1"/>
  <c r="L15" i="21" s="1"/>
  <c r="K14" i="21"/>
  <c r="L14" i="21" s="1"/>
  <c r="C17" i="21"/>
  <c r="D16" i="21"/>
  <c r="D14" i="19"/>
  <c r="C15" i="19"/>
  <c r="E14" i="19"/>
  <c r="F14" i="19" s="1"/>
  <c r="G37" i="19" s="1"/>
  <c r="G39" i="19" s="1"/>
  <c r="D26" i="23" l="1"/>
  <c r="E25" i="23"/>
  <c r="F25" i="23" s="1"/>
  <c r="C26" i="23"/>
  <c r="C19" i="20"/>
  <c r="D19" i="20" s="1"/>
  <c r="E16" i="21"/>
  <c r="J16" i="21"/>
  <c r="C18" i="21"/>
  <c r="D17" i="21"/>
  <c r="D15" i="19"/>
  <c r="C16" i="19"/>
  <c r="D27" i="23" l="1"/>
  <c r="E26" i="23"/>
  <c r="F26" i="23" s="1"/>
  <c r="C27" i="23"/>
  <c r="C20" i="20"/>
  <c r="D20" i="20" s="1"/>
  <c r="E17" i="21"/>
  <c r="J17" i="21"/>
  <c r="K17" i="21" s="1"/>
  <c r="L17" i="21" s="1"/>
  <c r="K16" i="21"/>
  <c r="L16" i="21" s="1"/>
  <c r="C19" i="21"/>
  <c r="D18" i="21"/>
  <c r="D16" i="19"/>
  <c r="C17" i="19"/>
  <c r="E27" i="23" l="1"/>
  <c r="F27" i="23" s="1"/>
  <c r="D28" i="23"/>
  <c r="C28" i="23"/>
  <c r="C21" i="20"/>
  <c r="D21" i="20" s="1"/>
  <c r="E18" i="21"/>
  <c r="J18" i="21"/>
  <c r="K18" i="21" s="1"/>
  <c r="L18" i="21" s="1"/>
  <c r="C20" i="21"/>
  <c r="D19" i="21"/>
  <c r="C18" i="19"/>
  <c r="D17" i="19"/>
  <c r="E28" i="23" l="1"/>
  <c r="F28" i="23" s="1"/>
  <c r="D29" i="23"/>
  <c r="C29" i="23"/>
  <c r="C22" i="20"/>
  <c r="D22" i="20" s="1"/>
  <c r="E19" i="21"/>
  <c r="J19" i="21"/>
  <c r="K19" i="21" s="1"/>
  <c r="L19" i="21" s="1"/>
  <c r="C21" i="21"/>
  <c r="D20" i="21"/>
  <c r="D18" i="19"/>
  <c r="C19" i="19"/>
  <c r="E29" i="23" l="1"/>
  <c r="F29" i="23" s="1"/>
  <c r="D30" i="23"/>
  <c r="C30" i="23"/>
  <c r="C23" i="20"/>
  <c r="D23" i="20" s="1"/>
  <c r="E20" i="21"/>
  <c r="J20" i="21"/>
  <c r="K20" i="21" s="1"/>
  <c r="L20" i="21" s="1"/>
  <c r="C22" i="21"/>
  <c r="D21" i="21"/>
  <c r="D19" i="19"/>
  <c r="C20" i="19"/>
  <c r="D31" i="23" l="1"/>
  <c r="E30" i="23"/>
  <c r="F30" i="23" s="1"/>
  <c r="C31" i="23"/>
  <c r="C24" i="20"/>
  <c r="D24" i="20" s="1"/>
  <c r="E21" i="21"/>
  <c r="J21" i="21"/>
  <c r="K21" i="21" s="1"/>
  <c r="L21" i="21" s="1"/>
  <c r="C23" i="21"/>
  <c r="D22" i="21"/>
  <c r="D20" i="19"/>
  <c r="C21" i="19"/>
  <c r="E31" i="23" l="1"/>
  <c r="F31" i="23" s="1"/>
  <c r="D32" i="23"/>
  <c r="C32" i="23"/>
  <c r="C25" i="20"/>
  <c r="D25" i="20" s="1"/>
  <c r="E22" i="21"/>
  <c r="J22" i="21"/>
  <c r="K22" i="21" s="1"/>
  <c r="L22" i="21" s="1"/>
  <c r="C24" i="21"/>
  <c r="D23" i="21"/>
  <c r="C22" i="19"/>
  <c r="D21" i="19"/>
  <c r="D33" i="23" l="1"/>
  <c r="E32" i="23"/>
  <c r="F32" i="23" s="1"/>
  <c r="C33" i="23"/>
  <c r="C26" i="20"/>
  <c r="D26" i="20" s="1"/>
  <c r="E23" i="21"/>
  <c r="J23" i="21"/>
  <c r="K23" i="21" s="1"/>
  <c r="L23" i="21" s="1"/>
  <c r="C25" i="21"/>
  <c r="D24" i="21"/>
  <c r="D22" i="19"/>
  <c r="C23" i="19"/>
  <c r="D34" i="23" l="1"/>
  <c r="E33" i="23"/>
  <c r="F33" i="23" s="1"/>
  <c r="C34" i="23"/>
  <c r="C27" i="20"/>
  <c r="D27" i="20" s="1"/>
  <c r="E24" i="21"/>
  <c r="J24" i="21"/>
  <c r="K24" i="21" s="1"/>
  <c r="L24" i="21" s="1"/>
  <c r="C26" i="21"/>
  <c r="D25" i="21"/>
  <c r="D23" i="19"/>
  <c r="C24" i="19"/>
  <c r="D35" i="23" l="1"/>
  <c r="E34" i="23"/>
  <c r="F34" i="23" s="1"/>
  <c r="C35" i="23"/>
  <c r="C28" i="20"/>
  <c r="D28" i="20" s="1"/>
  <c r="E25" i="21"/>
  <c r="J25" i="21"/>
  <c r="K25" i="21" s="1"/>
  <c r="L25" i="21" s="1"/>
  <c r="C27" i="21"/>
  <c r="D26" i="21"/>
  <c r="D24" i="19"/>
  <c r="C25" i="19"/>
  <c r="E35" i="23" l="1"/>
  <c r="F35" i="23" s="1"/>
  <c r="D36" i="23"/>
  <c r="C36" i="23"/>
  <c r="C29" i="20"/>
  <c r="D29" i="20" s="1"/>
  <c r="E26" i="21"/>
  <c r="J26" i="21"/>
  <c r="C28" i="21"/>
  <c r="D27" i="21"/>
  <c r="E27" i="21" s="1"/>
  <c r="C26" i="19"/>
  <c r="D25" i="19"/>
  <c r="E36" i="23" l="1"/>
  <c r="F36" i="23" s="1"/>
  <c r="D37" i="23"/>
  <c r="C37" i="23"/>
  <c r="C30" i="20"/>
  <c r="D30" i="20" s="1"/>
  <c r="K26" i="21"/>
  <c r="L26" i="21" s="1"/>
  <c r="J27" i="21"/>
  <c r="K27" i="21" s="1"/>
  <c r="L27" i="21" s="1"/>
  <c r="J29" i="21" s="1"/>
  <c r="J31" i="21" s="1"/>
  <c r="C29" i="21"/>
  <c r="D28" i="21"/>
  <c r="E28" i="21" s="1"/>
  <c r="D26" i="19"/>
  <c r="C27" i="19"/>
  <c r="E37" i="23" l="1"/>
  <c r="F37" i="23" s="1"/>
  <c r="D38" i="23"/>
  <c r="C38" i="23"/>
  <c r="C31" i="20"/>
  <c r="D31" i="20" s="1"/>
  <c r="C30" i="21"/>
  <c r="D29" i="21"/>
  <c r="E29" i="21" s="1"/>
  <c r="D27" i="19"/>
  <c r="C28" i="19"/>
  <c r="E38" i="23" l="1"/>
  <c r="F38" i="23" s="1"/>
  <c r="D39" i="23"/>
  <c r="C39" i="23"/>
  <c r="C32" i="20"/>
  <c r="D32" i="20" s="1"/>
  <c r="C31" i="21"/>
  <c r="D30" i="21"/>
  <c r="E30" i="21" s="1"/>
  <c r="D28" i="19"/>
  <c r="C29" i="19"/>
  <c r="D40" i="23" l="1"/>
  <c r="E39" i="23"/>
  <c r="F39" i="23" s="1"/>
  <c r="C40" i="23"/>
  <c r="C33" i="20"/>
  <c r="D33" i="20" s="1"/>
  <c r="C32" i="21"/>
  <c r="D31" i="21"/>
  <c r="E31" i="21" s="1"/>
  <c r="C30" i="19"/>
  <c r="D29" i="19"/>
  <c r="D41" i="23" l="1"/>
  <c r="E40" i="23"/>
  <c r="F40" i="23" s="1"/>
  <c r="C41" i="23"/>
  <c r="C34" i="20"/>
  <c r="D34" i="20" s="1"/>
  <c r="C33" i="21"/>
  <c r="D32" i="21"/>
  <c r="E32" i="21" s="1"/>
  <c r="D30" i="19"/>
  <c r="C31" i="19"/>
  <c r="D42" i="23" l="1"/>
  <c r="E41" i="23"/>
  <c r="F41" i="23" s="1"/>
  <c r="C42" i="23"/>
  <c r="C35" i="20"/>
  <c r="D35" i="20" s="1"/>
  <c r="C34" i="21"/>
  <c r="D33" i="21"/>
  <c r="E33" i="21" s="1"/>
  <c r="D31" i="19"/>
  <c r="C32" i="19"/>
  <c r="D43" i="23" l="1"/>
  <c r="E42" i="23"/>
  <c r="F42" i="23" s="1"/>
  <c r="C43" i="23"/>
  <c r="C36" i="20"/>
  <c r="D36" i="20" s="1"/>
  <c r="C35" i="21"/>
  <c r="D34" i="21"/>
  <c r="E34" i="21" s="1"/>
  <c r="D32" i="19"/>
  <c r="C33" i="19"/>
  <c r="E43" i="23" l="1"/>
  <c r="F43" i="23" s="1"/>
  <c r="D44" i="23"/>
  <c r="C44" i="23"/>
  <c r="C37" i="20"/>
  <c r="D37" i="20" s="1"/>
  <c r="C36" i="21"/>
  <c r="D35" i="21"/>
  <c r="E35" i="21" s="1"/>
  <c r="C34" i="19"/>
  <c r="D33" i="19"/>
  <c r="E44" i="23" l="1"/>
  <c r="F44" i="23" s="1"/>
  <c r="D45" i="23"/>
  <c r="C45" i="23"/>
  <c r="C38" i="20"/>
  <c r="D38" i="20" s="1"/>
  <c r="C37" i="21"/>
  <c r="D36" i="21"/>
  <c r="E36" i="21" s="1"/>
  <c r="D34" i="19"/>
  <c r="C35" i="19"/>
  <c r="E45" i="23" l="1"/>
  <c r="F45" i="23" s="1"/>
  <c r="D46" i="23"/>
  <c r="C46" i="23"/>
  <c r="C39" i="20"/>
  <c r="D39" i="20" s="1"/>
  <c r="C38" i="21"/>
  <c r="D37" i="21"/>
  <c r="E37" i="21" s="1"/>
  <c r="D35" i="19"/>
  <c r="C36" i="19"/>
  <c r="D47" i="23" l="1"/>
  <c r="E46" i="23"/>
  <c r="F46" i="23" s="1"/>
  <c r="C47" i="23"/>
  <c r="C40" i="20"/>
  <c r="D40" i="20" s="1"/>
  <c r="C39" i="21"/>
  <c r="D38" i="21"/>
  <c r="E38" i="21" s="1"/>
  <c r="D36" i="19"/>
  <c r="C37" i="19"/>
  <c r="E47" i="23" l="1"/>
  <c r="F47" i="23" s="1"/>
  <c r="D48" i="23"/>
  <c r="C48" i="23"/>
  <c r="C41" i="20"/>
  <c r="D41" i="20" s="1"/>
  <c r="C40" i="21"/>
  <c r="D39" i="21"/>
  <c r="E39" i="21" s="1"/>
  <c r="C38" i="19"/>
  <c r="D37" i="19"/>
  <c r="D49" i="23" l="1"/>
  <c r="E48" i="23"/>
  <c r="F48" i="23" s="1"/>
  <c r="C49" i="23"/>
  <c r="C42" i="20"/>
  <c r="D42" i="20" s="1"/>
  <c r="C41" i="21"/>
  <c r="D40" i="21"/>
  <c r="E40" i="21" s="1"/>
  <c r="D38" i="19"/>
  <c r="C39" i="19"/>
  <c r="E49" i="23" l="1"/>
  <c r="F49" i="23" s="1"/>
  <c r="D50" i="23"/>
  <c r="C50" i="23"/>
  <c r="C43" i="20"/>
  <c r="D43" i="20" s="1"/>
  <c r="C42" i="21"/>
  <c r="D41" i="21"/>
  <c r="E41" i="21" s="1"/>
  <c r="D39" i="19"/>
  <c r="C40" i="19"/>
  <c r="D51" i="23" l="1"/>
  <c r="E50" i="23"/>
  <c r="F50" i="23" s="1"/>
  <c r="C51" i="23"/>
  <c r="C44" i="20"/>
  <c r="D44" i="20" s="1"/>
  <c r="C43" i="21"/>
  <c r="D42" i="21"/>
  <c r="E42" i="21" s="1"/>
  <c r="D40" i="19"/>
  <c r="C41" i="19"/>
  <c r="E51" i="23" l="1"/>
  <c r="F51" i="23" s="1"/>
  <c r="D52" i="23"/>
  <c r="C52" i="23"/>
  <c r="C45" i="20"/>
  <c r="D45" i="20" s="1"/>
  <c r="C44" i="21"/>
  <c r="D43" i="21"/>
  <c r="E43" i="21" s="1"/>
  <c r="C42" i="19"/>
  <c r="D41" i="19"/>
  <c r="E52" i="23" l="1"/>
  <c r="F52" i="23" s="1"/>
  <c r="D53" i="23"/>
  <c r="C53" i="23"/>
  <c r="C46" i="20"/>
  <c r="D46" i="20" s="1"/>
  <c r="C45" i="21"/>
  <c r="D44" i="21"/>
  <c r="E44" i="21" s="1"/>
  <c r="D42" i="19"/>
  <c r="C43" i="19"/>
  <c r="E53" i="23" l="1"/>
  <c r="F53" i="23" s="1"/>
  <c r="D54" i="23"/>
  <c r="C54" i="23"/>
  <c r="C47" i="20"/>
  <c r="D47" i="20" s="1"/>
  <c r="C46" i="21"/>
  <c r="D45" i="21"/>
  <c r="E45" i="21" s="1"/>
  <c r="D43" i="19"/>
  <c r="C44" i="19"/>
  <c r="E54" i="23" l="1"/>
  <c r="F54" i="23" s="1"/>
  <c r="D55" i="23"/>
  <c r="C55" i="23"/>
  <c r="C48" i="20"/>
  <c r="D48" i="20" s="1"/>
  <c r="C47" i="21"/>
  <c r="D46" i="21"/>
  <c r="E46" i="21" s="1"/>
  <c r="D44" i="19"/>
  <c r="C45" i="19"/>
  <c r="E55" i="23" l="1"/>
  <c r="F55" i="23" s="1"/>
  <c r="D56" i="23"/>
  <c r="C56" i="23"/>
  <c r="C49" i="20"/>
  <c r="D49" i="20" s="1"/>
  <c r="C48" i="21"/>
  <c r="D47" i="21"/>
  <c r="E47" i="21" s="1"/>
  <c r="C46" i="19"/>
  <c r="D45" i="19"/>
  <c r="D57" i="23" l="1"/>
  <c r="E56" i="23"/>
  <c r="F56" i="23" s="1"/>
  <c r="C57" i="23"/>
  <c r="C50" i="20"/>
  <c r="D50" i="20" s="1"/>
  <c r="C49" i="21"/>
  <c r="D49" i="21" s="1"/>
  <c r="E49" i="21" s="1"/>
  <c r="D48" i="21"/>
  <c r="E48" i="21" s="1"/>
  <c r="D46" i="19"/>
  <c r="C47" i="19"/>
  <c r="D58" i="23" l="1"/>
  <c r="E57" i="23"/>
  <c r="F57" i="23" s="1"/>
  <c r="C58" i="23"/>
  <c r="E50" i="20"/>
  <c r="F50" i="20" s="1"/>
  <c r="E8" i="20"/>
  <c r="E9" i="20"/>
  <c r="E10" i="20"/>
  <c r="E11" i="20"/>
  <c r="E14" i="20"/>
  <c r="E13" i="20"/>
  <c r="E12" i="20"/>
  <c r="E15" i="20"/>
  <c r="E16" i="20"/>
  <c r="E17" i="20"/>
  <c r="E18" i="20"/>
  <c r="E20" i="20"/>
  <c r="E19" i="20"/>
  <c r="E22" i="20"/>
  <c r="E21" i="20"/>
  <c r="E23" i="20"/>
  <c r="E24" i="20"/>
  <c r="E26" i="20"/>
  <c r="E25" i="20"/>
  <c r="E28" i="20"/>
  <c r="E27" i="20"/>
  <c r="E29" i="20"/>
  <c r="F29" i="20" s="1"/>
  <c r="E30" i="20"/>
  <c r="F30" i="20" s="1"/>
  <c r="E32" i="20"/>
  <c r="F32" i="20" s="1"/>
  <c r="E31" i="20"/>
  <c r="F31" i="20" s="1"/>
  <c r="E33" i="20"/>
  <c r="F33" i="20" s="1"/>
  <c r="E34" i="20"/>
  <c r="F34" i="20" s="1"/>
  <c r="E35" i="20"/>
  <c r="F35" i="20" s="1"/>
  <c r="E37" i="20"/>
  <c r="F37" i="20" s="1"/>
  <c r="E36" i="20"/>
  <c r="F36" i="20" s="1"/>
  <c r="E39" i="20"/>
  <c r="F39" i="20" s="1"/>
  <c r="E38" i="20"/>
  <c r="F38" i="20" s="1"/>
  <c r="E40" i="20"/>
  <c r="F40" i="20" s="1"/>
  <c r="E41" i="20"/>
  <c r="F41" i="20" s="1"/>
  <c r="E42" i="20"/>
  <c r="F42" i="20" s="1"/>
  <c r="E48" i="20"/>
  <c r="F48" i="20" s="1"/>
  <c r="E46" i="20"/>
  <c r="F46" i="20" s="1"/>
  <c r="E45" i="20"/>
  <c r="F45" i="20" s="1"/>
  <c r="E47" i="20"/>
  <c r="F47" i="20" s="1"/>
  <c r="E44" i="20"/>
  <c r="F44" i="20" s="1"/>
  <c r="E43" i="20"/>
  <c r="F43" i="20" s="1"/>
  <c r="E49" i="20"/>
  <c r="F49" i="20" s="1"/>
  <c r="B4" i="21"/>
  <c r="J34" i="21" s="1"/>
  <c r="J36" i="21" s="1"/>
  <c r="D47" i="19"/>
  <c r="C48" i="19"/>
  <c r="D48" i="19" s="1"/>
  <c r="B3" i="19" s="1"/>
  <c r="E58" i="23" l="1"/>
  <c r="G16" i="23" s="1"/>
  <c r="H16" i="23" s="1"/>
  <c r="F12" i="20"/>
  <c r="J12" i="20"/>
  <c r="K12" i="20" s="1"/>
  <c r="F22" i="20"/>
  <c r="J22" i="20"/>
  <c r="K22" i="20" s="1"/>
  <c r="F27" i="20"/>
  <c r="J27" i="20"/>
  <c r="K27" i="20" s="1"/>
  <c r="F14" i="20"/>
  <c r="J14" i="20"/>
  <c r="K14" i="20" s="1"/>
  <c r="F11" i="20"/>
  <c r="J11" i="20"/>
  <c r="K11" i="20" s="1"/>
  <c r="F18" i="20"/>
  <c r="J18" i="20"/>
  <c r="K18" i="20" s="1"/>
  <c r="F9" i="20"/>
  <c r="B4" i="20" s="1"/>
  <c r="J9" i="20"/>
  <c r="K9" i="20" s="1"/>
  <c r="F24" i="20"/>
  <c r="J24" i="20"/>
  <c r="K24" i="20" s="1"/>
  <c r="F16" i="20"/>
  <c r="J16" i="20"/>
  <c r="K16" i="20" s="1"/>
  <c r="F8" i="20"/>
  <c r="J8" i="20"/>
  <c r="F21" i="20"/>
  <c r="J21" i="20"/>
  <c r="K21" i="20" s="1"/>
  <c r="F13" i="20"/>
  <c r="J13" i="20"/>
  <c r="K13" i="20" s="1"/>
  <c r="F19" i="20"/>
  <c r="J19" i="20"/>
  <c r="K19" i="20" s="1"/>
  <c r="F28" i="20"/>
  <c r="F20" i="20"/>
  <c r="J20" i="20"/>
  <c r="K20" i="20" s="1"/>
  <c r="F25" i="20"/>
  <c r="J25" i="20"/>
  <c r="K25" i="20" s="1"/>
  <c r="F10" i="20"/>
  <c r="J10" i="20"/>
  <c r="K10" i="20" s="1"/>
  <c r="F26" i="20"/>
  <c r="J26" i="20"/>
  <c r="K26" i="20" s="1"/>
  <c r="F17" i="20"/>
  <c r="J17" i="20"/>
  <c r="K17" i="20" s="1"/>
  <c r="F23" i="20"/>
  <c r="J23" i="20"/>
  <c r="K23" i="20" s="1"/>
  <c r="F15" i="20"/>
  <c r="J15" i="20"/>
  <c r="K15" i="20" s="1"/>
  <c r="G46" i="23" l="1"/>
  <c r="H46" i="23" s="1"/>
  <c r="I46" i="23" s="1"/>
  <c r="G37" i="23"/>
  <c r="H37" i="23" s="1"/>
  <c r="I37" i="23" s="1"/>
  <c r="G52" i="23"/>
  <c r="H52" i="23" s="1"/>
  <c r="I52" i="23" s="1"/>
  <c r="G29" i="23"/>
  <c r="H29" i="23" s="1"/>
  <c r="M29" i="23" s="1"/>
  <c r="N29" i="23" s="1"/>
  <c r="O29" i="23" s="1"/>
  <c r="G38" i="23"/>
  <c r="H38" i="23" s="1"/>
  <c r="I38" i="23" s="1"/>
  <c r="G30" i="23"/>
  <c r="H30" i="23" s="1"/>
  <c r="M30" i="23" s="1"/>
  <c r="N30" i="23" s="1"/>
  <c r="O30" i="23" s="1"/>
  <c r="G45" i="23"/>
  <c r="H45" i="23" s="1"/>
  <c r="I45" i="23" s="1"/>
  <c r="G53" i="23"/>
  <c r="H53" i="23" s="1"/>
  <c r="I53" i="23" s="1"/>
  <c r="G22" i="23"/>
  <c r="H22" i="23" s="1"/>
  <c r="M22" i="23" s="1"/>
  <c r="N22" i="23" s="1"/>
  <c r="O22" i="23" s="1"/>
  <c r="G21" i="23"/>
  <c r="H21" i="23" s="1"/>
  <c r="I21" i="23" s="1"/>
  <c r="F58" i="23"/>
  <c r="G44" i="23"/>
  <c r="H44" i="23" s="1"/>
  <c r="I44" i="23" s="1"/>
  <c r="G28" i="23"/>
  <c r="H28" i="23" s="1"/>
  <c r="M28" i="23" s="1"/>
  <c r="N28" i="23" s="1"/>
  <c r="O28" i="23" s="1"/>
  <c r="G57" i="23"/>
  <c r="H57" i="23" s="1"/>
  <c r="I57" i="23" s="1"/>
  <c r="G35" i="23"/>
  <c r="H35" i="23" s="1"/>
  <c r="M35" i="23" s="1"/>
  <c r="N35" i="23" s="1"/>
  <c r="O35" i="23" s="1"/>
  <c r="G19" i="23"/>
  <c r="H19" i="23" s="1"/>
  <c r="M19" i="23" s="1"/>
  <c r="N19" i="23" s="1"/>
  <c r="O19" i="23" s="1"/>
  <c r="G42" i="23"/>
  <c r="H42" i="23" s="1"/>
  <c r="I42" i="23" s="1"/>
  <c r="G26" i="23"/>
  <c r="H26" i="23" s="1"/>
  <c r="M26" i="23" s="1"/>
  <c r="N26" i="23" s="1"/>
  <c r="O26" i="23" s="1"/>
  <c r="G56" i="23"/>
  <c r="H56" i="23" s="1"/>
  <c r="I56" i="23" s="1"/>
  <c r="G48" i="23"/>
  <c r="H48" i="23" s="1"/>
  <c r="I48" i="23" s="1"/>
  <c r="G55" i="23"/>
  <c r="H55" i="23" s="1"/>
  <c r="I55" i="23" s="1"/>
  <c r="G36" i="23"/>
  <c r="H36" i="23" s="1"/>
  <c r="I36" i="23" s="1"/>
  <c r="G20" i="23"/>
  <c r="H20" i="23" s="1"/>
  <c r="M20" i="23" s="1"/>
  <c r="N20" i="23" s="1"/>
  <c r="O20" i="23" s="1"/>
  <c r="G43" i="23"/>
  <c r="H43" i="23" s="1"/>
  <c r="I43" i="23" s="1"/>
  <c r="G27" i="23"/>
  <c r="H27" i="23" s="1"/>
  <c r="M27" i="23" s="1"/>
  <c r="N27" i="23" s="1"/>
  <c r="O27" i="23" s="1"/>
  <c r="G50" i="23"/>
  <c r="H50" i="23" s="1"/>
  <c r="I50" i="23" s="1"/>
  <c r="G33" i="23"/>
  <c r="H33" i="23" s="1"/>
  <c r="M33" i="23" s="1"/>
  <c r="N33" i="23" s="1"/>
  <c r="O33" i="23" s="1"/>
  <c r="G17" i="23"/>
  <c r="H17" i="23" s="1"/>
  <c r="M17" i="23" s="1"/>
  <c r="N17" i="23" s="1"/>
  <c r="O17" i="23" s="1"/>
  <c r="G49" i="23"/>
  <c r="H49" i="23" s="1"/>
  <c r="I49" i="23" s="1"/>
  <c r="G41" i="23"/>
  <c r="H41" i="23" s="1"/>
  <c r="I41" i="23" s="1"/>
  <c r="G34" i="23"/>
  <c r="H34" i="23" s="1"/>
  <c r="M34" i="23" s="1"/>
  <c r="N34" i="23" s="1"/>
  <c r="O34" i="23" s="1"/>
  <c r="G25" i="23"/>
  <c r="H25" i="23" s="1"/>
  <c r="M25" i="23" s="1"/>
  <c r="N25" i="23" s="1"/>
  <c r="O25" i="23" s="1"/>
  <c r="G18" i="23"/>
  <c r="H18" i="23" s="1"/>
  <c r="M18" i="23" s="1"/>
  <c r="N18" i="23" s="1"/>
  <c r="O18" i="23" s="1"/>
  <c r="G51" i="23"/>
  <c r="H51" i="23" s="1"/>
  <c r="I51" i="23" s="1"/>
  <c r="G40" i="23"/>
  <c r="H40" i="23" s="1"/>
  <c r="I40" i="23" s="1"/>
  <c r="G32" i="23"/>
  <c r="H32" i="23" s="1"/>
  <c r="M32" i="23" s="1"/>
  <c r="N32" i="23" s="1"/>
  <c r="O32" i="23" s="1"/>
  <c r="G24" i="23"/>
  <c r="H24" i="23" s="1"/>
  <c r="M24" i="23" s="1"/>
  <c r="N24" i="23" s="1"/>
  <c r="O24" i="23" s="1"/>
  <c r="G58" i="23"/>
  <c r="H58" i="23" s="1"/>
  <c r="I58" i="23" s="1"/>
  <c r="G54" i="23"/>
  <c r="H54" i="23" s="1"/>
  <c r="I54" i="23" s="1"/>
  <c r="G47" i="23"/>
  <c r="H47" i="23" s="1"/>
  <c r="I47" i="23" s="1"/>
  <c r="G39" i="23"/>
  <c r="H39" i="23" s="1"/>
  <c r="I39" i="23" s="1"/>
  <c r="G31" i="23"/>
  <c r="H31" i="23" s="1"/>
  <c r="M31" i="23" s="1"/>
  <c r="N31" i="23" s="1"/>
  <c r="O31" i="23" s="1"/>
  <c r="G23" i="23"/>
  <c r="H23" i="23" s="1"/>
  <c r="M23" i="23" s="1"/>
  <c r="N23" i="23" s="1"/>
  <c r="O23" i="23" s="1"/>
  <c r="M16" i="23"/>
  <c r="J40" i="20"/>
  <c r="J42" i="20" s="1"/>
  <c r="J35" i="20"/>
  <c r="J37" i="20" s="1"/>
  <c r="M21" i="23" l="1"/>
  <c r="N21" i="23" s="1"/>
  <c r="O21" i="23" s="1"/>
  <c r="I29" i="23"/>
  <c r="I30" i="23"/>
  <c r="I22" i="23"/>
  <c r="I28" i="23"/>
  <c r="I24" i="23"/>
  <c r="I19" i="23"/>
  <c r="I27" i="23"/>
  <c r="I35" i="23"/>
  <c r="I34" i="23"/>
  <c r="I20" i="23"/>
  <c r="I23" i="23"/>
  <c r="I18" i="23"/>
  <c r="I17" i="23"/>
  <c r="I31" i="23"/>
  <c r="I26" i="23"/>
  <c r="I32" i="23"/>
  <c r="I25" i="23"/>
  <c r="I33" i="23"/>
  <c r="N16" i="23"/>
  <c r="O16" i="23" s="1"/>
  <c r="M36" i="23" l="1"/>
  <c r="N36" i="23" s="1"/>
  <c r="O36" i="23" s="1"/>
  <c r="N38" i="23" s="1"/>
  <c r="N40" i="23" s="1"/>
  <c r="B8" i="23"/>
  <c r="N43" i="23" s="1"/>
  <c r="N45" i="23" s="1"/>
</calcChain>
</file>

<file path=xl/sharedStrings.xml><?xml version="1.0" encoding="utf-8"?>
<sst xmlns="http://schemas.openxmlformats.org/spreadsheetml/2006/main" count="125" uniqueCount="34">
  <si>
    <t>x</t>
  </si>
  <si>
    <t>N_X</t>
  </si>
  <si>
    <t>LL</t>
  </si>
  <si>
    <t>r</t>
  </si>
  <si>
    <t>alpha</t>
  </si>
  <si>
    <t>P(X=x)</t>
  </si>
  <si>
    <t>Original Dataset</t>
  </si>
  <si>
    <t>predicted</t>
  </si>
  <si>
    <t>Rolled Up Data</t>
  </si>
  <si>
    <t>n_x</t>
  </si>
  <si>
    <t>Total</t>
  </si>
  <si>
    <t>20+</t>
  </si>
  <si>
    <t>chisq</t>
  </si>
  <si>
    <t>df</t>
  </si>
  <si>
    <t>pvalue</t>
  </si>
  <si>
    <t xml:space="preserve">alpha </t>
  </si>
  <si>
    <t xml:space="preserve">LL </t>
  </si>
  <si>
    <t>spike@0</t>
  </si>
  <si>
    <t>P(X = x)</t>
  </si>
  <si>
    <t>spike</t>
  </si>
  <si>
    <t xml:space="preserve">df </t>
  </si>
  <si>
    <t>LRT vs Original</t>
  </si>
  <si>
    <t xml:space="preserve">chisq </t>
  </si>
  <si>
    <t>rt</t>
  </si>
  <si>
    <t xml:space="preserve">rescale </t>
  </si>
  <si>
    <t xml:space="preserve">LRT vs Spike </t>
  </si>
  <si>
    <t>r1</t>
  </si>
  <si>
    <t>alpha1</t>
  </si>
  <si>
    <t>r2</t>
  </si>
  <si>
    <t>alpha2</t>
  </si>
  <si>
    <t>frequent</t>
  </si>
  <si>
    <t>P(X = x | r1, a1)</t>
  </si>
  <si>
    <t>P(X = x | r2, a2)</t>
  </si>
  <si>
    <t xml:space="preserve">P(X = x)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</si>
</sst>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6" formatCode="0.00000"/>
  </numFmts>
  <fonts count="9" x14ac:knownFonts="1">
    <font>
      <sz val="10"/>
      <name val="Arial"/>
    </font>
    <font>
      <sz val="10"/>
      <name val="Verdana"/>
      <family val="2"/>
    </font>
    <font>
      <sz val="10"/>
      <name val="Arial"/>
      <family val="2"/>
    </font>
    <font>
      <b/>
      <sz val="10"/>
      <name val="Arial"/>
      <family val="2"/>
    </font>
    <font>
      <u/>
      <sz val="10"/>
      <color theme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2"/>
      <name val="Verdana"/>
      <family val="2"/>
    </font>
    <font>
      <u/>
      <sz val="12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5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164" fontId="0" fillId="0" borderId="0" xfId="0" applyNumberFormat="1"/>
    <xf numFmtId="0" fontId="2" fillId="0" borderId="0" xfId="0" applyFont="1"/>
    <xf numFmtId="0" fontId="3" fillId="0" borderId="0" xfId="0" applyFont="1"/>
    <xf numFmtId="0" fontId="5" fillId="0" borderId="0" xfId="0" applyFont="1"/>
    <xf numFmtId="0" fontId="6" fillId="0" borderId="0" xfId="0" applyFont="1"/>
    <xf numFmtId="0" fontId="4" fillId="0" borderId="0" xfId="1"/>
    <xf numFmtId="2" fontId="1" fillId="0" borderId="0" xfId="0" applyNumberFormat="1" applyFont="1"/>
    <xf numFmtId="2" fontId="2" fillId="0" borderId="0" xfId="0" applyNumberFormat="1" applyFont="1"/>
    <xf numFmtId="2" fontId="5" fillId="0" borderId="0" xfId="0" applyNumberFormat="1" applyFont="1"/>
    <xf numFmtId="2" fontId="0" fillId="0" borderId="0" xfId="0" applyNumberFormat="1"/>
    <xf numFmtId="0" fontId="6" fillId="0" borderId="0" xfId="0" applyFont="1" applyAlignment="1">
      <alignment horizontal="center"/>
    </xf>
    <xf numFmtId="166" fontId="7" fillId="0" borderId="0" xfId="0" applyNumberFormat="1" applyFont="1"/>
    <xf numFmtId="166" fontId="5" fillId="0" borderId="0" xfId="0" applyNumberFormat="1" applyFont="1"/>
    <xf numFmtId="0" fontId="2" fillId="0" borderId="0" xfId="0" applyNumberFormat="1" applyFont="1"/>
    <xf numFmtId="0" fontId="8" fillId="0" borderId="0" xfId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Number of Flights</a:t>
            </a:r>
            <a:r>
              <a:rPr lang="en-US" baseline="0"/>
              <a:t> vs Frequency Fit (NBD)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expected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'NBD fit (bad)'!$A$6:$A$14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</c:numCache>
            </c:numRef>
          </c:cat>
          <c:val>
            <c:numRef>
              <c:f>'NBD fit (bad)'!$B$6:$B$14</c:f>
              <c:numCache>
                <c:formatCode>General</c:formatCode>
                <c:ptCount val="9"/>
                <c:pt idx="0">
                  <c:v>975</c:v>
                </c:pt>
                <c:pt idx="1">
                  <c:v>127</c:v>
                </c:pt>
                <c:pt idx="2">
                  <c:v>225</c:v>
                </c:pt>
                <c:pt idx="3">
                  <c:v>91</c:v>
                </c:pt>
                <c:pt idx="4">
                  <c:v>97</c:v>
                </c:pt>
                <c:pt idx="5">
                  <c:v>61</c:v>
                </c:pt>
                <c:pt idx="6">
                  <c:v>47</c:v>
                </c:pt>
                <c:pt idx="7">
                  <c:v>25</c:v>
                </c:pt>
                <c:pt idx="8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3E5-B443-9775-7770069D767B}"/>
            </c:ext>
          </c:extLst>
        </c:ser>
        <c:ser>
          <c:idx val="1"/>
          <c:order val="1"/>
          <c:tx>
            <c:v>predicted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'NBD fit (bad)'!$A$6:$A$14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</c:numCache>
            </c:numRef>
          </c:cat>
          <c:val>
            <c:numRef>
              <c:f>'NBD fit (bad)'!$E$6:$E$14</c:f>
              <c:numCache>
                <c:formatCode>0.0</c:formatCode>
                <c:ptCount val="9"/>
                <c:pt idx="0">
                  <c:v>990</c:v>
                </c:pt>
                <c:pt idx="1">
                  <c:v>495</c:v>
                </c:pt>
                <c:pt idx="2">
                  <c:v>247.5</c:v>
                </c:pt>
                <c:pt idx="3">
                  <c:v>123.75</c:v>
                </c:pt>
                <c:pt idx="4">
                  <c:v>61.875</c:v>
                </c:pt>
                <c:pt idx="5">
                  <c:v>30.9375</c:v>
                </c:pt>
                <c:pt idx="6">
                  <c:v>15.46875</c:v>
                </c:pt>
                <c:pt idx="7">
                  <c:v>7.734375</c:v>
                </c:pt>
                <c:pt idx="8">
                  <c:v>3.8671875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3E5-B443-9775-7770069D76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6142560"/>
        <c:axId val="526144272"/>
      </c:barChart>
      <c:catAx>
        <c:axId val="526142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Flights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6144272"/>
        <c:crosses val="autoZero"/>
        <c:auto val="1"/>
        <c:lblAlgn val="ctr"/>
        <c:lblOffset val="100"/>
        <c:noMultiLvlLbl val="0"/>
      </c:catAx>
      <c:valAx>
        <c:axId val="526144272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Frequency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526142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NBD</a:t>
            </a:r>
            <a:r>
              <a:rPr lang="en-US" baseline="0"/>
              <a:t> Private Flights Zero Spike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expected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zerospike!$I$7:$I$27</c:f>
              <c:numCache>
                <c:formatCode>General</c:formatCode>
                <c:ptCount val="21"/>
                <c:pt idx="0">
                  <c:v>975</c:v>
                </c:pt>
                <c:pt idx="1">
                  <c:v>127</c:v>
                </c:pt>
                <c:pt idx="2">
                  <c:v>225</c:v>
                </c:pt>
                <c:pt idx="3">
                  <c:v>91</c:v>
                </c:pt>
                <c:pt idx="4">
                  <c:v>97</c:v>
                </c:pt>
                <c:pt idx="5">
                  <c:v>61</c:v>
                </c:pt>
                <c:pt idx="6">
                  <c:v>47</c:v>
                </c:pt>
                <c:pt idx="7">
                  <c:v>25</c:v>
                </c:pt>
                <c:pt idx="8">
                  <c:v>38</c:v>
                </c:pt>
                <c:pt idx="9">
                  <c:v>39</c:v>
                </c:pt>
                <c:pt idx="10">
                  <c:v>26</c:v>
                </c:pt>
                <c:pt idx="11">
                  <c:v>19</c:v>
                </c:pt>
                <c:pt idx="12">
                  <c:v>23</c:v>
                </c:pt>
                <c:pt idx="13">
                  <c:v>17</c:v>
                </c:pt>
                <c:pt idx="14">
                  <c:v>13</c:v>
                </c:pt>
                <c:pt idx="15">
                  <c:v>11</c:v>
                </c:pt>
                <c:pt idx="16">
                  <c:v>15</c:v>
                </c:pt>
                <c:pt idx="17">
                  <c:v>11</c:v>
                </c:pt>
                <c:pt idx="18">
                  <c:v>9</c:v>
                </c:pt>
                <c:pt idx="19">
                  <c:v>17</c:v>
                </c:pt>
                <c:pt idx="20">
                  <c:v>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6C-F045-B415-5CD1DC2B1A2C}"/>
            </c:ext>
          </c:extLst>
        </c:ser>
        <c:ser>
          <c:idx val="1"/>
          <c:order val="1"/>
          <c:tx>
            <c:v>predicted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zerospike!$K$7:$K$27</c:f>
              <c:numCache>
                <c:formatCode>General</c:formatCode>
                <c:ptCount val="21"/>
                <c:pt idx="0">
                  <c:v>974.99969102653574</c:v>
                </c:pt>
                <c:pt idx="1">
                  <c:v>183.60704259266774</c:v>
                </c:pt>
                <c:pt idx="2">
                  <c:v>129.78730175825871</c:v>
                </c:pt>
                <c:pt idx="3">
                  <c:v>100.41476464893439</c:v>
                </c:pt>
                <c:pt idx="4">
                  <c:v>81.04405270363641</c:v>
                </c:pt>
                <c:pt idx="5">
                  <c:v>67.034494801147076</c:v>
                </c:pt>
                <c:pt idx="6">
                  <c:v>56.342416060132898</c:v>
                </c:pt>
                <c:pt idx="7">
                  <c:v>47.893498146679654</c:v>
                </c:pt>
                <c:pt idx="8">
                  <c:v>41.054392135494737</c:v>
                </c:pt>
                <c:pt idx="9">
                  <c:v>35.420474485897408</c:v>
                </c:pt>
                <c:pt idx="10">
                  <c:v>30.717469439789355</c:v>
                </c:pt>
                <c:pt idx="11">
                  <c:v>26.750855669663071</c:v>
                </c:pt>
                <c:pt idx="12">
                  <c:v>23.377698964514483</c:v>
                </c:pt>
                <c:pt idx="13">
                  <c:v>20.489954654857602</c:v>
                </c:pt>
                <c:pt idx="14">
                  <c:v>18.004051550445134</c:v>
                </c:pt>
                <c:pt idx="15">
                  <c:v>15.854113759774982</c:v>
                </c:pt>
                <c:pt idx="16">
                  <c:v>13.987389894662734</c:v>
                </c:pt>
                <c:pt idx="17">
                  <c:v>12.361075670877741</c:v>
                </c:pt>
                <c:pt idx="18">
                  <c:v>10.94004647614195</c:v>
                </c:pt>
                <c:pt idx="19">
                  <c:v>9.6952020077076106</c:v>
                </c:pt>
                <c:pt idx="20">
                  <c:v>80.224013552180296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96C-F045-B415-5CD1DC2B1A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76350047"/>
        <c:axId val="1175738671"/>
      </c:barChart>
      <c:catAx>
        <c:axId val="117635004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5738671"/>
        <c:crosses val="autoZero"/>
        <c:auto val="1"/>
        <c:lblAlgn val="ctr"/>
        <c:lblOffset val="100"/>
        <c:noMultiLvlLbl val="0"/>
      </c:catAx>
      <c:valAx>
        <c:axId val="1175738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63500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NBD</a:t>
            </a:r>
            <a:r>
              <a:rPr lang="en-US" baseline="0"/>
              <a:t> Private Flights Zero Spike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expected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zerospike!$I$7:$I$27</c:f>
              <c:numCache>
                <c:formatCode>General</c:formatCode>
                <c:ptCount val="21"/>
                <c:pt idx="0">
                  <c:v>975</c:v>
                </c:pt>
                <c:pt idx="1">
                  <c:v>127</c:v>
                </c:pt>
                <c:pt idx="2">
                  <c:v>225</c:v>
                </c:pt>
                <c:pt idx="3">
                  <c:v>91</c:v>
                </c:pt>
                <c:pt idx="4">
                  <c:v>97</c:v>
                </c:pt>
                <c:pt idx="5">
                  <c:v>61</c:v>
                </c:pt>
                <c:pt idx="6">
                  <c:v>47</c:v>
                </c:pt>
                <c:pt idx="7">
                  <c:v>25</c:v>
                </c:pt>
                <c:pt idx="8">
                  <c:v>38</c:v>
                </c:pt>
                <c:pt idx="9">
                  <c:v>39</c:v>
                </c:pt>
                <c:pt idx="10">
                  <c:v>26</c:v>
                </c:pt>
                <c:pt idx="11">
                  <c:v>19</c:v>
                </c:pt>
                <c:pt idx="12">
                  <c:v>23</c:v>
                </c:pt>
                <c:pt idx="13">
                  <c:v>17</c:v>
                </c:pt>
                <c:pt idx="14">
                  <c:v>13</c:v>
                </c:pt>
                <c:pt idx="15">
                  <c:v>11</c:v>
                </c:pt>
                <c:pt idx="16">
                  <c:v>15</c:v>
                </c:pt>
                <c:pt idx="17">
                  <c:v>11</c:v>
                </c:pt>
                <c:pt idx="18">
                  <c:v>9</c:v>
                </c:pt>
                <c:pt idx="19">
                  <c:v>17</c:v>
                </c:pt>
                <c:pt idx="20">
                  <c:v>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96-F345-A97D-DF293D599BAA}"/>
            </c:ext>
          </c:extLst>
        </c:ser>
        <c:ser>
          <c:idx val="1"/>
          <c:order val="1"/>
          <c:tx>
            <c:v>predicted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zerospike!$K$7:$K$27</c:f>
              <c:numCache>
                <c:formatCode>General</c:formatCode>
                <c:ptCount val="21"/>
                <c:pt idx="0">
                  <c:v>974.99969102653574</c:v>
                </c:pt>
                <c:pt idx="1">
                  <c:v>183.60704259266774</c:v>
                </c:pt>
                <c:pt idx="2">
                  <c:v>129.78730175825871</c:v>
                </c:pt>
                <c:pt idx="3">
                  <c:v>100.41476464893439</c:v>
                </c:pt>
                <c:pt idx="4">
                  <c:v>81.04405270363641</c:v>
                </c:pt>
                <c:pt idx="5">
                  <c:v>67.034494801147076</c:v>
                </c:pt>
                <c:pt idx="6">
                  <c:v>56.342416060132898</c:v>
                </c:pt>
                <c:pt idx="7">
                  <c:v>47.893498146679654</c:v>
                </c:pt>
                <c:pt idx="8">
                  <c:v>41.054392135494737</c:v>
                </c:pt>
                <c:pt idx="9">
                  <c:v>35.420474485897408</c:v>
                </c:pt>
                <c:pt idx="10">
                  <c:v>30.717469439789355</c:v>
                </c:pt>
                <c:pt idx="11">
                  <c:v>26.750855669663071</c:v>
                </c:pt>
                <c:pt idx="12">
                  <c:v>23.377698964514483</c:v>
                </c:pt>
                <c:pt idx="13">
                  <c:v>20.489954654857602</c:v>
                </c:pt>
                <c:pt idx="14">
                  <c:v>18.004051550445134</c:v>
                </c:pt>
                <c:pt idx="15">
                  <c:v>15.854113759774982</c:v>
                </c:pt>
                <c:pt idx="16">
                  <c:v>13.987389894662734</c:v>
                </c:pt>
                <c:pt idx="17">
                  <c:v>12.361075670877741</c:v>
                </c:pt>
                <c:pt idx="18">
                  <c:v>10.94004647614195</c:v>
                </c:pt>
                <c:pt idx="19">
                  <c:v>9.6952020077076106</c:v>
                </c:pt>
                <c:pt idx="20">
                  <c:v>80.224013552180296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896-F345-A97D-DF293D599B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76350047"/>
        <c:axId val="1175738671"/>
      </c:barChart>
      <c:catAx>
        <c:axId val="117635004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5738671"/>
        <c:crosses val="autoZero"/>
        <c:auto val="1"/>
        <c:lblAlgn val="ctr"/>
        <c:lblOffset val="100"/>
        <c:noMultiLvlLbl val="0"/>
      </c:catAx>
      <c:valAx>
        <c:axId val="1175738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6350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NBD</a:t>
            </a:r>
            <a:r>
              <a:rPr lang="en-US" baseline="0"/>
              <a:t> Private Flights Zero Spike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expected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zerospike!$I$7:$I$27</c:f>
              <c:numCache>
                <c:formatCode>General</c:formatCode>
                <c:ptCount val="21"/>
                <c:pt idx="0">
                  <c:v>975</c:v>
                </c:pt>
                <c:pt idx="1">
                  <c:v>127</c:v>
                </c:pt>
                <c:pt idx="2">
                  <c:v>225</c:v>
                </c:pt>
                <c:pt idx="3">
                  <c:v>91</c:v>
                </c:pt>
                <c:pt idx="4">
                  <c:v>97</c:v>
                </c:pt>
                <c:pt idx="5">
                  <c:v>61</c:v>
                </c:pt>
                <c:pt idx="6">
                  <c:v>47</c:v>
                </c:pt>
                <c:pt idx="7">
                  <c:v>25</c:v>
                </c:pt>
                <c:pt idx="8">
                  <c:v>38</c:v>
                </c:pt>
                <c:pt idx="9">
                  <c:v>39</c:v>
                </c:pt>
                <c:pt idx="10">
                  <c:v>26</c:v>
                </c:pt>
                <c:pt idx="11">
                  <c:v>19</c:v>
                </c:pt>
                <c:pt idx="12">
                  <c:v>23</c:v>
                </c:pt>
                <c:pt idx="13">
                  <c:v>17</c:v>
                </c:pt>
                <c:pt idx="14">
                  <c:v>13</c:v>
                </c:pt>
                <c:pt idx="15">
                  <c:v>11</c:v>
                </c:pt>
                <c:pt idx="16">
                  <c:v>15</c:v>
                </c:pt>
                <c:pt idx="17">
                  <c:v>11</c:v>
                </c:pt>
                <c:pt idx="18">
                  <c:v>9</c:v>
                </c:pt>
                <c:pt idx="19">
                  <c:v>17</c:v>
                </c:pt>
                <c:pt idx="20">
                  <c:v>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CF-B74C-A51D-25979B816CFE}"/>
            </c:ext>
          </c:extLst>
        </c:ser>
        <c:ser>
          <c:idx val="1"/>
          <c:order val="1"/>
          <c:tx>
            <c:v>predicted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zerospike!$K$7:$K$27</c:f>
              <c:numCache>
                <c:formatCode>General</c:formatCode>
                <c:ptCount val="21"/>
                <c:pt idx="0">
                  <c:v>974.99969102653574</c:v>
                </c:pt>
                <c:pt idx="1">
                  <c:v>183.60704259266774</c:v>
                </c:pt>
                <c:pt idx="2">
                  <c:v>129.78730175825871</c:v>
                </c:pt>
                <c:pt idx="3">
                  <c:v>100.41476464893439</c:v>
                </c:pt>
                <c:pt idx="4">
                  <c:v>81.04405270363641</c:v>
                </c:pt>
                <c:pt idx="5">
                  <c:v>67.034494801147076</c:v>
                </c:pt>
                <c:pt idx="6">
                  <c:v>56.342416060132898</c:v>
                </c:pt>
                <c:pt idx="7">
                  <c:v>47.893498146679654</c:v>
                </c:pt>
                <c:pt idx="8">
                  <c:v>41.054392135494737</c:v>
                </c:pt>
                <c:pt idx="9">
                  <c:v>35.420474485897408</c:v>
                </c:pt>
                <c:pt idx="10">
                  <c:v>30.717469439789355</c:v>
                </c:pt>
                <c:pt idx="11">
                  <c:v>26.750855669663071</c:v>
                </c:pt>
                <c:pt idx="12">
                  <c:v>23.377698964514483</c:v>
                </c:pt>
                <c:pt idx="13">
                  <c:v>20.489954654857602</c:v>
                </c:pt>
                <c:pt idx="14">
                  <c:v>18.004051550445134</c:v>
                </c:pt>
                <c:pt idx="15">
                  <c:v>15.854113759774982</c:v>
                </c:pt>
                <c:pt idx="16">
                  <c:v>13.987389894662734</c:v>
                </c:pt>
                <c:pt idx="17">
                  <c:v>12.361075670877741</c:v>
                </c:pt>
                <c:pt idx="18">
                  <c:v>10.94004647614195</c:v>
                </c:pt>
                <c:pt idx="19">
                  <c:v>9.6952020077076106</c:v>
                </c:pt>
                <c:pt idx="20">
                  <c:v>80.224013552180296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ECF-B74C-A51D-25979B816C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76350047"/>
        <c:axId val="1175738671"/>
      </c:barChart>
      <c:catAx>
        <c:axId val="117635004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5738671"/>
        <c:crosses val="autoZero"/>
        <c:auto val="1"/>
        <c:lblAlgn val="ctr"/>
        <c:lblOffset val="100"/>
        <c:noMultiLvlLbl val="0"/>
      </c:catAx>
      <c:valAx>
        <c:axId val="1175738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6350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NBD</a:t>
            </a:r>
            <a:r>
              <a:rPr lang="en-US" baseline="0"/>
              <a:t> Private Flights Zero Spike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expected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zerospike!$I$7:$I$27</c:f>
              <c:numCache>
                <c:formatCode>General</c:formatCode>
                <c:ptCount val="21"/>
                <c:pt idx="0">
                  <c:v>975</c:v>
                </c:pt>
                <c:pt idx="1">
                  <c:v>127</c:v>
                </c:pt>
                <c:pt idx="2">
                  <c:v>225</c:v>
                </c:pt>
                <c:pt idx="3">
                  <c:v>91</c:v>
                </c:pt>
                <c:pt idx="4">
                  <c:v>97</c:v>
                </c:pt>
                <c:pt idx="5">
                  <c:v>61</c:v>
                </c:pt>
                <c:pt idx="6">
                  <c:v>47</c:v>
                </c:pt>
                <c:pt idx="7">
                  <c:v>25</c:v>
                </c:pt>
                <c:pt idx="8">
                  <c:v>38</c:v>
                </c:pt>
                <c:pt idx="9">
                  <c:v>39</c:v>
                </c:pt>
                <c:pt idx="10">
                  <c:v>26</c:v>
                </c:pt>
                <c:pt idx="11">
                  <c:v>19</c:v>
                </c:pt>
                <c:pt idx="12">
                  <c:v>23</c:v>
                </c:pt>
                <c:pt idx="13">
                  <c:v>17</c:v>
                </c:pt>
                <c:pt idx="14">
                  <c:v>13</c:v>
                </c:pt>
                <c:pt idx="15">
                  <c:v>11</c:v>
                </c:pt>
                <c:pt idx="16">
                  <c:v>15</c:v>
                </c:pt>
                <c:pt idx="17">
                  <c:v>11</c:v>
                </c:pt>
                <c:pt idx="18">
                  <c:v>9</c:v>
                </c:pt>
                <c:pt idx="19">
                  <c:v>17</c:v>
                </c:pt>
                <c:pt idx="20">
                  <c:v>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46-414C-A6FF-B9489B662BFB}"/>
            </c:ext>
          </c:extLst>
        </c:ser>
        <c:ser>
          <c:idx val="1"/>
          <c:order val="1"/>
          <c:tx>
            <c:v>predicted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zerospike!$K$7:$K$27</c:f>
              <c:numCache>
                <c:formatCode>General</c:formatCode>
                <c:ptCount val="21"/>
                <c:pt idx="0">
                  <c:v>974.99969102653574</c:v>
                </c:pt>
                <c:pt idx="1">
                  <c:v>183.60704259266774</c:v>
                </c:pt>
                <c:pt idx="2">
                  <c:v>129.78730175825871</c:v>
                </c:pt>
                <c:pt idx="3">
                  <c:v>100.41476464893439</c:v>
                </c:pt>
                <c:pt idx="4">
                  <c:v>81.04405270363641</c:v>
                </c:pt>
                <c:pt idx="5">
                  <c:v>67.034494801147076</c:v>
                </c:pt>
                <c:pt idx="6">
                  <c:v>56.342416060132898</c:v>
                </c:pt>
                <c:pt idx="7">
                  <c:v>47.893498146679654</c:v>
                </c:pt>
                <c:pt idx="8">
                  <c:v>41.054392135494737</c:v>
                </c:pt>
                <c:pt idx="9">
                  <c:v>35.420474485897408</c:v>
                </c:pt>
                <c:pt idx="10">
                  <c:v>30.717469439789355</c:v>
                </c:pt>
                <c:pt idx="11">
                  <c:v>26.750855669663071</c:v>
                </c:pt>
                <c:pt idx="12">
                  <c:v>23.377698964514483</c:v>
                </c:pt>
                <c:pt idx="13">
                  <c:v>20.489954654857602</c:v>
                </c:pt>
                <c:pt idx="14">
                  <c:v>18.004051550445134</c:v>
                </c:pt>
                <c:pt idx="15">
                  <c:v>15.854113759774982</c:v>
                </c:pt>
                <c:pt idx="16">
                  <c:v>13.987389894662734</c:v>
                </c:pt>
                <c:pt idx="17">
                  <c:v>12.361075670877741</c:v>
                </c:pt>
                <c:pt idx="18">
                  <c:v>10.94004647614195</c:v>
                </c:pt>
                <c:pt idx="19">
                  <c:v>9.6952020077076106</c:v>
                </c:pt>
                <c:pt idx="20">
                  <c:v>80.224013552180296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146-414C-A6FF-B9489B662B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76350047"/>
        <c:axId val="1175738671"/>
      </c:barChart>
      <c:catAx>
        <c:axId val="117635004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5738671"/>
        <c:crosses val="autoZero"/>
        <c:auto val="1"/>
        <c:lblAlgn val="ctr"/>
        <c:lblOffset val="100"/>
        <c:noMultiLvlLbl val="0"/>
      </c:catAx>
      <c:valAx>
        <c:axId val="1175738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6350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482599</xdr:colOff>
      <xdr:row>3</xdr:row>
      <xdr:rowOff>156631</xdr:rowOff>
    </xdr:from>
    <xdr:to>
      <xdr:col>17</xdr:col>
      <xdr:colOff>626532</xdr:colOff>
      <xdr:row>31</xdr:row>
      <xdr:rowOff>67733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002F589-2C5F-7FC2-A4F2-0E9A1D7DB5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78620</xdr:colOff>
      <xdr:row>37</xdr:row>
      <xdr:rowOff>16815</xdr:rowOff>
    </xdr:from>
    <xdr:to>
      <xdr:col>11</xdr:col>
      <xdr:colOff>456595</xdr:colOff>
      <xdr:row>51</xdr:row>
      <xdr:rowOff>75617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A7D607E-829D-BA36-8332-233F7748E9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304800</xdr:colOff>
      <xdr:row>45</xdr:row>
      <xdr:rowOff>101600</xdr:rowOff>
    </xdr:from>
    <xdr:to>
      <xdr:col>12</xdr:col>
      <xdr:colOff>802633</xdr:colOff>
      <xdr:row>59</xdr:row>
      <xdr:rowOff>84941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52C2111-5A0F-2C40-B467-A919599D14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38100</xdr:colOff>
      <xdr:row>37</xdr:row>
      <xdr:rowOff>25400</xdr:rowOff>
    </xdr:from>
    <xdr:to>
      <xdr:col>13</xdr:col>
      <xdr:colOff>650233</xdr:colOff>
      <xdr:row>51</xdr:row>
      <xdr:rowOff>46841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9D30D8F-7FF6-0E43-8F1B-D22D7E709B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8906</xdr:colOff>
      <xdr:row>46</xdr:row>
      <xdr:rowOff>69193</xdr:rowOff>
    </xdr:from>
    <xdr:to>
      <xdr:col>15</xdr:col>
      <xdr:colOff>621037</xdr:colOff>
      <xdr:row>60</xdr:row>
      <xdr:rowOff>134427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320AB54-1C22-2443-9678-5CEF51649C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mailto:spike@0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hyperlink" Target="mailto:spike@0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hyperlink" Target="mailto:spike@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BFA67-D83E-9940-B182-4A4EA9F17505}">
  <dimension ref="A1:E914"/>
  <sheetViews>
    <sheetView zoomScale="65" workbookViewId="0">
      <selection activeCell="F62" sqref="F62"/>
    </sheetView>
  </sheetViews>
  <sheetFormatPr baseColWidth="10" defaultRowHeight="16" x14ac:dyDescent="0.2"/>
  <cols>
    <col min="1" max="1" width="14.33203125" style="13" bestFit="1" customWidth="1"/>
    <col min="2" max="2" width="10.6640625" style="13" customWidth="1"/>
    <col min="3" max="3" width="9" style="13" customWidth="1"/>
    <col min="4" max="5" width="10.6640625" style="13" customWidth="1"/>
    <col min="6" max="256" width="8.83203125" style="13" customWidth="1"/>
    <col min="257" max="16384" width="10.83203125" style="13"/>
  </cols>
  <sheetData>
    <row r="1" spans="1:5" x14ac:dyDescent="0.2">
      <c r="A1" s="14" t="s">
        <v>6</v>
      </c>
      <c r="D1" s="13" t="s">
        <v>8</v>
      </c>
    </row>
    <row r="2" spans="1:5" x14ac:dyDescent="0.2">
      <c r="B2" s="20"/>
      <c r="C2" s="20"/>
      <c r="D2" s="20"/>
    </row>
    <row r="5" spans="1:5" x14ac:dyDescent="0.2">
      <c r="A5" s="13" t="s">
        <v>0</v>
      </c>
      <c r="B5" s="13" t="s">
        <v>1</v>
      </c>
      <c r="D5" s="13" t="s">
        <v>0</v>
      </c>
      <c r="E5" s="13" t="s">
        <v>9</v>
      </c>
    </row>
    <row r="6" spans="1:5" x14ac:dyDescent="0.2">
      <c r="A6" s="13">
        <v>0</v>
      </c>
      <c r="B6" s="13">
        <v>975</v>
      </c>
      <c r="D6" s="13">
        <v>0</v>
      </c>
      <c r="E6" s="13">
        <v>975</v>
      </c>
    </row>
    <row r="7" spans="1:5" x14ac:dyDescent="0.2">
      <c r="A7" s="13">
        <v>1</v>
      </c>
      <c r="B7" s="13">
        <v>127</v>
      </c>
      <c r="D7" s="13">
        <v>1</v>
      </c>
      <c r="E7" s="13">
        <v>127</v>
      </c>
    </row>
    <row r="8" spans="1:5" x14ac:dyDescent="0.2">
      <c r="A8" s="13">
        <v>2</v>
      </c>
      <c r="B8" s="13">
        <v>225</v>
      </c>
      <c r="D8" s="13">
        <v>2</v>
      </c>
      <c r="E8" s="13">
        <v>225</v>
      </c>
    </row>
    <row r="9" spans="1:5" x14ac:dyDescent="0.2">
      <c r="A9" s="13">
        <v>3</v>
      </c>
      <c r="B9" s="13">
        <v>91</v>
      </c>
      <c r="D9" s="13">
        <v>3</v>
      </c>
      <c r="E9" s="13">
        <v>91</v>
      </c>
    </row>
    <row r="10" spans="1:5" x14ac:dyDescent="0.2">
      <c r="A10" s="13">
        <v>4</v>
      </c>
      <c r="B10" s="13">
        <v>97</v>
      </c>
      <c r="D10" s="13">
        <v>4</v>
      </c>
      <c r="E10" s="13">
        <v>97</v>
      </c>
    </row>
    <row r="11" spans="1:5" x14ac:dyDescent="0.2">
      <c r="A11" s="13">
        <v>5</v>
      </c>
      <c r="B11" s="13">
        <v>61</v>
      </c>
      <c r="D11" s="13">
        <v>5</v>
      </c>
      <c r="E11" s="13">
        <v>61</v>
      </c>
    </row>
    <row r="12" spans="1:5" x14ac:dyDescent="0.2">
      <c r="A12" s="13">
        <v>6</v>
      </c>
      <c r="B12" s="13">
        <v>47</v>
      </c>
      <c r="D12" s="13">
        <v>6</v>
      </c>
      <c r="E12" s="13">
        <v>47</v>
      </c>
    </row>
    <row r="13" spans="1:5" x14ac:dyDescent="0.2">
      <c r="A13" s="13">
        <v>7</v>
      </c>
      <c r="B13" s="13">
        <v>25</v>
      </c>
      <c r="D13" s="13">
        <v>7</v>
      </c>
      <c r="E13" s="13">
        <v>25</v>
      </c>
    </row>
    <row r="14" spans="1:5" x14ac:dyDescent="0.2">
      <c r="A14" s="13">
        <v>8</v>
      </c>
      <c r="B14" s="13">
        <v>38</v>
      </c>
      <c r="D14" s="13">
        <v>8</v>
      </c>
      <c r="E14" s="13">
        <v>38</v>
      </c>
    </row>
    <row r="15" spans="1:5" x14ac:dyDescent="0.2">
      <c r="A15" s="13">
        <v>9</v>
      </c>
      <c r="B15" s="13">
        <v>39</v>
      </c>
      <c r="D15" s="13">
        <v>9</v>
      </c>
      <c r="E15" s="13">
        <v>39</v>
      </c>
    </row>
    <row r="16" spans="1:5" x14ac:dyDescent="0.2">
      <c r="A16" s="13">
        <v>10</v>
      </c>
      <c r="B16" s="13">
        <v>26</v>
      </c>
      <c r="D16" s="13">
        <v>10</v>
      </c>
      <c r="E16" s="13">
        <v>26</v>
      </c>
    </row>
    <row r="17" spans="1:5" x14ac:dyDescent="0.2">
      <c r="A17" s="13">
        <v>11</v>
      </c>
      <c r="B17" s="13">
        <v>19</v>
      </c>
      <c r="D17" s="13">
        <v>11</v>
      </c>
      <c r="E17" s="13">
        <v>19</v>
      </c>
    </row>
    <row r="18" spans="1:5" x14ac:dyDescent="0.2">
      <c r="A18" s="13">
        <v>12</v>
      </c>
      <c r="B18" s="13">
        <v>23</v>
      </c>
      <c r="D18" s="13">
        <v>12</v>
      </c>
      <c r="E18" s="13">
        <v>23</v>
      </c>
    </row>
    <row r="19" spans="1:5" x14ac:dyDescent="0.2">
      <c r="A19" s="13">
        <v>13</v>
      </c>
      <c r="B19" s="13">
        <v>17</v>
      </c>
      <c r="D19" s="13">
        <v>13</v>
      </c>
      <c r="E19" s="13">
        <v>17</v>
      </c>
    </row>
    <row r="20" spans="1:5" x14ac:dyDescent="0.2">
      <c r="A20" s="13">
        <v>14</v>
      </c>
      <c r="B20" s="13">
        <v>13</v>
      </c>
      <c r="D20" s="13">
        <v>14</v>
      </c>
      <c r="E20" s="13">
        <v>13</v>
      </c>
    </row>
    <row r="21" spans="1:5" x14ac:dyDescent="0.2">
      <c r="A21" s="13">
        <v>15</v>
      </c>
      <c r="B21" s="13">
        <v>11</v>
      </c>
      <c r="D21" s="13">
        <v>15</v>
      </c>
      <c r="E21" s="13">
        <v>11</v>
      </c>
    </row>
    <row r="22" spans="1:5" x14ac:dyDescent="0.2">
      <c r="A22" s="13">
        <v>16</v>
      </c>
      <c r="B22" s="13">
        <v>15</v>
      </c>
      <c r="D22" s="13">
        <v>16</v>
      </c>
      <c r="E22" s="13">
        <v>15</v>
      </c>
    </row>
    <row r="23" spans="1:5" x14ac:dyDescent="0.2">
      <c r="A23" s="13">
        <v>17</v>
      </c>
      <c r="B23" s="13">
        <v>11</v>
      </c>
      <c r="D23" s="13">
        <v>17</v>
      </c>
      <c r="E23" s="13">
        <v>11</v>
      </c>
    </row>
    <row r="24" spans="1:5" x14ac:dyDescent="0.2">
      <c r="A24" s="13">
        <v>18</v>
      </c>
      <c r="B24" s="13">
        <v>9</v>
      </c>
      <c r="D24" s="13">
        <v>18</v>
      </c>
      <c r="E24" s="13">
        <v>9</v>
      </c>
    </row>
    <row r="25" spans="1:5" x14ac:dyDescent="0.2">
      <c r="A25" s="13">
        <v>19</v>
      </c>
      <c r="B25" s="13">
        <v>17</v>
      </c>
      <c r="D25" s="13">
        <v>19</v>
      </c>
      <c r="E25" s="13">
        <v>17</v>
      </c>
    </row>
    <row r="26" spans="1:5" x14ac:dyDescent="0.2">
      <c r="A26" s="13">
        <v>20</v>
      </c>
      <c r="B26" s="13">
        <v>4</v>
      </c>
      <c r="D26" s="13" t="s">
        <v>11</v>
      </c>
      <c r="E26" s="13">
        <f xml:space="preserve"> 1980 - SUM(E6:E25)</f>
        <v>94</v>
      </c>
    </row>
    <row r="27" spans="1:5" x14ac:dyDescent="0.2">
      <c r="A27" s="13">
        <v>21</v>
      </c>
      <c r="B27" s="13">
        <v>7</v>
      </c>
    </row>
    <row r="28" spans="1:5" x14ac:dyDescent="0.2">
      <c r="A28" s="13">
        <v>22</v>
      </c>
      <c r="B28" s="13">
        <v>9</v>
      </c>
    </row>
    <row r="29" spans="1:5" x14ac:dyDescent="0.2">
      <c r="A29" s="13">
        <v>23</v>
      </c>
      <c r="B29" s="13">
        <v>6</v>
      </c>
    </row>
    <row r="30" spans="1:5" x14ac:dyDescent="0.2">
      <c r="A30" s="13">
        <v>24</v>
      </c>
      <c r="B30" s="13">
        <v>8</v>
      </c>
      <c r="D30" s="13" t="s">
        <v>10</v>
      </c>
      <c r="E30" s="13">
        <f>SUM(E6:E26)</f>
        <v>1980</v>
      </c>
    </row>
    <row r="31" spans="1:5" x14ac:dyDescent="0.2">
      <c r="A31" s="13">
        <v>25</v>
      </c>
      <c r="B31" s="13">
        <v>6</v>
      </c>
    </row>
    <row r="32" spans="1:5" x14ac:dyDescent="0.2">
      <c r="A32" s="13">
        <v>26</v>
      </c>
      <c r="B32" s="13">
        <v>3</v>
      </c>
    </row>
    <row r="33" spans="1:2" x14ac:dyDescent="0.2">
      <c r="A33" s="13">
        <v>27</v>
      </c>
      <c r="B33" s="13">
        <v>9</v>
      </c>
    </row>
    <row r="34" spans="1:2" x14ac:dyDescent="0.2">
      <c r="A34" s="13">
        <v>28</v>
      </c>
      <c r="B34" s="13">
        <v>5</v>
      </c>
    </row>
    <row r="35" spans="1:2" x14ac:dyDescent="0.2">
      <c r="A35" s="13">
        <v>29</v>
      </c>
      <c r="B35" s="13">
        <v>4</v>
      </c>
    </row>
    <row r="36" spans="1:2" x14ac:dyDescent="0.2">
      <c r="A36" s="13">
        <v>30</v>
      </c>
      <c r="B36" s="13">
        <v>7</v>
      </c>
    </row>
    <row r="37" spans="1:2" x14ac:dyDescent="0.2">
      <c r="A37" s="13">
        <v>31</v>
      </c>
      <c r="B37" s="13">
        <v>5</v>
      </c>
    </row>
    <row r="38" spans="1:2" x14ac:dyDescent="0.2">
      <c r="A38" s="13">
        <v>32</v>
      </c>
      <c r="B38" s="13">
        <v>3</v>
      </c>
    </row>
    <row r="39" spans="1:2" x14ac:dyDescent="0.2">
      <c r="A39" s="13">
        <v>33</v>
      </c>
      <c r="B39" s="13">
        <v>3</v>
      </c>
    </row>
    <row r="40" spans="1:2" x14ac:dyDescent="0.2">
      <c r="A40" s="13">
        <v>34</v>
      </c>
      <c r="B40" s="13">
        <v>2</v>
      </c>
    </row>
    <row r="41" spans="1:2" x14ac:dyDescent="0.2">
      <c r="A41" s="13">
        <v>35</v>
      </c>
      <c r="B41" s="13">
        <v>2</v>
      </c>
    </row>
    <row r="42" spans="1:2" x14ac:dyDescent="0.2">
      <c r="A42" s="13">
        <v>36</v>
      </c>
      <c r="B42" s="13">
        <v>3</v>
      </c>
    </row>
    <row r="43" spans="1:2" x14ac:dyDescent="0.2">
      <c r="A43" s="13">
        <v>37</v>
      </c>
      <c r="B43" s="13">
        <v>4</v>
      </c>
    </row>
    <row r="44" spans="1:2" x14ac:dyDescent="0.2">
      <c r="A44" s="13">
        <v>38</v>
      </c>
      <c r="B44" s="13">
        <v>2</v>
      </c>
    </row>
    <row r="45" spans="1:2" x14ac:dyDescent="0.2">
      <c r="A45" s="13">
        <v>39</v>
      </c>
      <c r="B45" s="13">
        <v>0</v>
      </c>
    </row>
    <row r="46" spans="1:2" x14ac:dyDescent="0.2">
      <c r="A46" s="13">
        <v>40</v>
      </c>
      <c r="B46" s="13">
        <v>2</v>
      </c>
    </row>
    <row r="47" spans="1:2" x14ac:dyDescent="0.2">
      <c r="A47" s="13">
        <v>41</v>
      </c>
      <c r="B47" s="13">
        <v>0</v>
      </c>
    </row>
    <row r="48" spans="1:2" x14ac:dyDescent="0.2">
      <c r="A48" s="13">
        <v>42</v>
      </c>
      <c r="B48" s="13">
        <v>0</v>
      </c>
    </row>
    <row r="51" spans="1:2" x14ac:dyDescent="0.2">
      <c r="A51" s="13" t="s">
        <v>10</v>
      </c>
      <c r="B51" s="13">
        <f>SUM(B6:B48)</f>
        <v>1980</v>
      </c>
    </row>
    <row r="65" ht="13.5" customHeight="1" x14ac:dyDescent="0.2"/>
    <row r="119" ht="13.5" customHeight="1" x14ac:dyDescent="0.2"/>
    <row r="120" ht="13.5" customHeight="1" x14ac:dyDescent="0.2"/>
    <row r="121" ht="13.5" customHeight="1" x14ac:dyDescent="0.2"/>
    <row r="122" ht="13.5" customHeight="1" x14ac:dyDescent="0.2"/>
    <row r="252" ht="13.5" customHeight="1" x14ac:dyDescent="0.2"/>
    <row r="253" ht="13.5" customHeight="1" x14ac:dyDescent="0.2"/>
    <row r="325" ht="13.5" customHeight="1" x14ac:dyDescent="0.2"/>
    <row r="326" ht="13.5" customHeight="1" x14ac:dyDescent="0.2"/>
    <row r="382" ht="13.5" customHeight="1" x14ac:dyDescent="0.2"/>
    <row r="383" ht="13.5" customHeight="1" x14ac:dyDescent="0.2"/>
    <row r="384" ht="12" customHeight="1" x14ac:dyDescent="0.2"/>
    <row r="385" ht="12" customHeight="1" x14ac:dyDescent="0.2"/>
    <row r="386" ht="12" customHeight="1" x14ac:dyDescent="0.2"/>
    <row r="434" ht="15" customHeight="1" x14ac:dyDescent="0.2"/>
    <row r="435" ht="15" customHeight="1" x14ac:dyDescent="0.2"/>
    <row r="460" ht="12" customHeight="1" x14ac:dyDescent="0.2"/>
    <row r="461" ht="12" customHeight="1" x14ac:dyDescent="0.2"/>
    <row r="462" ht="12" customHeight="1" x14ac:dyDescent="0.2"/>
    <row r="463" ht="12" customHeight="1" x14ac:dyDescent="0.2"/>
    <row r="508" ht="15" customHeight="1" x14ac:dyDescent="0.2"/>
    <row r="509" ht="15" customHeight="1" x14ac:dyDescent="0.2"/>
    <row r="510" ht="15" customHeight="1" x14ac:dyDescent="0.2"/>
    <row r="511" ht="15" customHeight="1" x14ac:dyDescent="0.2"/>
    <row r="525" ht="12" customHeight="1" x14ac:dyDescent="0.2"/>
    <row r="526" hidden="1" x14ac:dyDescent="0.2"/>
    <row r="527" hidden="1" x14ac:dyDescent="0.2"/>
    <row r="541" ht="12" customHeight="1" x14ac:dyDescent="0.2"/>
    <row r="542" ht="12" customHeight="1" x14ac:dyDescent="0.2"/>
    <row r="601" ht="11.25" customHeight="1" x14ac:dyDescent="0.2"/>
    <row r="621" ht="13.5" customHeight="1" x14ac:dyDescent="0.2"/>
    <row r="683" ht="12" customHeight="1" x14ac:dyDescent="0.2"/>
    <row r="684" ht="12" customHeight="1" x14ac:dyDescent="0.2"/>
    <row r="685" ht="12" customHeight="1" x14ac:dyDescent="0.2"/>
    <row r="686" ht="12" customHeight="1" x14ac:dyDescent="0.2"/>
    <row r="687" ht="12" customHeight="1" x14ac:dyDescent="0.2"/>
    <row r="688" ht="12" customHeight="1" x14ac:dyDescent="0.2"/>
    <row r="689" ht="12" customHeight="1" x14ac:dyDescent="0.2"/>
    <row r="853" ht="13.5" customHeight="1" x14ac:dyDescent="0.2"/>
    <row r="854" ht="13.5" customHeight="1" x14ac:dyDescent="0.2"/>
    <row r="879" ht="14.25" customHeight="1" x14ac:dyDescent="0.2"/>
    <row r="887" ht="13.5" customHeight="1" x14ac:dyDescent="0.2"/>
    <row r="910" ht="13.5" customHeight="1" x14ac:dyDescent="0.2"/>
    <row r="911" ht="13.5" customHeight="1" x14ac:dyDescent="0.2"/>
    <row r="912" ht="13.5" customHeight="1" x14ac:dyDescent="0.2"/>
    <row r="913" ht="13.5" customHeight="1" x14ac:dyDescent="0.2"/>
    <row r="914" ht="13.5" customHeight="1" x14ac:dyDescent="0.2"/>
  </sheetData>
  <mergeCells count="1">
    <mergeCell ref="B2:D2"/>
  </mergeCells>
  <phoneticPr fontId="0" type="noConversion"/>
  <printOptions horizontalCentered="1" verticalCentered="1"/>
  <pageMargins left="0.74803149606299213" right="0.74803149606299213" top="0.98425196850393704" bottom="0.98425196850393704" header="0.51181102362204722" footer="0.51181102362204722"/>
  <pageSetup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F271A-9C1A-BD41-9EEE-873C107FA939}">
  <dimension ref="A1:H914"/>
  <sheetViews>
    <sheetView zoomScale="75" zoomScaleNormal="75" workbookViewId="0">
      <selection activeCell="G69" sqref="G69"/>
    </sheetView>
  </sheetViews>
  <sheetFormatPr baseColWidth="10" defaultRowHeight="13" x14ac:dyDescent="0.15"/>
  <cols>
    <col min="1" max="2" width="10.6640625" customWidth="1"/>
    <col min="3" max="3" width="9" customWidth="1"/>
    <col min="4" max="5" width="10.6640625" customWidth="1"/>
    <col min="6" max="256" width="8.83203125" customWidth="1"/>
  </cols>
  <sheetData>
    <row r="1" spans="1:8" x14ac:dyDescent="0.15">
      <c r="A1" t="s">
        <v>3</v>
      </c>
      <c r="B1">
        <v>1</v>
      </c>
      <c r="F1" s="1"/>
      <c r="G1" s="1"/>
    </row>
    <row r="2" spans="1:8" x14ac:dyDescent="0.15">
      <c r="A2" t="s">
        <v>4</v>
      </c>
      <c r="B2">
        <v>1</v>
      </c>
      <c r="C2" s="1"/>
      <c r="D2" s="1"/>
    </row>
    <row r="3" spans="1:8" x14ac:dyDescent="0.15">
      <c r="A3" s="11" t="s">
        <v>2</v>
      </c>
      <c r="B3">
        <f>SUM(D6:D48)</f>
        <v>-6551.6271506526036</v>
      </c>
      <c r="F3" s="1"/>
      <c r="G3" s="1"/>
    </row>
    <row r="4" spans="1:8" ht="14" thickBot="1" x14ac:dyDescent="0.2">
      <c r="F4" s="1"/>
      <c r="G4" s="1"/>
    </row>
    <row r="5" spans="1:8" ht="14" thickBot="1" x14ac:dyDescent="0.2">
      <c r="A5" s="8" t="s">
        <v>0</v>
      </c>
      <c r="B5" s="9" t="s">
        <v>1</v>
      </c>
      <c r="C5" s="1" t="s">
        <v>5</v>
      </c>
      <c r="D5" s="1" t="s">
        <v>2</v>
      </c>
      <c r="E5" s="1" t="s">
        <v>7</v>
      </c>
      <c r="F5" s="1" t="s">
        <v>12</v>
      </c>
      <c r="G5" s="1"/>
      <c r="H5" s="1"/>
    </row>
    <row r="6" spans="1:8" x14ac:dyDescent="0.15">
      <c r="A6" s="6">
        <v>0</v>
      </c>
      <c r="B6" s="7">
        <v>975</v>
      </c>
      <c r="C6" s="1">
        <f>(B2/(B2+1))^B1</f>
        <v>0.5</v>
      </c>
      <c r="D6">
        <f>B6*LN(C6)</f>
        <v>-675.81850104594662</v>
      </c>
      <c r="E6" s="10">
        <f>1980*C6</f>
        <v>990</v>
      </c>
      <c r="F6" s="1">
        <f>(E6-B6)^2/B6</f>
        <v>0.23076923076923078</v>
      </c>
      <c r="G6" s="1"/>
      <c r="H6" s="1"/>
    </row>
    <row r="7" spans="1:8" x14ac:dyDescent="0.15">
      <c r="A7" s="2">
        <v>1</v>
      </c>
      <c r="B7" s="4">
        <v>127</v>
      </c>
      <c r="C7" s="1">
        <f>C6*($B$1+A6)/(A7*($B$2+1))</f>
        <v>0.25</v>
      </c>
      <c r="D7">
        <f t="shared" ref="D7:D48" si="0">B7*LN(C7)</f>
        <v>-176.0593838622261</v>
      </c>
      <c r="E7" s="10">
        <f t="shared" ref="E7:E14" si="1">1980*C7</f>
        <v>495</v>
      </c>
      <c r="F7" s="1">
        <f t="shared" ref="F7:F14" si="2">(E7-B7)^2/B7</f>
        <v>1066.3307086614172</v>
      </c>
      <c r="G7" s="1"/>
      <c r="H7" s="1"/>
    </row>
    <row r="8" spans="1:8" x14ac:dyDescent="0.15">
      <c r="A8" s="2">
        <v>2</v>
      </c>
      <c r="B8" s="4">
        <v>225</v>
      </c>
      <c r="C8" s="1">
        <f t="shared" ref="C8:C48" si="3">C7*($B$1+A7)/(A8*($B$2+1))</f>
        <v>0.125</v>
      </c>
      <c r="D8">
        <f t="shared" si="0"/>
        <v>-467.87434687796303</v>
      </c>
      <c r="E8" s="10">
        <f t="shared" si="1"/>
        <v>247.5</v>
      </c>
      <c r="F8" s="1">
        <f t="shared" si="2"/>
        <v>2.25</v>
      </c>
      <c r="G8" s="1"/>
      <c r="H8" s="1"/>
    </row>
    <row r="9" spans="1:8" x14ac:dyDescent="0.15">
      <c r="A9" s="2">
        <v>3</v>
      </c>
      <c r="B9" s="4">
        <v>91</v>
      </c>
      <c r="C9" s="1">
        <f t="shared" si="3"/>
        <v>6.25E-2</v>
      </c>
      <c r="D9">
        <f t="shared" si="0"/>
        <v>-252.30557372382009</v>
      </c>
      <c r="E9" s="10">
        <f t="shared" si="1"/>
        <v>123.75</v>
      </c>
      <c r="F9" s="1">
        <f t="shared" si="2"/>
        <v>11.786401098901099</v>
      </c>
      <c r="G9" s="1"/>
      <c r="H9" s="1"/>
    </row>
    <row r="10" spans="1:8" x14ac:dyDescent="0.15">
      <c r="A10" s="2">
        <v>4</v>
      </c>
      <c r="B10" s="4">
        <v>97</v>
      </c>
      <c r="C10" s="1">
        <f t="shared" si="3"/>
        <v>3.125E-2</v>
      </c>
      <c r="D10">
        <f t="shared" si="0"/>
        <v>-336.17638257157347</v>
      </c>
      <c r="E10" s="10">
        <f t="shared" si="1"/>
        <v>61.875</v>
      </c>
      <c r="F10" s="1">
        <f t="shared" si="2"/>
        <v>12.719233247422681</v>
      </c>
      <c r="G10" s="1"/>
      <c r="H10" s="1"/>
    </row>
    <row r="11" spans="1:8" x14ac:dyDescent="0.15">
      <c r="A11" s="2">
        <v>5</v>
      </c>
      <c r="B11" s="4">
        <v>61</v>
      </c>
      <c r="C11" s="1">
        <f t="shared" si="3"/>
        <v>1.5625E-2</v>
      </c>
      <c r="D11">
        <f t="shared" si="0"/>
        <v>-253.69186808493995</v>
      </c>
      <c r="E11" s="10">
        <f t="shared" si="1"/>
        <v>30.9375</v>
      </c>
      <c r="F11" s="1">
        <f t="shared" si="2"/>
        <v>14.815637807377049</v>
      </c>
      <c r="G11" s="1"/>
      <c r="H11" s="1"/>
    </row>
    <row r="12" spans="1:8" x14ac:dyDescent="0.15">
      <c r="A12" s="2">
        <v>6</v>
      </c>
      <c r="B12" s="4">
        <v>47</v>
      </c>
      <c r="C12" s="1">
        <f t="shared" si="3"/>
        <v>7.8125E-3</v>
      </c>
      <c r="D12">
        <f t="shared" si="0"/>
        <v>-228.04542240422199</v>
      </c>
      <c r="E12" s="10">
        <f t="shared" si="1"/>
        <v>15.46875</v>
      </c>
      <c r="F12" s="1">
        <f t="shared" si="2"/>
        <v>21.153611203457448</v>
      </c>
      <c r="G12" s="1"/>
      <c r="H12" s="1"/>
    </row>
    <row r="13" spans="1:8" x14ac:dyDescent="0.15">
      <c r="A13" s="2">
        <v>7</v>
      </c>
      <c r="B13" s="4">
        <v>25</v>
      </c>
      <c r="C13" s="1">
        <f t="shared" si="3"/>
        <v>3.90625E-3</v>
      </c>
      <c r="D13">
        <f t="shared" si="0"/>
        <v>-138.62943611198907</v>
      </c>
      <c r="E13" s="10">
        <f t="shared" si="1"/>
        <v>7.734375</v>
      </c>
      <c r="F13" s="1">
        <f t="shared" si="2"/>
        <v>11.924072265625</v>
      </c>
      <c r="G13" s="1"/>
      <c r="H13" s="1"/>
    </row>
    <row r="14" spans="1:8" x14ac:dyDescent="0.15">
      <c r="A14" s="2">
        <v>8</v>
      </c>
      <c r="B14" s="4">
        <v>38</v>
      </c>
      <c r="C14" s="1">
        <f t="shared" si="3"/>
        <v>1.953125E-3</v>
      </c>
      <c r="D14">
        <f t="shared" si="0"/>
        <v>-237.05633575150128</v>
      </c>
      <c r="E14" s="10">
        <f t="shared" si="1"/>
        <v>3.8671875</v>
      </c>
      <c r="F14" s="1">
        <f t="shared" si="2"/>
        <v>30.659181293688324</v>
      </c>
      <c r="G14" s="1"/>
      <c r="H14" s="1"/>
    </row>
    <row r="15" spans="1:8" x14ac:dyDescent="0.15">
      <c r="A15" s="2">
        <v>9</v>
      </c>
      <c r="B15" s="4">
        <v>39</v>
      </c>
      <c r="C15" s="1">
        <f t="shared" si="3"/>
        <v>9.765625E-4</v>
      </c>
      <c r="D15">
        <f t="shared" si="0"/>
        <v>-270.32740041837866</v>
      </c>
      <c r="F15" s="1"/>
      <c r="G15" s="1"/>
      <c r="H15" s="1"/>
    </row>
    <row r="16" spans="1:8" x14ac:dyDescent="0.15">
      <c r="A16" s="2">
        <v>10</v>
      </c>
      <c r="B16" s="4">
        <v>26</v>
      </c>
      <c r="C16" s="1">
        <f t="shared" si="3"/>
        <v>4.8828125E-4</v>
      </c>
      <c r="D16">
        <f t="shared" si="0"/>
        <v>-198.24009364014435</v>
      </c>
      <c r="F16" s="1"/>
      <c r="G16" s="1"/>
      <c r="H16" s="1"/>
    </row>
    <row r="17" spans="1:8" x14ac:dyDescent="0.15">
      <c r="A17" s="2">
        <v>11</v>
      </c>
      <c r="B17" s="4">
        <v>19</v>
      </c>
      <c r="C17" s="1">
        <f t="shared" si="3"/>
        <v>2.44140625E-4</v>
      </c>
      <c r="D17">
        <f t="shared" si="0"/>
        <v>-158.03755716766753</v>
      </c>
      <c r="F17" s="1"/>
      <c r="G17" s="1"/>
      <c r="H17" s="1"/>
    </row>
    <row r="18" spans="1:8" x14ac:dyDescent="0.15">
      <c r="A18" s="2">
        <v>12</v>
      </c>
      <c r="B18" s="4">
        <v>23</v>
      </c>
      <c r="C18" s="1">
        <f t="shared" si="3"/>
        <v>1.220703125E-4</v>
      </c>
      <c r="D18">
        <f t="shared" si="0"/>
        <v>-207.25100698742364</v>
      </c>
      <c r="F18" s="1"/>
      <c r="G18" s="1"/>
      <c r="H18" s="1"/>
    </row>
    <row r="19" spans="1:8" x14ac:dyDescent="0.15">
      <c r="A19" s="2">
        <v>13</v>
      </c>
      <c r="B19" s="4">
        <v>17</v>
      </c>
      <c r="C19" s="1">
        <f t="shared" si="3"/>
        <v>6.103515625E-5</v>
      </c>
      <c r="D19">
        <f t="shared" si="0"/>
        <v>-164.96902897326697</v>
      </c>
      <c r="F19" s="1"/>
      <c r="G19" s="1"/>
      <c r="H19" s="1"/>
    </row>
    <row r="20" spans="1:8" x14ac:dyDescent="0.15">
      <c r="A20" s="2">
        <v>14</v>
      </c>
      <c r="B20" s="4">
        <v>13</v>
      </c>
      <c r="C20" s="1">
        <f t="shared" si="3"/>
        <v>3.0517578125E-5</v>
      </c>
      <c r="D20">
        <f t="shared" si="0"/>
        <v>-135.16370020918933</v>
      </c>
      <c r="F20" s="1"/>
      <c r="G20" s="1"/>
      <c r="H20" s="1"/>
    </row>
    <row r="21" spans="1:8" x14ac:dyDescent="0.15">
      <c r="A21" s="2">
        <v>15</v>
      </c>
      <c r="B21" s="4">
        <v>11</v>
      </c>
      <c r="C21" s="1">
        <f t="shared" si="3"/>
        <v>1.52587890625E-5</v>
      </c>
      <c r="D21">
        <f t="shared" si="0"/>
        <v>-121.99390377855038</v>
      </c>
      <c r="F21" s="1"/>
      <c r="G21" s="1"/>
      <c r="H21" s="1"/>
    </row>
    <row r="22" spans="1:8" x14ac:dyDescent="0.15">
      <c r="A22" s="2">
        <v>16</v>
      </c>
      <c r="B22" s="4">
        <v>15</v>
      </c>
      <c r="C22" s="1">
        <f t="shared" si="3"/>
        <v>7.62939453125E-6</v>
      </c>
      <c r="D22">
        <f t="shared" si="0"/>
        <v>-176.75253104278605</v>
      </c>
      <c r="F22" s="1"/>
      <c r="G22" s="1"/>
      <c r="H22" s="1"/>
    </row>
    <row r="23" spans="1:8" x14ac:dyDescent="0.15">
      <c r="A23" s="2">
        <v>17</v>
      </c>
      <c r="B23" s="4">
        <v>11</v>
      </c>
      <c r="C23" s="1">
        <f t="shared" si="3"/>
        <v>3.814697265625E-6</v>
      </c>
      <c r="D23">
        <f t="shared" si="0"/>
        <v>-137.24314175086917</v>
      </c>
      <c r="F23" s="1"/>
      <c r="G23" s="1"/>
      <c r="H23" s="1"/>
    </row>
    <row r="24" spans="1:8" x14ac:dyDescent="0.15">
      <c r="A24" s="2">
        <v>18</v>
      </c>
      <c r="B24" s="4">
        <v>9</v>
      </c>
      <c r="C24" s="1">
        <f t="shared" si="3"/>
        <v>1.9073486328125E-6</v>
      </c>
      <c r="D24">
        <f t="shared" si="0"/>
        <v>-118.52816787575065</v>
      </c>
      <c r="F24" s="1"/>
      <c r="G24" s="1"/>
      <c r="H24" s="1"/>
    </row>
    <row r="25" spans="1:8" x14ac:dyDescent="0.15">
      <c r="A25" s="2">
        <v>19</v>
      </c>
      <c r="B25" s="4">
        <v>17</v>
      </c>
      <c r="C25" s="1">
        <f t="shared" si="3"/>
        <v>9.5367431640625E-7</v>
      </c>
      <c r="D25">
        <f t="shared" si="0"/>
        <v>-235.67004139038141</v>
      </c>
      <c r="F25" s="1"/>
      <c r="G25" s="1"/>
      <c r="H25" s="1"/>
    </row>
    <row r="26" spans="1:8" x14ac:dyDescent="0.15">
      <c r="A26" s="2">
        <v>20</v>
      </c>
      <c r="B26" s="4">
        <v>4</v>
      </c>
      <c r="C26" s="1">
        <f t="shared" si="3"/>
        <v>4.76837158203125E-7</v>
      </c>
      <c r="D26">
        <f t="shared" si="0"/>
        <v>-58.224363167035406</v>
      </c>
      <c r="F26" s="1"/>
      <c r="G26" s="1"/>
      <c r="H26" s="1"/>
    </row>
    <row r="27" spans="1:8" x14ac:dyDescent="0.15">
      <c r="A27" s="2">
        <v>21</v>
      </c>
      <c r="B27" s="4">
        <v>7</v>
      </c>
      <c r="C27" s="1">
        <f t="shared" si="3"/>
        <v>2.384185791015625E-7</v>
      </c>
      <c r="D27">
        <f t="shared" si="0"/>
        <v>-106.74466580623158</v>
      </c>
      <c r="F27" s="1"/>
      <c r="G27" s="1"/>
      <c r="H27" s="1"/>
    </row>
    <row r="28" spans="1:8" x14ac:dyDescent="0.15">
      <c r="A28" s="2">
        <v>22</v>
      </c>
      <c r="B28" s="4">
        <v>9</v>
      </c>
      <c r="C28" s="1">
        <f t="shared" si="3"/>
        <v>1.1920928955078125E-7</v>
      </c>
      <c r="D28">
        <f t="shared" si="0"/>
        <v>-143.48146637590867</v>
      </c>
      <c r="F28" s="1"/>
      <c r="G28" s="1"/>
      <c r="H28" s="1"/>
    </row>
    <row r="29" spans="1:8" x14ac:dyDescent="0.15">
      <c r="A29" s="2">
        <v>23</v>
      </c>
      <c r="B29" s="4">
        <v>6</v>
      </c>
      <c r="C29" s="1">
        <f t="shared" si="3"/>
        <v>5.9604644775390625E-8</v>
      </c>
      <c r="D29">
        <f t="shared" si="0"/>
        <v>-99.813194000632109</v>
      </c>
      <c r="F29" s="1"/>
      <c r="G29" s="1"/>
      <c r="H29" s="1"/>
    </row>
    <row r="30" spans="1:8" x14ac:dyDescent="0.15">
      <c r="A30" s="2">
        <v>24</v>
      </c>
      <c r="B30" s="4">
        <v>8</v>
      </c>
      <c r="C30" s="1">
        <f t="shared" si="3"/>
        <v>2.9802322387695312E-8</v>
      </c>
      <c r="D30">
        <f t="shared" si="0"/>
        <v>-138.62943611198907</v>
      </c>
      <c r="F30" s="1"/>
      <c r="G30" s="1"/>
      <c r="H30" s="1"/>
    </row>
    <row r="31" spans="1:8" x14ac:dyDescent="0.15">
      <c r="A31" s="2">
        <v>25</v>
      </c>
      <c r="B31" s="4">
        <v>6</v>
      </c>
      <c r="C31" s="1">
        <f t="shared" si="3"/>
        <v>1.4901161193847656E-8</v>
      </c>
      <c r="D31">
        <f t="shared" si="0"/>
        <v>-108.13096016735146</v>
      </c>
      <c r="F31" s="1"/>
      <c r="G31" s="1"/>
      <c r="H31" s="1"/>
    </row>
    <row r="32" spans="1:8" x14ac:dyDescent="0.15">
      <c r="A32" s="2">
        <v>26</v>
      </c>
      <c r="B32" s="4">
        <v>3</v>
      </c>
      <c r="C32" s="1">
        <f t="shared" si="3"/>
        <v>7.4505805969238281E-9</v>
      </c>
      <c r="D32">
        <f t="shared" si="0"/>
        <v>-56.144921625355572</v>
      </c>
      <c r="F32" s="1"/>
      <c r="G32" s="1"/>
      <c r="H32" s="1"/>
    </row>
    <row r="33" spans="1:8" x14ac:dyDescent="0.15">
      <c r="A33" s="2">
        <v>27</v>
      </c>
      <c r="B33" s="4">
        <v>9</v>
      </c>
      <c r="C33" s="1">
        <f t="shared" si="3"/>
        <v>3.7252902984619141E-9</v>
      </c>
      <c r="D33">
        <f t="shared" si="0"/>
        <v>-174.6730895011062</v>
      </c>
      <c r="F33" s="1"/>
      <c r="G33" s="1"/>
      <c r="H33" s="1"/>
    </row>
    <row r="34" spans="1:8" x14ac:dyDescent="0.15">
      <c r="A34" s="2">
        <v>28</v>
      </c>
      <c r="B34" s="4">
        <v>5</v>
      </c>
      <c r="C34" s="1">
        <f t="shared" si="3"/>
        <v>1.862645149230957E-9</v>
      </c>
      <c r="D34">
        <f t="shared" si="0"/>
        <v>-100.50634118119207</v>
      </c>
      <c r="F34" s="1"/>
      <c r="G34" s="1"/>
      <c r="H34" s="1"/>
    </row>
    <row r="35" spans="1:8" x14ac:dyDescent="0.15">
      <c r="A35" s="2">
        <v>29</v>
      </c>
      <c r="B35" s="4">
        <v>4</v>
      </c>
      <c r="C35" s="1">
        <f t="shared" si="3"/>
        <v>9.3132257461547852E-10</v>
      </c>
      <c r="D35">
        <f t="shared" si="0"/>
        <v>-83.177661667193433</v>
      </c>
      <c r="F35" s="1"/>
      <c r="G35" s="1"/>
      <c r="H35" s="1"/>
    </row>
    <row r="36" spans="1:8" x14ac:dyDescent="0.15">
      <c r="A36" s="2">
        <v>30</v>
      </c>
      <c r="B36" s="4">
        <v>7</v>
      </c>
      <c r="C36" s="1">
        <f t="shared" si="3"/>
        <v>4.6566128730773926E-10</v>
      </c>
      <c r="D36">
        <f t="shared" si="0"/>
        <v>-150.41293818150814</v>
      </c>
      <c r="F36" s="1"/>
      <c r="G36" s="1"/>
      <c r="H36" s="1"/>
    </row>
    <row r="37" spans="1:8" x14ac:dyDescent="0.15">
      <c r="A37" s="2">
        <v>31</v>
      </c>
      <c r="B37" s="4">
        <v>5</v>
      </c>
      <c r="C37" s="1">
        <f t="shared" si="3"/>
        <v>2.3283064365386963E-10</v>
      </c>
      <c r="D37">
        <f t="shared" si="0"/>
        <v>-110.90354888959125</v>
      </c>
      <c r="F37" s="1" t="s">
        <v>12</v>
      </c>
      <c r="G37" s="1">
        <f>SUM(F6:F14)</f>
        <v>1171.8696148086581</v>
      </c>
      <c r="H37" s="1"/>
    </row>
    <row r="38" spans="1:8" x14ac:dyDescent="0.15">
      <c r="A38" s="2">
        <v>32</v>
      </c>
      <c r="B38" s="4">
        <v>3</v>
      </c>
      <c r="C38" s="1">
        <f t="shared" si="3"/>
        <v>1.1641532182693481E-10</v>
      </c>
      <c r="D38">
        <f t="shared" si="0"/>
        <v>-68.621570875434585</v>
      </c>
      <c r="F38" s="1" t="s">
        <v>13</v>
      </c>
      <c r="G38" s="1">
        <f>9 - 2- 1</f>
        <v>6</v>
      </c>
      <c r="H38" s="1"/>
    </row>
    <row r="39" spans="1:8" x14ac:dyDescent="0.15">
      <c r="A39" s="2">
        <v>33</v>
      </c>
      <c r="B39" s="4">
        <v>3</v>
      </c>
      <c r="C39" s="1">
        <f t="shared" si="3"/>
        <v>5.8207660913467407E-11</v>
      </c>
      <c r="D39">
        <f t="shared" si="0"/>
        <v>-70.701012417114413</v>
      </c>
      <c r="F39" s="1" t="s">
        <v>14</v>
      </c>
      <c r="G39" s="1">
        <f>_xlfn.CHISQ.DIST.RT(G37,G38)</f>
        <v>5.8599968877034879E-250</v>
      </c>
      <c r="H39" s="1"/>
    </row>
    <row r="40" spans="1:8" x14ac:dyDescent="0.15">
      <c r="A40" s="2">
        <v>34</v>
      </c>
      <c r="B40" s="4">
        <v>2</v>
      </c>
      <c r="C40" s="1">
        <f t="shared" si="3"/>
        <v>2.9103830456733704E-11</v>
      </c>
      <c r="D40">
        <f t="shared" si="0"/>
        <v>-48.520302639196174</v>
      </c>
      <c r="F40" s="1"/>
      <c r="G40" s="1"/>
      <c r="H40" s="1"/>
    </row>
    <row r="41" spans="1:8" x14ac:dyDescent="0.15">
      <c r="A41" s="2">
        <v>35</v>
      </c>
      <c r="B41" s="4">
        <v>2</v>
      </c>
      <c r="C41" s="1">
        <f t="shared" si="3"/>
        <v>1.4551915228366852E-11</v>
      </c>
      <c r="D41">
        <f t="shared" si="0"/>
        <v>-49.906597000316061</v>
      </c>
      <c r="F41" s="1"/>
      <c r="G41" s="1"/>
      <c r="H41" s="1"/>
    </row>
    <row r="42" spans="1:8" x14ac:dyDescent="0.15">
      <c r="A42" s="2">
        <v>36</v>
      </c>
      <c r="B42" s="4">
        <v>3</v>
      </c>
      <c r="C42" s="1">
        <f t="shared" si="3"/>
        <v>7.2759576141834259E-12</v>
      </c>
      <c r="D42">
        <f t="shared" si="0"/>
        <v>-76.939337042153937</v>
      </c>
      <c r="F42" s="1"/>
      <c r="G42" s="1"/>
      <c r="H42" s="1"/>
    </row>
    <row r="43" spans="1:8" x14ac:dyDescent="0.15">
      <c r="A43" s="2">
        <v>37</v>
      </c>
      <c r="B43" s="4">
        <v>4</v>
      </c>
      <c r="C43" s="1">
        <f t="shared" si="3"/>
        <v>3.637978807091713E-12</v>
      </c>
      <c r="D43">
        <f t="shared" si="0"/>
        <v>-105.35837144511169</v>
      </c>
      <c r="F43" s="1"/>
      <c r="G43" s="1"/>
      <c r="H43" s="1"/>
    </row>
    <row r="44" spans="1:8" x14ac:dyDescent="0.15">
      <c r="A44" s="2">
        <v>38</v>
      </c>
      <c r="B44" s="4">
        <v>2</v>
      </c>
      <c r="C44" s="1">
        <f t="shared" si="3"/>
        <v>1.8189894035458565E-12</v>
      </c>
      <c r="D44">
        <f t="shared" si="0"/>
        <v>-54.065480083675737</v>
      </c>
      <c r="F44" s="1"/>
      <c r="G44" s="1"/>
      <c r="H44" s="1"/>
    </row>
    <row r="45" spans="1:8" x14ac:dyDescent="0.15">
      <c r="A45" s="2">
        <v>39</v>
      </c>
      <c r="B45" s="4">
        <v>0</v>
      </c>
      <c r="C45" s="1">
        <f t="shared" si="3"/>
        <v>9.0949470177292824E-13</v>
      </c>
      <c r="D45">
        <f t="shared" si="0"/>
        <v>0</v>
      </c>
      <c r="G45" s="1"/>
      <c r="H45" s="1"/>
    </row>
    <row r="46" spans="1:8" x14ac:dyDescent="0.15">
      <c r="A46" s="2">
        <v>40</v>
      </c>
      <c r="B46" s="4">
        <v>2</v>
      </c>
      <c r="C46" s="1">
        <f t="shared" si="3"/>
        <v>4.5474735088646412E-13</v>
      </c>
      <c r="D46">
        <f t="shared" si="0"/>
        <v>-56.838068805915512</v>
      </c>
      <c r="G46" s="1"/>
      <c r="H46" s="1"/>
    </row>
    <row r="47" spans="1:8" x14ac:dyDescent="0.15">
      <c r="A47" s="2">
        <v>41</v>
      </c>
      <c r="B47" s="4">
        <v>0</v>
      </c>
      <c r="C47" s="1">
        <f t="shared" si="3"/>
        <v>2.2737367544323206E-13</v>
      </c>
      <c r="D47">
        <f t="shared" si="0"/>
        <v>0</v>
      </c>
      <c r="G47" s="1"/>
      <c r="H47" s="1"/>
    </row>
    <row r="48" spans="1:8" ht="14" thickBot="1" x14ac:dyDescent="0.2">
      <c r="A48" s="3">
        <v>42</v>
      </c>
      <c r="B48" s="5">
        <v>0</v>
      </c>
      <c r="C48" s="1">
        <f t="shared" si="3"/>
        <v>1.1368683772161603E-13</v>
      </c>
      <c r="D48">
        <f t="shared" si="0"/>
        <v>0</v>
      </c>
      <c r="G48" s="1"/>
      <c r="H48" s="1"/>
    </row>
    <row r="50" spans="8:8" x14ac:dyDescent="0.15">
      <c r="H50" s="1"/>
    </row>
    <row r="65" ht="13.5" customHeight="1" x14ac:dyDescent="0.15"/>
    <row r="119" ht="13.5" customHeight="1" x14ac:dyDescent="0.15"/>
    <row r="120" ht="13.5" customHeight="1" x14ac:dyDescent="0.15"/>
    <row r="121" ht="13.5" customHeight="1" x14ac:dyDescent="0.15"/>
    <row r="122" ht="13.5" customHeight="1" x14ac:dyDescent="0.15"/>
    <row r="252" ht="13.5" customHeight="1" x14ac:dyDescent="0.15"/>
    <row r="253" ht="13.5" customHeight="1" x14ac:dyDescent="0.15"/>
    <row r="325" ht="13.5" customHeight="1" x14ac:dyDescent="0.15"/>
    <row r="326" ht="13.5" customHeight="1" x14ac:dyDescent="0.15"/>
    <row r="382" ht="13.5" customHeight="1" x14ac:dyDescent="0.15"/>
    <row r="383" ht="13.5" customHeight="1" x14ac:dyDescent="0.15"/>
    <row r="384" ht="12" customHeight="1" x14ac:dyDescent="0.15"/>
    <row r="385" ht="12" customHeight="1" x14ac:dyDescent="0.15"/>
    <row r="386" ht="12" customHeight="1" x14ac:dyDescent="0.15"/>
    <row r="434" ht="15" customHeight="1" x14ac:dyDescent="0.15"/>
    <row r="435" ht="15" customHeight="1" x14ac:dyDescent="0.15"/>
    <row r="460" ht="12" customHeight="1" x14ac:dyDescent="0.15"/>
    <row r="461" ht="12" customHeight="1" x14ac:dyDescent="0.15"/>
    <row r="462" ht="12" customHeight="1" x14ac:dyDescent="0.15"/>
    <row r="463" ht="12" customHeight="1" x14ac:dyDescent="0.15"/>
    <row r="508" ht="15" customHeight="1" x14ac:dyDescent="0.15"/>
    <row r="509" ht="15" customHeight="1" x14ac:dyDescent="0.15"/>
    <row r="510" ht="15" customHeight="1" x14ac:dyDescent="0.15"/>
    <row r="511" ht="15" customHeight="1" x14ac:dyDescent="0.15"/>
    <row r="525" ht="12" customHeight="1" x14ac:dyDescent="0.15"/>
    <row r="526" hidden="1" x14ac:dyDescent="0.15"/>
    <row r="527" hidden="1" x14ac:dyDescent="0.15"/>
    <row r="541" ht="12" customHeight="1" x14ac:dyDescent="0.15"/>
    <row r="542" ht="12" customHeight="1" x14ac:dyDescent="0.15"/>
    <row r="601" ht="11.25" customHeight="1" x14ac:dyDescent="0.15"/>
    <row r="621" ht="13.5" customHeight="1" x14ac:dyDescent="0.15"/>
    <row r="683" ht="12" customHeight="1" x14ac:dyDescent="0.15"/>
    <row r="684" ht="12" customHeight="1" x14ac:dyDescent="0.15"/>
    <row r="685" ht="12" customHeight="1" x14ac:dyDescent="0.15"/>
    <row r="686" ht="12" customHeight="1" x14ac:dyDescent="0.15"/>
    <row r="687" ht="12" customHeight="1" x14ac:dyDescent="0.15"/>
    <row r="688" ht="12" customHeight="1" x14ac:dyDescent="0.15"/>
    <row r="689" ht="12" customHeight="1" x14ac:dyDescent="0.15"/>
    <row r="853" ht="13.5" customHeight="1" x14ac:dyDescent="0.15"/>
    <row r="854" ht="13.5" customHeight="1" x14ac:dyDescent="0.15"/>
    <row r="879" ht="14.25" customHeight="1" x14ac:dyDescent="0.15"/>
    <row r="887" ht="13.5" customHeight="1" x14ac:dyDescent="0.15"/>
    <row r="910" ht="13.5" customHeight="1" x14ac:dyDescent="0.15"/>
    <row r="911" ht="13.5" customHeight="1" x14ac:dyDescent="0.15"/>
    <row r="912" ht="13.5" customHeight="1" x14ac:dyDescent="0.15"/>
    <row r="913" ht="13.5" customHeight="1" x14ac:dyDescent="0.15"/>
    <row r="914" ht="13.5" customHeight="1" x14ac:dyDescent="0.15"/>
  </sheetData>
  <phoneticPr fontId="0" type="noConversion"/>
  <printOptions horizontalCentered="1" verticalCentered="1"/>
  <pageMargins left="0.74803149606299213" right="0.74803149606299213" top="0.98425196850393704" bottom="0.98425196850393704" header="0.51181102362204722" footer="0.51181102362204722"/>
  <pageSetup orientation="portrait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A3116-EE47-4B46-A5E0-1941452A8324}">
  <dimension ref="A1:L49"/>
  <sheetViews>
    <sheetView zoomScale="91" workbookViewId="0">
      <selection activeCell="L7" sqref="L7"/>
    </sheetView>
  </sheetViews>
  <sheetFormatPr baseColWidth="10" defaultRowHeight="13" x14ac:dyDescent="0.15"/>
  <cols>
    <col min="3" max="3" width="10.83203125" style="19"/>
    <col min="10" max="10" width="12.33203125" bestFit="1" customWidth="1"/>
    <col min="12" max="12" width="12.33203125" bestFit="1" customWidth="1"/>
  </cols>
  <sheetData>
    <row r="1" spans="1:12" x14ac:dyDescent="0.15">
      <c r="A1" s="1" t="s">
        <v>3</v>
      </c>
      <c r="B1" s="1">
        <v>0.55817735493507281</v>
      </c>
      <c r="C1" s="16"/>
    </row>
    <row r="2" spans="1:12" x14ac:dyDescent="0.15">
      <c r="A2" s="1" t="s">
        <v>15</v>
      </c>
      <c r="B2" s="11">
        <v>0.10215842420150123</v>
      </c>
      <c r="C2" s="17"/>
    </row>
    <row r="3" spans="1:12" x14ac:dyDescent="0.15">
      <c r="A3" s="15" t="s">
        <v>17</v>
      </c>
      <c r="B3" s="11">
        <v>0.3093208771288099</v>
      </c>
      <c r="C3" s="17"/>
    </row>
    <row r="4" spans="1:12" x14ac:dyDescent="0.15">
      <c r="A4" s="1" t="s">
        <v>16</v>
      </c>
      <c r="B4" s="11">
        <f>SUM(E7:E49)</f>
        <v>-4302.6273335447559</v>
      </c>
      <c r="C4" s="17"/>
    </row>
    <row r="5" spans="1:12" x14ac:dyDescent="0.15">
      <c r="B5" s="11"/>
      <c r="C5" s="17"/>
    </row>
    <row r="6" spans="1:12" ht="16" x14ac:dyDescent="0.2">
      <c r="A6" s="13" t="s">
        <v>0</v>
      </c>
      <c r="B6" s="13" t="s">
        <v>1</v>
      </c>
      <c r="C6" s="18" t="s">
        <v>18</v>
      </c>
      <c r="D6" s="13" t="s">
        <v>19</v>
      </c>
      <c r="E6" s="13" t="s">
        <v>2</v>
      </c>
      <c r="H6" s="13" t="s">
        <v>0</v>
      </c>
      <c r="I6" s="13" t="s">
        <v>9</v>
      </c>
      <c r="J6" s="13" t="s">
        <v>18</v>
      </c>
      <c r="K6" s="13" t="s">
        <v>7</v>
      </c>
      <c r="L6" s="13" t="s">
        <v>12</v>
      </c>
    </row>
    <row r="7" spans="1:12" ht="16" x14ac:dyDescent="0.2">
      <c r="A7" s="13">
        <v>0</v>
      </c>
      <c r="B7" s="13">
        <v>975</v>
      </c>
      <c r="C7" s="18">
        <f>(B2/(B2+1))^B1</f>
        <v>0.26510604300164531</v>
      </c>
      <c r="D7" s="13">
        <f xml:space="preserve"> $B$3 + (1-$B$3) * C7</f>
        <v>0.49242408637703827</v>
      </c>
      <c r="E7" s="13">
        <f>B7* LN(D7)</f>
        <v>-690.70459534697864</v>
      </c>
      <c r="H7" s="13">
        <v>0</v>
      </c>
      <c r="I7" s="13">
        <v>975</v>
      </c>
      <c r="J7" s="18">
        <f t="shared" ref="J7:J26" si="0">D7</f>
        <v>0.49242408637703827</v>
      </c>
      <c r="K7" s="13">
        <f>J7*1980</f>
        <v>974.99969102653574</v>
      </c>
      <c r="L7">
        <f t="shared" ref="L7:L27" si="1">(K7-I7)^2/I7</f>
        <v>9.7912411912904522E-11</v>
      </c>
    </row>
    <row r="8" spans="1:12" ht="16" x14ac:dyDescent="0.2">
      <c r="A8" s="13">
        <v>1</v>
      </c>
      <c r="B8" s="13">
        <v>127</v>
      </c>
      <c r="C8" s="18">
        <f>C7*($B$1+A7)/(A8*($B$2+1))</f>
        <v>0.13426036276696682</v>
      </c>
      <c r="D8" s="13">
        <f>(1-$B$3) *C8</f>
        <v>9.2730829592256439E-2</v>
      </c>
      <c r="E8" s="13">
        <f t="shared" ref="E8:E49" si="2">B8* LN(D8)</f>
        <v>-302.01289456202869</v>
      </c>
      <c r="H8" s="13">
        <v>1</v>
      </c>
      <c r="I8" s="13">
        <v>127</v>
      </c>
      <c r="J8" s="18">
        <f t="shared" si="0"/>
        <v>9.2730829592256439E-2</v>
      </c>
      <c r="K8" s="13">
        <f t="shared" ref="K8:K27" si="3">J8*1980</f>
        <v>183.60704259266774</v>
      </c>
      <c r="L8">
        <f t="shared" si="1"/>
        <v>25.231159614866925</v>
      </c>
    </row>
    <row r="9" spans="1:12" ht="16" x14ac:dyDescent="0.2">
      <c r="A9" s="13">
        <v>2</v>
      </c>
      <c r="B9" s="13">
        <v>225</v>
      </c>
      <c r="C9" s="18">
        <f t="shared" ref="C9:C49" si="4">C8*($B$1+A8)/(A9*($B$2+1))</f>
        <v>9.4905347695554435E-2</v>
      </c>
      <c r="D9" s="13">
        <f t="shared" ref="D9:D49" si="5">(1-$B$3) *C9</f>
        <v>6.5549142302150865E-2</v>
      </c>
      <c r="E9" s="13">
        <f t="shared" si="2"/>
        <v>-613.11490953601776</v>
      </c>
      <c r="H9" s="13">
        <v>2</v>
      </c>
      <c r="I9" s="13">
        <v>225</v>
      </c>
      <c r="J9" s="18">
        <f t="shared" si="0"/>
        <v>6.5549142302150865E-2</v>
      </c>
      <c r="K9" s="13">
        <f t="shared" si="3"/>
        <v>129.78730175825871</v>
      </c>
      <c r="L9">
        <f t="shared" si="1"/>
        <v>40.29092402876838</v>
      </c>
    </row>
    <row r="10" spans="1:12" ht="16" x14ac:dyDescent="0.2">
      <c r="A10" s="13">
        <v>3</v>
      </c>
      <c r="B10" s="13">
        <v>91</v>
      </c>
      <c r="C10" s="18">
        <f t="shared" si="4"/>
        <v>7.3427045817816103E-2</v>
      </c>
      <c r="D10" s="13">
        <f t="shared" si="5"/>
        <v>5.0714527600471918E-2</v>
      </c>
      <c r="E10" s="13">
        <f t="shared" si="2"/>
        <v>-271.32040107778414</v>
      </c>
      <c r="H10" s="13">
        <v>3</v>
      </c>
      <c r="I10" s="13">
        <v>91</v>
      </c>
      <c r="J10" s="18">
        <f t="shared" si="0"/>
        <v>5.0714527600471918E-2</v>
      </c>
      <c r="K10" s="13">
        <f t="shared" si="3"/>
        <v>100.41476464893439</v>
      </c>
      <c r="L10">
        <f t="shared" si="1"/>
        <v>0.974041685657415</v>
      </c>
    </row>
    <row r="11" spans="1:12" ht="16" x14ac:dyDescent="0.2">
      <c r="A11" s="13">
        <v>4</v>
      </c>
      <c r="B11" s="13">
        <v>97</v>
      </c>
      <c r="C11" s="18">
        <f t="shared" si="4"/>
        <v>5.9262454002022735E-2</v>
      </c>
      <c r="D11" s="13">
        <f t="shared" si="5"/>
        <v>4.0931339749311318E-2</v>
      </c>
      <c r="E11" s="13">
        <f t="shared" si="2"/>
        <v>-309.99834786264853</v>
      </c>
      <c r="H11" s="13">
        <v>4</v>
      </c>
      <c r="I11" s="13">
        <v>97</v>
      </c>
      <c r="J11" s="18">
        <f t="shared" si="0"/>
        <v>4.0931339749311318E-2</v>
      </c>
      <c r="K11" s="13">
        <f t="shared" si="3"/>
        <v>81.04405270363641</v>
      </c>
      <c r="L11">
        <f t="shared" si="1"/>
        <v>2.6246624136529131</v>
      </c>
    </row>
    <row r="12" spans="1:12" ht="16" x14ac:dyDescent="0.2">
      <c r="A12" s="13">
        <v>5</v>
      </c>
      <c r="B12" s="13">
        <v>61</v>
      </c>
      <c r="C12" s="18">
        <f t="shared" si="4"/>
        <v>4.9018139298006275E-2</v>
      </c>
      <c r="D12" s="13">
        <f t="shared" si="5"/>
        <v>3.3855805455124788E-2</v>
      </c>
      <c r="E12" s="13">
        <f t="shared" si="2"/>
        <v>-206.52433212948466</v>
      </c>
      <c r="H12" s="13">
        <v>5</v>
      </c>
      <c r="I12" s="13">
        <v>61</v>
      </c>
      <c r="J12" s="18">
        <f t="shared" si="0"/>
        <v>3.3855805455124788E-2</v>
      </c>
      <c r="K12" s="13">
        <f t="shared" si="3"/>
        <v>67.034494801147076</v>
      </c>
      <c r="L12">
        <f t="shared" si="1"/>
        <v>0.59696930336182119</v>
      </c>
    </row>
    <row r="13" spans="1:12" ht="16" x14ac:dyDescent="0.2">
      <c r="A13" s="13">
        <v>6</v>
      </c>
      <c r="B13" s="13">
        <v>47</v>
      </c>
      <c r="C13" s="18">
        <f t="shared" si="4"/>
        <v>4.1199689906137114E-2</v>
      </c>
      <c r="D13" s="13">
        <f t="shared" si="5"/>
        <v>2.8455765686935808E-2</v>
      </c>
      <c r="E13" s="13">
        <f t="shared" si="2"/>
        <v>-167.29201049388951</v>
      </c>
      <c r="H13" s="13">
        <v>6</v>
      </c>
      <c r="I13" s="13">
        <v>47</v>
      </c>
      <c r="J13" s="18">
        <f t="shared" si="0"/>
        <v>2.8455765686935808E-2</v>
      </c>
      <c r="K13" s="13">
        <f t="shared" si="3"/>
        <v>56.342416060132898</v>
      </c>
      <c r="L13">
        <f t="shared" si="1"/>
        <v>1.857036975332534</v>
      </c>
    </row>
    <row r="14" spans="1:12" ht="16" x14ac:dyDescent="0.2">
      <c r="A14" s="13">
        <v>7</v>
      </c>
      <c r="B14" s="13">
        <v>25</v>
      </c>
      <c r="C14" s="18">
        <f t="shared" si="4"/>
        <v>3.502152392714946E-2</v>
      </c>
      <c r="D14" s="13">
        <f t="shared" si="5"/>
        <v>2.4188635427615988E-2</v>
      </c>
      <c r="E14" s="13">
        <f t="shared" si="2"/>
        <v>-93.046809163752471</v>
      </c>
      <c r="H14" s="13">
        <v>7</v>
      </c>
      <c r="I14" s="13">
        <v>25</v>
      </c>
      <c r="J14" s="18">
        <f t="shared" si="0"/>
        <v>2.4188635427615988E-2</v>
      </c>
      <c r="K14" s="13">
        <f t="shared" si="3"/>
        <v>47.893498146679654</v>
      </c>
      <c r="L14">
        <f t="shared" si="1"/>
        <v>20.964490295680989</v>
      </c>
    </row>
    <row r="15" spans="1:12" ht="16" x14ac:dyDescent="0.2">
      <c r="A15" s="13">
        <v>8</v>
      </c>
      <c r="B15" s="13">
        <v>38</v>
      </c>
      <c r="C15" s="18">
        <f t="shared" si="4"/>
        <v>3.0020512848829853E-2</v>
      </c>
      <c r="D15" s="13">
        <f t="shared" si="5"/>
        <v>2.0734541482573098E-2</v>
      </c>
      <c r="E15" s="13">
        <f t="shared" si="2"/>
        <v>-147.2862633520873</v>
      </c>
      <c r="H15" s="13">
        <v>8</v>
      </c>
      <c r="I15" s="13">
        <v>38</v>
      </c>
      <c r="J15" s="18">
        <f t="shared" si="0"/>
        <v>2.0734541482573098E-2</v>
      </c>
      <c r="K15" s="13">
        <f t="shared" si="3"/>
        <v>41.054392135494737</v>
      </c>
      <c r="L15">
        <f t="shared" si="1"/>
        <v>0.2455081925624237</v>
      </c>
    </row>
    <row r="16" spans="1:12" ht="16" x14ac:dyDescent="0.2">
      <c r="A16" s="13">
        <v>9</v>
      </c>
      <c r="B16" s="13">
        <v>39</v>
      </c>
      <c r="C16" s="18">
        <f t="shared" si="4"/>
        <v>2.5900780747309907E-2</v>
      </c>
      <c r="D16" s="13">
        <f t="shared" si="5"/>
        <v>1.7889128528231015E-2</v>
      </c>
      <c r="E16" s="13">
        <f t="shared" si="2"/>
        <v>-156.91892172198644</v>
      </c>
      <c r="H16" s="13">
        <v>9</v>
      </c>
      <c r="I16" s="13">
        <v>39</v>
      </c>
      <c r="J16" s="18">
        <f t="shared" si="0"/>
        <v>1.7889128528231015E-2</v>
      </c>
      <c r="K16" s="13">
        <f t="shared" si="3"/>
        <v>35.420474485897408</v>
      </c>
      <c r="L16">
        <f t="shared" si="1"/>
        <v>0.32853853605413913</v>
      </c>
    </row>
    <row r="17" spans="1:12" ht="16" x14ac:dyDescent="0.2">
      <c r="A17" s="13">
        <v>10</v>
      </c>
      <c r="B17" s="13">
        <v>26</v>
      </c>
      <c r="C17" s="18">
        <f t="shared" si="4"/>
        <v>2.2461766891037713E-2</v>
      </c>
      <c r="D17" s="13">
        <f t="shared" si="5"/>
        <v>1.5513873454439067E-2</v>
      </c>
      <c r="E17" s="13">
        <f t="shared" si="2"/>
        <v>-108.31653543903333</v>
      </c>
      <c r="H17" s="13">
        <v>10</v>
      </c>
      <c r="I17" s="13">
        <v>26</v>
      </c>
      <c r="J17" s="18">
        <f t="shared" si="0"/>
        <v>1.5513873454439067E-2</v>
      </c>
      <c r="K17" s="13">
        <f t="shared" si="3"/>
        <v>30.717469439789355</v>
      </c>
      <c r="L17">
        <f t="shared" si="1"/>
        <v>0.85594299674409569</v>
      </c>
    </row>
    <row r="18" spans="1:12" ht="16" x14ac:dyDescent="0.2">
      <c r="A18" s="13">
        <v>11</v>
      </c>
      <c r="B18" s="13">
        <v>19</v>
      </c>
      <c r="C18" s="18">
        <f t="shared" si="4"/>
        <v>1.9561229982357785E-2</v>
      </c>
      <c r="D18" s="13">
        <f t="shared" si="5"/>
        <v>1.3510533166496501E-2</v>
      </c>
      <c r="E18" s="13">
        <f t="shared" si="2"/>
        <v>-81.781427600936865</v>
      </c>
      <c r="H18" s="13">
        <v>11</v>
      </c>
      <c r="I18" s="13">
        <v>19</v>
      </c>
      <c r="J18" s="18">
        <f t="shared" si="0"/>
        <v>1.3510533166496501E-2</v>
      </c>
      <c r="K18" s="13">
        <f t="shared" si="3"/>
        <v>26.750855669663071</v>
      </c>
      <c r="L18">
        <f t="shared" si="1"/>
        <v>3.1618822953656935</v>
      </c>
    </row>
    <row r="19" spans="1:12" ht="16" x14ac:dyDescent="0.2">
      <c r="A19" s="13">
        <v>12</v>
      </c>
      <c r="B19" s="13">
        <v>23</v>
      </c>
      <c r="C19" s="18">
        <f t="shared" si="4"/>
        <v>1.7094651159955024E-2</v>
      </c>
      <c r="D19" s="13">
        <f t="shared" si="5"/>
        <v>1.1806918668946708E-2</v>
      </c>
      <c r="E19" s="13">
        <f t="shared" si="2"/>
        <v>-102.09860060350429</v>
      </c>
      <c r="H19" s="13">
        <v>12</v>
      </c>
      <c r="I19" s="13">
        <v>23</v>
      </c>
      <c r="J19" s="18">
        <f t="shared" si="0"/>
        <v>1.1806918668946708E-2</v>
      </c>
      <c r="K19" s="13">
        <f t="shared" si="3"/>
        <v>23.377698964514483</v>
      </c>
      <c r="L19">
        <f t="shared" si="1"/>
        <v>6.2024568606657707E-3</v>
      </c>
    </row>
    <row r="20" spans="1:12" ht="16" x14ac:dyDescent="0.2">
      <c r="A20" s="13">
        <v>13</v>
      </c>
      <c r="B20" s="13">
        <v>17</v>
      </c>
      <c r="C20" s="18">
        <f t="shared" si="4"/>
        <v>1.4983024105142583E-2</v>
      </c>
      <c r="D20" s="13">
        <f t="shared" si="5"/>
        <v>1.0348461946897779E-2</v>
      </c>
      <c r="E20" s="13">
        <f t="shared" si="2"/>
        <v>-77.705595366124598</v>
      </c>
      <c r="H20" s="13">
        <v>13</v>
      </c>
      <c r="I20" s="13">
        <v>17</v>
      </c>
      <c r="J20" s="18">
        <f t="shared" si="0"/>
        <v>1.0348461946897779E-2</v>
      </c>
      <c r="K20" s="13">
        <f t="shared" si="3"/>
        <v>20.489954654857602</v>
      </c>
      <c r="L20">
        <f t="shared" si="1"/>
        <v>0.71645785252719085</v>
      </c>
    </row>
    <row r="21" spans="1:12" ht="16" x14ac:dyDescent="0.2">
      <c r="A21" s="13">
        <v>14</v>
      </c>
      <c r="B21" s="13">
        <v>13</v>
      </c>
      <c r="C21" s="18">
        <f t="shared" si="4"/>
        <v>1.3165238426069314E-2</v>
      </c>
      <c r="D21" s="13">
        <f t="shared" si="5"/>
        <v>9.0929553285076428E-3</v>
      </c>
      <c r="E21" s="13">
        <f t="shared" si="2"/>
        <v>-61.103318964800572</v>
      </c>
      <c r="H21" s="13">
        <v>14</v>
      </c>
      <c r="I21" s="13">
        <v>13</v>
      </c>
      <c r="J21" s="18">
        <f t="shared" si="0"/>
        <v>9.0929553285076428E-3</v>
      </c>
      <c r="K21" s="13">
        <f t="shared" si="3"/>
        <v>18.004051550445134</v>
      </c>
      <c r="L21">
        <f t="shared" si="1"/>
        <v>1.926194763039411</v>
      </c>
    </row>
    <row r="22" spans="1:12" ht="16" x14ac:dyDescent="0.2">
      <c r="A22" s="13">
        <v>15</v>
      </c>
      <c r="B22" s="13">
        <v>11</v>
      </c>
      <c r="C22" s="18">
        <f t="shared" si="4"/>
        <v>1.1593123197667327E-2</v>
      </c>
      <c r="D22" s="13">
        <f t="shared" si="5"/>
        <v>8.0071281615025167E-3</v>
      </c>
      <c r="E22" s="13">
        <f t="shared" si="2"/>
        <v>-53.101654252210665</v>
      </c>
      <c r="H22" s="13">
        <v>15</v>
      </c>
      <c r="I22" s="13">
        <v>11</v>
      </c>
      <c r="J22" s="18">
        <f t="shared" si="0"/>
        <v>8.0071281615025167E-3</v>
      </c>
      <c r="K22" s="13">
        <f t="shared" si="3"/>
        <v>15.854113759774982</v>
      </c>
      <c r="L22">
        <f t="shared" si="1"/>
        <v>2.1420382175306196</v>
      </c>
    </row>
    <row r="23" spans="1:12" ht="16" x14ac:dyDescent="0.2">
      <c r="A23" s="13">
        <v>16</v>
      </c>
      <c r="B23" s="13">
        <v>15</v>
      </c>
      <c r="C23" s="18">
        <f t="shared" si="4"/>
        <v>1.0228104624432416E-2</v>
      </c>
      <c r="D23" s="13">
        <f t="shared" si="5"/>
        <v>7.0643383306377445E-3</v>
      </c>
      <c r="E23" s="13">
        <f t="shared" si="2"/>
        <v>-74.290438826651496</v>
      </c>
      <c r="H23" s="13">
        <v>16</v>
      </c>
      <c r="I23" s="13">
        <v>15</v>
      </c>
      <c r="J23" s="18">
        <f t="shared" si="0"/>
        <v>7.0643383306377445E-3</v>
      </c>
      <c r="K23" s="13">
        <f t="shared" si="3"/>
        <v>13.987389894662734</v>
      </c>
      <c r="L23">
        <f t="shared" si="1"/>
        <v>6.8358615028743339E-2</v>
      </c>
    </row>
    <row r="24" spans="1:12" ht="16" x14ac:dyDescent="0.2">
      <c r="A24" s="13">
        <v>17</v>
      </c>
      <c r="B24" s="13">
        <v>11</v>
      </c>
      <c r="C24" s="18">
        <f t="shared" si="4"/>
        <v>9.0388826067189683E-3</v>
      </c>
      <c r="D24" s="13">
        <f t="shared" si="5"/>
        <v>6.2429675105443137E-3</v>
      </c>
      <c r="E24" s="13">
        <f t="shared" si="2"/>
        <v>-55.839296117633815</v>
      </c>
      <c r="H24" s="13">
        <v>17</v>
      </c>
      <c r="I24" s="13">
        <v>11</v>
      </c>
      <c r="J24" s="18">
        <f t="shared" si="0"/>
        <v>6.2429675105443137E-3</v>
      </c>
      <c r="K24" s="13">
        <f t="shared" si="3"/>
        <v>12.361075670877741</v>
      </c>
      <c r="L24">
        <f t="shared" si="1"/>
        <v>0.16841154380502649</v>
      </c>
    </row>
    <row r="25" spans="1:12" ht="16" x14ac:dyDescent="0.2">
      <c r="A25" s="13">
        <v>18</v>
      </c>
      <c r="B25" s="13">
        <v>9</v>
      </c>
      <c r="C25" s="18">
        <f t="shared" si="4"/>
        <v>7.9997727093337086E-3</v>
      </c>
      <c r="D25" s="13">
        <f t="shared" si="5"/>
        <v>5.52527599805149E-3</v>
      </c>
      <c r="E25" s="13">
        <f t="shared" si="2"/>
        <v>-46.78579870584786</v>
      </c>
      <c r="H25" s="13">
        <v>18</v>
      </c>
      <c r="I25" s="13">
        <v>9</v>
      </c>
      <c r="J25" s="18">
        <f t="shared" si="0"/>
        <v>5.52527599805149E-3</v>
      </c>
      <c r="K25" s="13">
        <f t="shared" si="3"/>
        <v>10.94004647614195</v>
      </c>
      <c r="L25">
        <f t="shared" si="1"/>
        <v>0.41819781439897735</v>
      </c>
    </row>
    <row r="26" spans="1:12" ht="16" x14ac:dyDescent="0.2">
      <c r="A26" s="13">
        <v>19</v>
      </c>
      <c r="B26" s="13">
        <v>17</v>
      </c>
      <c r="C26" s="18">
        <f t="shared" si="4"/>
        <v>7.0894956983846699E-3</v>
      </c>
      <c r="D26" s="13">
        <f t="shared" si="5"/>
        <v>4.8965666705593994E-3</v>
      </c>
      <c r="E26" s="13">
        <f t="shared" si="2"/>
        <v>-90.426756981874959</v>
      </c>
      <c r="H26" s="13">
        <v>19</v>
      </c>
      <c r="I26" s="13">
        <v>17</v>
      </c>
      <c r="J26" s="18">
        <f t="shared" si="0"/>
        <v>4.8965666705593994E-3</v>
      </c>
      <c r="K26" s="13">
        <f t="shared" si="3"/>
        <v>9.6952020077076106</v>
      </c>
      <c r="L26">
        <f t="shared" si="1"/>
        <v>3.1388278651881723</v>
      </c>
    </row>
    <row r="27" spans="1:12" ht="16" x14ac:dyDescent="0.2">
      <c r="A27" s="13">
        <v>20</v>
      </c>
      <c r="B27" s="13">
        <v>4</v>
      </c>
      <c r="C27" s="18">
        <f t="shared" si="4"/>
        <v>6.2902760248152254E-3</v>
      </c>
      <c r="D27" s="13">
        <f t="shared" si="5"/>
        <v>4.3445623274370564E-3</v>
      </c>
      <c r="E27" s="13">
        <f t="shared" si="2"/>
        <v>-21.755321022009955</v>
      </c>
      <c r="H27" s="13" t="s">
        <v>11</v>
      </c>
      <c r="I27" s="13">
        <v>94</v>
      </c>
      <c r="J27" s="18">
        <f xml:space="preserve"> 1-SUM(J7:J26)</f>
        <v>4.0517178561707223E-2</v>
      </c>
      <c r="K27" s="13">
        <f t="shared" si="3"/>
        <v>80.224013552180296</v>
      </c>
      <c r="L27">
        <f t="shared" si="1"/>
        <v>2.0189127937288527</v>
      </c>
    </row>
    <row r="28" spans="1:12" ht="16" x14ac:dyDescent="0.2">
      <c r="A28" s="13">
        <v>21</v>
      </c>
      <c r="B28" s="13">
        <v>7</v>
      </c>
      <c r="C28" s="18">
        <f t="shared" si="4"/>
        <v>5.5871585068714901E-3</v>
      </c>
      <c r="D28" s="13">
        <f t="shared" si="5"/>
        <v>3.8589337368683091E-3</v>
      </c>
      <c r="E28" s="13">
        <f t="shared" si="2"/>
        <v>-38.901550573458785</v>
      </c>
    </row>
    <row r="29" spans="1:12" ht="16" x14ac:dyDescent="0.2">
      <c r="A29" s="13">
        <v>22</v>
      </c>
      <c r="B29" s="13">
        <v>9</v>
      </c>
      <c r="C29" s="18">
        <f t="shared" si="4"/>
        <v>4.9674822914588723E-3</v>
      </c>
      <c r="D29" s="13">
        <f t="shared" si="5"/>
        <v>3.4309363119429835E-3</v>
      </c>
      <c r="E29" s="13">
        <f t="shared" si="2"/>
        <v>-51.074298700316504</v>
      </c>
      <c r="I29" s="11" t="s">
        <v>12</v>
      </c>
      <c r="J29">
        <f>SUM(L7:L27)</f>
        <v>107.7347582602529</v>
      </c>
    </row>
    <row r="30" spans="1:12" ht="16" x14ac:dyDescent="0.2">
      <c r="A30" s="13">
        <v>23</v>
      </c>
      <c r="B30" s="13">
        <v>6</v>
      </c>
      <c r="C30" s="18">
        <f t="shared" si="4"/>
        <v>4.4204702683011384E-3</v>
      </c>
      <c r="D30" s="13">
        <f t="shared" si="5"/>
        <v>3.053126527588405E-3</v>
      </c>
      <c r="E30" s="13">
        <f t="shared" si="2"/>
        <v>-34.749534734383403</v>
      </c>
      <c r="I30" s="11" t="s">
        <v>20</v>
      </c>
      <c r="J30">
        <f>21 - 3 - 1</f>
        <v>17</v>
      </c>
    </row>
    <row r="31" spans="1:12" ht="16" x14ac:dyDescent="0.2">
      <c r="A31" s="13">
        <v>24</v>
      </c>
      <c r="B31" s="13">
        <v>8</v>
      </c>
      <c r="C31" s="18">
        <f t="shared" si="4"/>
        <v>3.9369046336019545E-3</v>
      </c>
      <c r="D31" s="13">
        <f t="shared" si="5"/>
        <v>2.7191378391637224E-3</v>
      </c>
      <c r="E31" s="13">
        <f t="shared" si="2"/>
        <v>-47.259523358526508</v>
      </c>
      <c r="I31" s="11" t="s">
        <v>14</v>
      </c>
      <c r="J31">
        <f>_xlfn.CHISQ.DIST.RT(J29,J30)</f>
        <v>3.2145133452112321E-15</v>
      </c>
    </row>
    <row r="32" spans="1:12" ht="16" x14ac:dyDescent="0.2">
      <c r="A32" s="13">
        <v>25</v>
      </c>
      <c r="B32" s="13">
        <v>6</v>
      </c>
      <c r="C32" s="18">
        <f t="shared" si="4"/>
        <v>3.5088676944608267E-3</v>
      </c>
      <c r="D32" s="13">
        <f t="shared" si="5"/>
        <v>2.4235016614812589E-3</v>
      </c>
      <c r="E32" s="13">
        <f t="shared" si="2"/>
        <v>-36.135250902648622</v>
      </c>
    </row>
    <row r="33" spans="1:10" ht="16" x14ac:dyDescent="0.2">
      <c r="A33" s="13">
        <v>26</v>
      </c>
      <c r="B33" s="13">
        <v>3</v>
      </c>
      <c r="C33" s="18">
        <f t="shared" si="4"/>
        <v>3.1295327451190237E-3</v>
      </c>
      <c r="D33" s="13">
        <f t="shared" si="5"/>
        <v>2.1615029313954751E-3</v>
      </c>
      <c r="E33" s="13">
        <f t="shared" si="2"/>
        <v>-18.410854493015307</v>
      </c>
      <c r="I33" s="12" t="s">
        <v>21</v>
      </c>
    </row>
    <row r="34" spans="1:10" ht="16" x14ac:dyDescent="0.2">
      <c r="A34" s="13">
        <v>27</v>
      </c>
      <c r="B34" s="13">
        <v>9</v>
      </c>
      <c r="C34" s="18">
        <f t="shared" si="4"/>
        <v>2.7929938422339177E-3</v>
      </c>
      <c r="D34" s="13">
        <f t="shared" si="5"/>
        <v>1.9290625371387576E-3</v>
      </c>
      <c r="E34" s="13">
        <f t="shared" si="2"/>
        <v>-56.256490135114454</v>
      </c>
      <c r="I34" s="11" t="s">
        <v>22</v>
      </c>
      <c r="J34">
        <f>2 * (B4 - 'NBD fit (bad)'!B3)</f>
        <v>4497.9996342156956</v>
      </c>
    </row>
    <row r="35" spans="1:10" ht="16" x14ac:dyDescent="0.2">
      <c r="A35" s="13">
        <v>28</v>
      </c>
      <c r="B35" s="13">
        <v>5</v>
      </c>
      <c r="C35" s="18">
        <f t="shared" si="4"/>
        <v>2.494126134857591E-3</v>
      </c>
      <c r="D35" s="13">
        <f t="shared" si="5"/>
        <v>1.7226408511535527E-3</v>
      </c>
      <c r="E35" s="13">
        <f t="shared" si="2"/>
        <v>-31.81948393533855</v>
      </c>
      <c r="I35" s="11" t="s">
        <v>13</v>
      </c>
      <c r="J35">
        <f xml:space="preserve"> 3 - 2</f>
        <v>1</v>
      </c>
    </row>
    <row r="36" spans="1:10" ht="16" x14ac:dyDescent="0.2">
      <c r="A36" s="13">
        <v>29</v>
      </c>
      <c r="B36" s="13">
        <v>4</v>
      </c>
      <c r="C36" s="18">
        <f t="shared" si="4"/>
        <v>2.2284704374179514E-3</v>
      </c>
      <c r="D36" s="13">
        <f t="shared" si="5"/>
        <v>1.5391580070602082E-3</v>
      </c>
      <c r="E36" s="13">
        <f t="shared" si="2"/>
        <v>-25.906079042961419</v>
      </c>
      <c r="I36" s="11" t="s">
        <v>14</v>
      </c>
      <c r="J36">
        <f>_xlfn.CHISQ.DIST.RT(J34,J35)</f>
        <v>0</v>
      </c>
    </row>
    <row r="37" spans="1:10" ht="16" x14ac:dyDescent="0.2">
      <c r="A37" s="13">
        <v>30</v>
      </c>
      <c r="B37" s="13">
        <v>7</v>
      </c>
      <c r="C37" s="18">
        <f t="shared" si="4"/>
        <v>1.9921372152752938E-3</v>
      </c>
      <c r="D37" s="13">
        <f t="shared" si="5"/>
        <v>1.3759275844853953E-3</v>
      </c>
      <c r="E37" s="13">
        <f t="shared" si="2"/>
        <v>-46.120390178870572</v>
      </c>
    </row>
    <row r="38" spans="1:10" ht="16" x14ac:dyDescent="0.2">
      <c r="A38" s="13">
        <v>31</v>
      </c>
      <c r="B38" s="13">
        <v>5</v>
      </c>
      <c r="C38" s="18">
        <f t="shared" si="4"/>
        <v>1.781726245959159E-3</v>
      </c>
      <c r="D38" s="13">
        <f t="shared" si="5"/>
        <v>1.2306011207556503E-3</v>
      </c>
      <c r="E38" s="13">
        <f t="shared" si="2"/>
        <v>-33.501262564595528</v>
      </c>
    </row>
    <row r="39" spans="1:10" ht="16" x14ac:dyDescent="0.2">
      <c r="A39" s="13">
        <v>32</v>
      </c>
      <c r="B39" s="13">
        <v>3</v>
      </c>
      <c r="C39" s="18">
        <f t="shared" si="4"/>
        <v>1.5942590362139366E-3</v>
      </c>
      <c r="D39" s="13">
        <f t="shared" si="5"/>
        <v>1.1011214327617106E-3</v>
      </c>
      <c r="E39" s="13">
        <f t="shared" si="2"/>
        <v>-20.434278402510607</v>
      </c>
    </row>
    <row r="40" spans="1:10" ht="16" x14ac:dyDescent="0.2">
      <c r="A40" s="13">
        <v>33</v>
      </c>
      <c r="B40" s="13">
        <v>3</v>
      </c>
      <c r="C40" s="18">
        <f t="shared" si="4"/>
        <v>1.4271216922532417E-3</v>
      </c>
      <c r="D40" s="13">
        <f t="shared" si="5"/>
        <v>9.8568315863591755E-4</v>
      </c>
      <c r="E40" s="13">
        <f t="shared" si="2"/>
        <v>-20.766526785384855</v>
      </c>
    </row>
    <row r="41" spans="1:10" ht="16" x14ac:dyDescent="0.2">
      <c r="A41" s="13">
        <v>34</v>
      </c>
      <c r="B41" s="13">
        <v>2</v>
      </c>
      <c r="C41" s="18">
        <f t="shared" si="4"/>
        <v>1.2780164118422282E-3</v>
      </c>
      <c r="D41" s="13">
        <f t="shared" si="5"/>
        <v>8.8269925434617588E-4</v>
      </c>
      <c r="E41" s="13">
        <f t="shared" si="2"/>
        <v>-14.065052021361025</v>
      </c>
    </row>
    <row r="42" spans="1:10" ht="16" x14ac:dyDescent="0.2">
      <c r="A42" s="13">
        <v>35</v>
      </c>
      <c r="B42" s="13">
        <v>2</v>
      </c>
      <c r="C42" s="18">
        <f t="shared" si="4"/>
        <v>1.144920130048042E-3</v>
      </c>
      <c r="D42" s="13">
        <f t="shared" si="5"/>
        <v>7.9077243117915057E-4</v>
      </c>
      <c r="E42" s="13">
        <f t="shared" si="2"/>
        <v>-14.285000658427712</v>
      </c>
    </row>
    <row r="43" spans="1:10" ht="16" x14ac:dyDescent="0.2">
      <c r="A43" s="13">
        <v>36</v>
      </c>
      <c r="B43" s="13">
        <v>3</v>
      </c>
      <c r="C43" s="18">
        <f t="shared" si="4"/>
        <v>1.0260491330146716E-3</v>
      </c>
      <c r="D43" s="13">
        <f t="shared" si="5"/>
        <v>7.0867071521331848E-4</v>
      </c>
      <c r="E43" s="13">
        <f t="shared" si="2"/>
        <v>-21.756358724519888</v>
      </c>
    </row>
    <row r="44" spans="1:10" ht="16" x14ac:dyDescent="0.2">
      <c r="A44" s="13">
        <v>37</v>
      </c>
      <c r="B44" s="13">
        <v>4</v>
      </c>
      <c r="C44" s="18">
        <f t="shared" si="4"/>
        <v>9.1982867572618207E-4</v>
      </c>
      <c r="D44" s="13">
        <f t="shared" si="5"/>
        <v>6.3530646294232779E-4</v>
      </c>
      <c r="E44" s="13">
        <f t="shared" si="2"/>
        <v>-29.445612226751066</v>
      </c>
    </row>
    <row r="45" spans="1:10" ht="16" x14ac:dyDescent="0.2">
      <c r="A45" s="13">
        <v>38</v>
      </c>
      <c r="B45" s="13">
        <v>2</v>
      </c>
      <c r="C45" s="18">
        <f t="shared" si="4"/>
        <v>8.2486681493342201E-4</v>
      </c>
      <c r="D45" s="13">
        <f t="shared" si="5"/>
        <v>5.6971828822376829E-4</v>
      </c>
      <c r="E45" s="13">
        <f t="shared" si="2"/>
        <v>-14.940737100989077</v>
      </c>
    </row>
    <row r="46" spans="1:10" ht="16" x14ac:dyDescent="0.2">
      <c r="A46" s="13">
        <v>39</v>
      </c>
      <c r="B46" s="13">
        <v>0</v>
      </c>
      <c r="C46" s="18">
        <f t="shared" si="4"/>
        <v>7.3993180797792761E-4</v>
      </c>
      <c r="D46" s="13">
        <f t="shared" si="5"/>
        <v>5.110554521186889E-4</v>
      </c>
      <c r="E46" s="13">
        <f t="shared" si="2"/>
        <v>0</v>
      </c>
    </row>
    <row r="47" spans="1:10" ht="16" x14ac:dyDescent="0.2">
      <c r="A47" s="13">
        <v>40</v>
      </c>
      <c r="B47" s="13">
        <v>2</v>
      </c>
      <c r="C47" s="18">
        <f t="shared" si="4"/>
        <v>6.639325401825648E-4</v>
      </c>
      <c r="D47" s="13">
        <f t="shared" si="5"/>
        <v>4.5856434449893508E-4</v>
      </c>
      <c r="E47" s="13">
        <f t="shared" si="2"/>
        <v>-15.374819878296027</v>
      </c>
    </row>
    <row r="48" spans="1:10" ht="16" x14ac:dyDescent="0.2">
      <c r="A48" s="13">
        <v>41</v>
      </c>
      <c r="B48" s="13">
        <v>0</v>
      </c>
      <c r="C48" s="18">
        <f t="shared" si="4"/>
        <v>5.9590153384589959E-4</v>
      </c>
      <c r="D48" s="13">
        <f t="shared" si="5"/>
        <v>4.1157674871428277E-4</v>
      </c>
      <c r="E48" s="13">
        <f t="shared" si="2"/>
        <v>0</v>
      </c>
    </row>
    <row r="49" spans="1:5" ht="16" x14ac:dyDescent="0.2">
      <c r="A49" s="13">
        <v>42</v>
      </c>
      <c r="B49" s="13">
        <v>0</v>
      </c>
      <c r="C49" s="18">
        <f t="shared" si="4"/>
        <v>5.3498016527989362E-4</v>
      </c>
      <c r="D49" s="13">
        <f t="shared" si="5"/>
        <v>3.6949963130900124E-4</v>
      </c>
      <c r="E49" s="13">
        <f t="shared" si="2"/>
        <v>0</v>
      </c>
    </row>
  </sheetData>
  <hyperlinks>
    <hyperlink ref="A3" r:id="rId1" xr:uid="{074E2536-57FE-324F-B576-50F9227C882A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47AFC-77CA-424B-8427-7314B745BA6A}">
  <dimension ref="A1:L50"/>
  <sheetViews>
    <sheetView workbookViewId="0">
      <selection activeCell="Q42" sqref="Q42"/>
    </sheetView>
  </sheetViews>
  <sheetFormatPr baseColWidth="10" defaultRowHeight="16" x14ac:dyDescent="0.2"/>
  <cols>
    <col min="1" max="1" width="13.83203125" style="13" bestFit="1" customWidth="1"/>
    <col min="2" max="2" width="10.83203125" style="13"/>
    <col min="3" max="3" width="10.83203125" style="22"/>
    <col min="4" max="9" width="10.83203125" style="13"/>
    <col min="10" max="10" width="12.33203125" style="13" bestFit="1" customWidth="1"/>
    <col min="11" max="11" width="10.83203125" style="13"/>
    <col min="12" max="12" width="12.33203125" style="13" bestFit="1" customWidth="1"/>
    <col min="13" max="16384" width="10.83203125" style="13"/>
  </cols>
  <sheetData>
    <row r="1" spans="1:12" x14ac:dyDescent="0.2">
      <c r="A1" s="13" t="s">
        <v>3</v>
      </c>
      <c r="B1" s="13">
        <v>0.21270838985721793</v>
      </c>
      <c r="C1" s="21"/>
    </row>
    <row r="2" spans="1:12" x14ac:dyDescent="0.2">
      <c r="A2" s="13" t="s">
        <v>15</v>
      </c>
      <c r="B2" s="13">
        <v>5.6499990900641055E-2</v>
      </c>
    </row>
    <row r="3" spans="1:12" x14ac:dyDescent="0.2">
      <c r="A3" s="13" t="s">
        <v>23</v>
      </c>
      <c r="B3" s="13">
        <v>1.5643064801180526</v>
      </c>
    </row>
    <row r="4" spans="1:12" x14ac:dyDescent="0.2">
      <c r="A4" s="13" t="s">
        <v>2</v>
      </c>
      <c r="B4" s="13">
        <f>SUM(F8:F50)</f>
        <v>-4278.493292413862</v>
      </c>
    </row>
    <row r="7" spans="1:12" x14ac:dyDescent="0.2">
      <c r="A7" s="13" t="s">
        <v>0</v>
      </c>
      <c r="B7" s="13" t="s">
        <v>1</v>
      </c>
      <c r="C7" s="22" t="s">
        <v>18</v>
      </c>
      <c r="D7" s="13" t="s">
        <v>23</v>
      </c>
      <c r="E7" s="13" t="s">
        <v>24</v>
      </c>
      <c r="F7" s="13" t="s">
        <v>2</v>
      </c>
      <c r="H7" s="13" t="s">
        <v>0</v>
      </c>
      <c r="I7" s="13" t="s">
        <v>9</v>
      </c>
      <c r="J7" s="13" t="s">
        <v>18</v>
      </c>
      <c r="K7" s="13" t="s">
        <v>7</v>
      </c>
      <c r="L7" s="13" t="s">
        <v>12</v>
      </c>
    </row>
    <row r="8" spans="1:12" x14ac:dyDescent="0.2">
      <c r="A8" s="13">
        <v>0</v>
      </c>
      <c r="B8" s="13">
        <v>975</v>
      </c>
      <c r="C8" s="22">
        <f>(B2/(B2+1))^B1</f>
        <v>0.53638049585601444</v>
      </c>
      <c r="D8" s="18">
        <f xml:space="preserve"> C8</f>
        <v>0.53638049585601444</v>
      </c>
      <c r="E8" s="13">
        <f>D8/SUM($D$8:$D$50)</f>
        <v>0.48793487280343839</v>
      </c>
      <c r="F8" s="13">
        <f>B8* LN(E8)</f>
        <v>-699.63400592008986</v>
      </c>
      <c r="H8" s="13">
        <v>0</v>
      </c>
      <c r="I8" s="13">
        <v>975</v>
      </c>
      <c r="J8" s="18">
        <f>E8</f>
        <v>0.48793487280343839</v>
      </c>
      <c r="K8" s="13">
        <f>J8*1980</f>
        <v>966.11104815080796</v>
      </c>
      <c r="L8" s="23">
        <f>(K8-I8)^2/I8</f>
        <v>8.1039451258722653E-2</v>
      </c>
    </row>
    <row r="9" spans="1:12" x14ac:dyDescent="0.2">
      <c r="A9" s="13">
        <v>1</v>
      </c>
      <c r="B9" s="13">
        <v>127</v>
      </c>
      <c r="C9" s="22">
        <f>C8*($B$1+A8)/(A9*($B$2+1))</f>
        <v>0.10799113356081315</v>
      </c>
      <c r="D9" s="13">
        <f xml:space="preserve"> IF(MOD(A9,2) = 0, C9*$B$3, C9)</f>
        <v>0.10799113356081315</v>
      </c>
      <c r="E9" s="13">
        <f t="shared" ref="E9:E50" si="0">D9/SUM($D$8:$D$50)</f>
        <v>9.8237427395270652E-2</v>
      </c>
      <c r="F9" s="13">
        <f t="shared" ref="F9:F50" si="1">B9* LN(E9)</f>
        <v>-294.68673623667468</v>
      </c>
      <c r="H9" s="13">
        <v>1</v>
      </c>
      <c r="I9" s="13">
        <v>127</v>
      </c>
      <c r="J9" s="18">
        <f t="shared" ref="J9:J28" si="2">E9</f>
        <v>9.8237427395270652E-2</v>
      </c>
      <c r="K9" s="13">
        <f t="shared" ref="K9:K28" si="3">J9*1980</f>
        <v>194.51010624263589</v>
      </c>
      <c r="L9" s="23">
        <f t="shared" ref="L9:L28" si="4">(K9-I9)^2/I9</f>
        <v>35.886727912535314</v>
      </c>
    </row>
    <row r="10" spans="1:12" x14ac:dyDescent="0.2">
      <c r="A10" s="13">
        <v>2</v>
      </c>
      <c r="B10" s="13">
        <v>225</v>
      </c>
      <c r="C10" s="22">
        <f>C9*($B$1+A9)/(A10*($B$2+1))</f>
        <v>6.1979060495659689E-2</v>
      </c>
      <c r="D10" s="13">
        <f xml:space="preserve"> IF(MOD(A10,2) = 0, C10*$B$3, C10)</f>
        <v>9.695424596498925E-2</v>
      </c>
      <c r="E10" s="13">
        <f t="shared" si="0"/>
        <v>8.8197386068600558E-2</v>
      </c>
      <c r="F10" s="13">
        <f t="shared" si="1"/>
        <v>-546.34003938427122</v>
      </c>
      <c r="H10" s="13">
        <v>2</v>
      </c>
      <c r="I10" s="13">
        <v>225</v>
      </c>
      <c r="J10" s="18">
        <f t="shared" si="2"/>
        <v>8.8197386068600558E-2</v>
      </c>
      <c r="K10" s="13">
        <f t="shared" si="3"/>
        <v>174.6308244158291</v>
      </c>
      <c r="L10" s="23">
        <f t="shared" si="4"/>
        <v>11.275794884573504</v>
      </c>
    </row>
    <row r="11" spans="1:12" x14ac:dyDescent="0.2">
      <c r="A11" s="13">
        <v>3</v>
      </c>
      <c r="B11" s="13">
        <v>91</v>
      </c>
      <c r="C11" s="22">
        <f>C10*($B$1+A10)/(A11*($B$2+1))</f>
        <v>4.3269155493099537E-2</v>
      </c>
      <c r="D11" s="13">
        <f xml:space="preserve"> IF(MOD(A11,2) = 0, C11*$B$3, C11)</f>
        <v>4.3269155493099537E-2</v>
      </c>
      <c r="E11" s="13">
        <f t="shared" si="0"/>
        <v>3.936110661172354E-2</v>
      </c>
      <c r="F11" s="13">
        <f t="shared" si="1"/>
        <v>-294.38291537728298</v>
      </c>
      <c r="H11" s="13">
        <v>3</v>
      </c>
      <c r="I11" s="13">
        <v>91</v>
      </c>
      <c r="J11" s="18">
        <f t="shared" si="2"/>
        <v>3.936110661172354E-2</v>
      </c>
      <c r="K11" s="13">
        <f t="shared" si="3"/>
        <v>77.934991091212609</v>
      </c>
      <c r="L11" s="23">
        <f t="shared" si="4"/>
        <v>1.8757632723812516</v>
      </c>
    </row>
    <row r="12" spans="1:12" x14ac:dyDescent="0.2">
      <c r="A12" s="13">
        <v>4</v>
      </c>
      <c r="B12" s="13">
        <v>97</v>
      </c>
      <c r="C12" s="22">
        <f>C11*($B$1+A11)/(A12*($B$2+1))</f>
        <v>3.2894268829149184E-2</v>
      </c>
      <c r="D12" s="13">
        <f t="shared" ref="D10:D50" si="5" xml:space="preserve"> IF(MOD(A12,2) = 0, C12*$B$3, C12)</f>
        <v>5.1456717888183338E-2</v>
      </c>
      <c r="E12" s="13">
        <f t="shared" si="0"/>
        <v>4.6809172390923394E-2</v>
      </c>
      <c r="F12" s="13">
        <f t="shared" si="1"/>
        <v>-296.98258208831686</v>
      </c>
      <c r="H12" s="13">
        <v>4</v>
      </c>
      <c r="I12" s="13">
        <v>97</v>
      </c>
      <c r="J12" s="18">
        <f t="shared" si="2"/>
        <v>4.6809172390923394E-2</v>
      </c>
      <c r="K12" s="13">
        <f t="shared" si="3"/>
        <v>92.682161334028322</v>
      </c>
      <c r="L12" s="23">
        <f t="shared" si="4"/>
        <v>0.19220340974598019</v>
      </c>
    </row>
    <row r="13" spans="1:12" x14ac:dyDescent="0.2">
      <c r="A13" s="13">
        <v>5</v>
      </c>
      <c r="B13" s="13">
        <v>61</v>
      </c>
      <c r="C13" s="22">
        <f>C12*($B$1+A12)/(A13*($B$2+1))</f>
        <v>2.6232648077288583E-2</v>
      </c>
      <c r="D13" s="13">
        <f t="shared" si="5"/>
        <v>2.6232648077288583E-2</v>
      </c>
      <c r="E13" s="13">
        <f t="shared" si="0"/>
        <v>2.3863328181726321E-2</v>
      </c>
      <c r="F13" s="13">
        <f t="shared" si="1"/>
        <v>-227.86015543142875</v>
      </c>
      <c r="H13" s="13">
        <v>5</v>
      </c>
      <c r="I13" s="13">
        <v>61</v>
      </c>
      <c r="J13" s="18">
        <f t="shared" si="2"/>
        <v>2.3863328181726321E-2</v>
      </c>
      <c r="K13" s="13">
        <f t="shared" si="3"/>
        <v>47.249389799818118</v>
      </c>
      <c r="L13" s="23">
        <f t="shared" si="4"/>
        <v>3.0996603422515738</v>
      </c>
    </row>
    <row r="14" spans="1:12" x14ac:dyDescent="0.2">
      <c r="A14" s="13">
        <v>6</v>
      </c>
      <c r="B14" s="13">
        <v>47</v>
      </c>
      <c r="C14" s="22">
        <f>C13*($B$1+A13)/(A14*($B$2+1))</f>
        <v>2.1571722022146567E-2</v>
      </c>
      <c r="D14" s="13">
        <f t="shared" si="5"/>
        <v>3.3744784546549174E-2</v>
      </c>
      <c r="E14" s="13">
        <f t="shared" si="0"/>
        <v>3.0696972173126565E-2</v>
      </c>
      <c r="F14" s="13">
        <f t="shared" si="1"/>
        <v>-163.72878901016378</v>
      </c>
      <c r="H14" s="13">
        <v>6</v>
      </c>
      <c r="I14" s="13">
        <v>47</v>
      </c>
      <c r="J14" s="18">
        <f t="shared" si="2"/>
        <v>3.0696972173126565E-2</v>
      </c>
      <c r="K14" s="13">
        <f t="shared" si="3"/>
        <v>60.780004902790601</v>
      </c>
      <c r="L14" s="23">
        <f t="shared" si="4"/>
        <v>4.0401815983177238</v>
      </c>
    </row>
    <row r="15" spans="1:12" x14ac:dyDescent="0.2">
      <c r="A15" s="13">
        <v>7</v>
      </c>
      <c r="B15" s="13">
        <v>25</v>
      </c>
      <c r="C15" s="22">
        <f>C14*($B$1+A14)/(A15*($B$2+1))</f>
        <v>1.8121671225059408E-2</v>
      </c>
      <c r="D15" s="13">
        <f t="shared" si="5"/>
        <v>1.8121671225059408E-2</v>
      </c>
      <c r="E15" s="13">
        <f t="shared" si="0"/>
        <v>1.6484930776749725E-2</v>
      </c>
      <c r="F15" s="13">
        <f t="shared" si="1"/>
        <v>-102.63271504082961</v>
      </c>
      <c r="H15" s="13">
        <v>7</v>
      </c>
      <c r="I15" s="13">
        <v>25</v>
      </c>
      <c r="J15" s="18">
        <f t="shared" si="2"/>
        <v>1.6484930776749725E-2</v>
      </c>
      <c r="K15" s="13">
        <f t="shared" si="3"/>
        <v>32.640162937964455</v>
      </c>
      <c r="L15" s="23">
        <f t="shared" si="4"/>
        <v>2.3348835887458259</v>
      </c>
    </row>
    <row r="16" spans="1:12" x14ac:dyDescent="0.2">
      <c r="A16" s="13">
        <v>8</v>
      </c>
      <c r="B16" s="13">
        <v>38</v>
      </c>
      <c r="C16" s="22">
        <f>C15*($B$1+A15)/(A16*($B$2+1))</f>
        <v>1.5464544629550362E-2</v>
      </c>
      <c r="D16" s="13">
        <f t="shared" si="5"/>
        <v>2.4191287376080461E-2</v>
      </c>
      <c r="E16" s="13">
        <f t="shared" si="0"/>
        <v>2.2006342176856184E-2</v>
      </c>
      <c r="F16" s="13">
        <f t="shared" si="1"/>
        <v>-145.02413428329677</v>
      </c>
      <c r="H16" s="13">
        <v>8</v>
      </c>
      <c r="I16" s="13">
        <v>38</v>
      </c>
      <c r="J16" s="18">
        <f t="shared" si="2"/>
        <v>2.2006342176856184E-2</v>
      </c>
      <c r="K16" s="13">
        <f t="shared" si="3"/>
        <v>43.572557510175244</v>
      </c>
      <c r="L16" s="23">
        <f t="shared" si="4"/>
        <v>0.81719466326869783</v>
      </c>
    </row>
    <row r="17" spans="1:12" x14ac:dyDescent="0.2">
      <c r="A17" s="13">
        <v>9</v>
      </c>
      <c r="B17" s="13">
        <v>39</v>
      </c>
      <c r="C17" s="22">
        <f>C16*($B$1+A16)/(A17*($B$2+1))</f>
        <v>1.3357080140747485E-2</v>
      </c>
      <c r="D17" s="13">
        <f t="shared" si="5"/>
        <v>1.3357080140747485E-2</v>
      </c>
      <c r="E17" s="13">
        <f t="shared" si="0"/>
        <v>1.2150675220022316E-2</v>
      </c>
      <c r="F17" s="13">
        <f t="shared" si="1"/>
        <v>-172.00445094593869</v>
      </c>
      <c r="H17" s="13">
        <v>9</v>
      </c>
      <c r="I17" s="13">
        <v>39</v>
      </c>
      <c r="J17" s="18">
        <f t="shared" si="2"/>
        <v>1.2150675220022316E-2</v>
      </c>
      <c r="K17" s="13">
        <f t="shared" si="3"/>
        <v>24.058336935644185</v>
      </c>
      <c r="L17" s="23">
        <f t="shared" si="4"/>
        <v>5.7244434648393536</v>
      </c>
    </row>
    <row r="18" spans="1:12" x14ac:dyDescent="0.2">
      <c r="A18" s="13">
        <v>10</v>
      </c>
      <c r="B18" s="13">
        <v>26</v>
      </c>
      <c r="C18" s="22">
        <f>C17*($B$1+A17)/(A18*($B$2+1))</f>
        <v>1.1647409875674324E-2</v>
      </c>
      <c r="D18" s="13">
        <f t="shared" si="5"/>
        <v>1.8220118745108347E-2</v>
      </c>
      <c r="E18" s="13">
        <f t="shared" si="0"/>
        <v>1.6574486565120131E-2</v>
      </c>
      <c r="F18" s="13">
        <f t="shared" si="1"/>
        <v>-106.59715871618663</v>
      </c>
      <c r="H18" s="13">
        <v>10</v>
      </c>
      <c r="I18" s="13">
        <v>26</v>
      </c>
      <c r="J18" s="18">
        <f t="shared" si="2"/>
        <v>1.6574486565120131E-2</v>
      </c>
      <c r="K18" s="13">
        <f t="shared" si="3"/>
        <v>32.81748339893786</v>
      </c>
      <c r="L18" s="23">
        <f t="shared" si="4"/>
        <v>1.7876184574920504</v>
      </c>
    </row>
    <row r="19" spans="1:12" x14ac:dyDescent="0.2">
      <c r="A19" s="13">
        <v>11</v>
      </c>
      <c r="B19" s="13">
        <v>19</v>
      </c>
      <c r="C19" s="22">
        <f>C18*($B$1+A18)/(A19*($B$2+1))</f>
        <v>1.0235477484137515E-2</v>
      </c>
      <c r="D19" s="13">
        <f t="shared" si="5"/>
        <v>1.0235477484137515E-2</v>
      </c>
      <c r="E19" s="13">
        <f t="shared" si="0"/>
        <v>9.3110141828232091E-3</v>
      </c>
      <c r="F19" s="13">
        <f t="shared" si="1"/>
        <v>-88.854587918032664</v>
      </c>
      <c r="H19" s="13">
        <v>11</v>
      </c>
      <c r="I19" s="13">
        <v>19</v>
      </c>
      <c r="J19" s="18">
        <f t="shared" si="2"/>
        <v>9.3110141828232091E-3</v>
      </c>
      <c r="K19" s="13">
        <f t="shared" si="3"/>
        <v>18.435808081989954</v>
      </c>
      <c r="L19" s="23">
        <f t="shared" si="4"/>
        <v>1.6753290544623912E-2</v>
      </c>
    </row>
    <row r="20" spans="1:12" x14ac:dyDescent="0.2">
      <c r="A20" s="13">
        <v>12</v>
      </c>
      <c r="B20" s="13">
        <v>23</v>
      </c>
      <c r="C20" s="22">
        <f>C19*($B$1+A19)/(A20*($B$2+1))</f>
        <v>9.0524866105888366E-3</v>
      </c>
      <c r="D20" s="13">
        <f t="shared" si="5"/>
        <v>1.4160863466126024E-2</v>
      </c>
      <c r="E20" s="13">
        <f t="shared" si="0"/>
        <v>1.2881861230065794E-2</v>
      </c>
      <c r="F20" s="13">
        <f t="shared" si="1"/>
        <v>-100.09450645603671</v>
      </c>
      <c r="H20" s="13">
        <v>12</v>
      </c>
      <c r="I20" s="13">
        <v>23</v>
      </c>
      <c r="J20" s="18">
        <f t="shared" si="2"/>
        <v>1.2881861230065794E-2</v>
      </c>
      <c r="K20" s="13">
        <f t="shared" si="3"/>
        <v>25.506085235530271</v>
      </c>
      <c r="L20" s="23">
        <f t="shared" si="4"/>
        <v>0.27306361772794852</v>
      </c>
    </row>
    <row r="21" spans="1:12" x14ac:dyDescent="0.2">
      <c r="A21" s="13">
        <v>13</v>
      </c>
      <c r="B21" s="13">
        <v>17</v>
      </c>
      <c r="C21" s="22">
        <f>C20*($B$1+A20)/(A21*($B$2+1))</f>
        <v>8.0494652248274835E-3</v>
      </c>
      <c r="D21" s="13">
        <f t="shared" si="5"/>
        <v>8.0494652248274835E-3</v>
      </c>
      <c r="E21" s="13">
        <f t="shared" si="0"/>
        <v>7.3224414775630185E-3</v>
      </c>
      <c r="F21" s="13">
        <f t="shared" si="1"/>
        <v>-83.585795014364521</v>
      </c>
      <c r="H21" s="13">
        <v>13</v>
      </c>
      <c r="I21" s="13">
        <v>17</v>
      </c>
      <c r="J21" s="18">
        <f t="shared" si="2"/>
        <v>7.3224414775630185E-3</v>
      </c>
      <c r="K21" s="13">
        <f t="shared" si="3"/>
        <v>14.498434125574777</v>
      </c>
      <c r="L21" s="23">
        <f t="shared" si="4"/>
        <v>0.36810775435816656</v>
      </c>
    </row>
    <row r="22" spans="1:12" x14ac:dyDescent="0.2">
      <c r="A22" s="13">
        <v>14</v>
      </c>
      <c r="B22" s="13">
        <v>13</v>
      </c>
      <c r="C22" s="22">
        <f>C21*($B$1+A21)/(A22*($B$2+1))</f>
        <v>7.190537328507331E-3</v>
      </c>
      <c r="D22" s="13">
        <f t="shared" si="5"/>
        <v>1.1248204138514769E-2</v>
      </c>
      <c r="E22" s="13">
        <f t="shared" si="0"/>
        <v>1.0232271862969849E-2</v>
      </c>
      <c r="F22" s="13">
        <f t="shared" si="1"/>
        <v>-59.568712387375143</v>
      </c>
      <c r="H22" s="13">
        <v>14</v>
      </c>
      <c r="I22" s="13">
        <v>13</v>
      </c>
      <c r="J22" s="18">
        <f t="shared" si="2"/>
        <v>1.0232271862969849E-2</v>
      </c>
      <c r="K22" s="13">
        <f t="shared" si="3"/>
        <v>20.259898288680301</v>
      </c>
      <c r="L22" s="23">
        <f t="shared" si="4"/>
        <v>4.0543171663063964</v>
      </c>
    </row>
    <row r="23" spans="1:12" x14ac:dyDescent="0.2">
      <c r="A23" s="13">
        <v>15</v>
      </c>
      <c r="B23" s="13">
        <v>11</v>
      </c>
      <c r="C23" s="22">
        <f>C22*($B$1+A22)/(A23*($B$2+1))</f>
        <v>6.4487781099008589E-3</v>
      </c>
      <c r="D23" s="13">
        <f t="shared" si="5"/>
        <v>6.4487781099008589E-3</v>
      </c>
      <c r="E23" s="13">
        <f t="shared" si="0"/>
        <v>5.8663276370077774E-3</v>
      </c>
      <c r="F23" s="13">
        <f t="shared" si="1"/>
        <v>-56.523791020646392</v>
      </c>
      <c r="H23" s="13">
        <v>15</v>
      </c>
      <c r="I23" s="13">
        <v>11</v>
      </c>
      <c r="J23" s="18">
        <f t="shared" si="2"/>
        <v>5.8663276370077774E-3</v>
      </c>
      <c r="K23" s="13">
        <f t="shared" si="3"/>
        <v>11.6153287212754</v>
      </c>
      <c r="L23" s="23">
        <f t="shared" si="4"/>
        <v>3.4420857747856283E-2</v>
      </c>
    </row>
    <row r="24" spans="1:12" x14ac:dyDescent="0.2">
      <c r="A24" s="13">
        <v>16</v>
      </c>
      <c r="B24" s="13">
        <v>15</v>
      </c>
      <c r="C24" s="22">
        <f>C23*($B$1+A23)/(A24*($B$2+1))</f>
        <v>5.8035602047891164E-3</v>
      </c>
      <c r="D24" s="13">
        <f t="shared" si="5"/>
        <v>9.0785468361068676E-3</v>
      </c>
      <c r="E24" s="13">
        <f t="shared" si="0"/>
        <v>8.2585769429337676E-3</v>
      </c>
      <c r="F24" s="13">
        <f t="shared" si="1"/>
        <v>-71.947544838441914</v>
      </c>
      <c r="H24" s="13">
        <v>16</v>
      </c>
      <c r="I24" s="13">
        <v>15</v>
      </c>
      <c r="J24" s="18">
        <f t="shared" si="2"/>
        <v>8.2585769429337676E-3</v>
      </c>
      <c r="K24" s="13">
        <f t="shared" si="3"/>
        <v>16.35198234700886</v>
      </c>
      <c r="L24" s="23">
        <f t="shared" si="4"/>
        <v>0.12185708444157244</v>
      </c>
    </row>
    <row r="25" spans="1:12" x14ac:dyDescent="0.2">
      <c r="A25" s="13">
        <v>17</v>
      </c>
      <c r="B25" s="13">
        <v>11</v>
      </c>
      <c r="C25" s="22">
        <f>C24*($B$1+A24)/(A25*($B$2+1))</f>
        <v>5.238797919524008E-3</v>
      </c>
      <c r="D25" s="13">
        <f t="shared" si="5"/>
        <v>5.238797919524008E-3</v>
      </c>
      <c r="E25" s="13">
        <f t="shared" si="0"/>
        <v>4.7656322633924534E-3</v>
      </c>
      <c r="F25" s="13">
        <f t="shared" si="1"/>
        <v>-58.809575677752498</v>
      </c>
      <c r="H25" s="13">
        <v>17</v>
      </c>
      <c r="I25" s="13">
        <v>11</v>
      </c>
      <c r="J25" s="18">
        <f t="shared" si="2"/>
        <v>4.7656322633924534E-3</v>
      </c>
      <c r="K25" s="13">
        <f t="shared" si="3"/>
        <v>9.4359518815170578</v>
      </c>
      <c r="L25" s="23">
        <f t="shared" si="4"/>
        <v>0.22238604699363923</v>
      </c>
    </row>
    <row r="26" spans="1:12" x14ac:dyDescent="0.2">
      <c r="A26" s="13">
        <v>18</v>
      </c>
      <c r="B26" s="13">
        <v>9</v>
      </c>
      <c r="C26" s="22">
        <f>C25*($B$1+A25)/(A26*($B$2+1))</f>
        <v>4.7417522048063179E-3</v>
      </c>
      <c r="D26" s="13">
        <f t="shared" si="5"/>
        <v>7.4175537010925862E-3</v>
      </c>
      <c r="E26" s="13">
        <f t="shared" si="0"/>
        <v>6.7476038924182699E-3</v>
      </c>
      <c r="F26" s="13">
        <f t="shared" si="1"/>
        <v>-44.987110344167583</v>
      </c>
      <c r="H26" s="13">
        <v>18</v>
      </c>
      <c r="I26" s="13">
        <v>9</v>
      </c>
      <c r="J26" s="18">
        <f t="shared" si="2"/>
        <v>6.7476038924182699E-3</v>
      </c>
      <c r="K26" s="13">
        <f t="shared" si="3"/>
        <v>13.360255706988175</v>
      </c>
      <c r="L26" s="23">
        <f t="shared" si="4"/>
        <v>2.1124255367025504</v>
      </c>
    </row>
    <row r="27" spans="1:12" x14ac:dyDescent="0.2">
      <c r="A27" s="13">
        <v>19</v>
      </c>
      <c r="B27" s="13">
        <v>17</v>
      </c>
      <c r="C27" s="22">
        <f>C26*($B$1+A26)/(A27*($B$2+1))</f>
        <v>4.3021969714747031E-3</v>
      </c>
      <c r="D27" s="13">
        <f t="shared" si="5"/>
        <v>4.3021969714747031E-3</v>
      </c>
      <c r="E27" s="13">
        <f t="shared" si="0"/>
        <v>3.913624653151729E-3</v>
      </c>
      <c r="F27" s="13">
        <f t="shared" si="1"/>
        <v>-94.235952323333819</v>
      </c>
      <c r="H27" s="13">
        <v>19</v>
      </c>
      <c r="I27" s="13">
        <v>17</v>
      </c>
      <c r="J27" s="18">
        <f t="shared" si="2"/>
        <v>3.913624653151729E-3</v>
      </c>
      <c r="K27" s="13">
        <f t="shared" si="3"/>
        <v>7.7489768132404233</v>
      </c>
      <c r="L27" s="23">
        <f t="shared" si="4"/>
        <v>5.0342017648213711</v>
      </c>
    </row>
    <row r="28" spans="1:12" x14ac:dyDescent="0.2">
      <c r="A28" s="13">
        <v>20</v>
      </c>
      <c r="B28" s="13">
        <v>4</v>
      </c>
      <c r="C28" s="22">
        <f>C27*($B$1+A27)/(A28*($B$2+1))</f>
        <v>3.911824730741708E-3</v>
      </c>
      <c r="D28" s="13">
        <f t="shared" si="5"/>
        <v>6.1192927753853099E-3</v>
      </c>
      <c r="E28" s="13">
        <f t="shared" si="0"/>
        <v>5.5666012561466083E-3</v>
      </c>
      <c r="F28" s="13">
        <f t="shared" si="1"/>
        <v>-20.763882394757594</v>
      </c>
      <c r="H28" s="13" t="s">
        <v>11</v>
      </c>
      <c r="I28" s="13">
        <v>94</v>
      </c>
      <c r="J28" s="18">
        <f>1-SUM(J8:J27)</f>
        <v>4.8383945494116287E-2</v>
      </c>
      <c r="K28" s="13">
        <f>J28*1980</f>
        <v>95.800212078350242</v>
      </c>
      <c r="L28" s="23">
        <f t="shared" si="4"/>
        <v>3.4476207734447852E-2</v>
      </c>
    </row>
    <row r="29" spans="1:12" x14ac:dyDescent="0.2">
      <c r="A29" s="13">
        <v>21</v>
      </c>
      <c r="B29" s="13">
        <v>7</v>
      </c>
      <c r="C29" s="22">
        <f>C28*($B$1+A28)/(A29*($B$2+1))</f>
        <v>3.5638146276208904E-3</v>
      </c>
      <c r="D29" s="13">
        <f t="shared" si="5"/>
        <v>3.5638146276208904E-3</v>
      </c>
      <c r="E29" s="13">
        <f t="shared" si="0"/>
        <v>3.2419326400899254E-3</v>
      </c>
      <c r="F29" s="13">
        <f t="shared" si="1"/>
        <v>-40.121099432083106</v>
      </c>
    </row>
    <row r="30" spans="1:12" x14ac:dyDescent="0.2">
      <c r="A30" s="13">
        <v>22</v>
      </c>
      <c r="B30" s="13">
        <v>9</v>
      </c>
      <c r="C30" s="22">
        <f>C29*($B$1+A29)/(A30*($B$2+1))</f>
        <v>3.2525130620976979E-3</v>
      </c>
      <c r="D30" s="13">
        <f t="shared" si="5"/>
        <v>5.0879272597080388E-3</v>
      </c>
      <c r="E30" s="13">
        <f t="shared" si="0"/>
        <v>4.6283881675019175E-3</v>
      </c>
      <c r="F30" s="13">
        <f t="shared" si="1"/>
        <v>-48.379919395175563</v>
      </c>
      <c r="I30" s="11" t="s">
        <v>12</v>
      </c>
      <c r="J30">
        <f>SUM(L8:L28)</f>
        <v>79.387520372788543</v>
      </c>
    </row>
    <row r="31" spans="1:12" x14ac:dyDescent="0.2">
      <c r="A31" s="13">
        <v>23</v>
      </c>
      <c r="B31" s="13">
        <v>6</v>
      </c>
      <c r="C31" s="22">
        <f>C30*($B$1+A30)/(A31*($B$2+1))</f>
        <v>2.9731938848463293E-3</v>
      </c>
      <c r="D31" s="13">
        <f t="shared" si="5"/>
        <v>2.9731938848463293E-3</v>
      </c>
      <c r="E31" s="13">
        <f t="shared" si="0"/>
        <v>2.7046564728406644E-3</v>
      </c>
      <c r="F31" s="13">
        <f t="shared" si="1"/>
        <v>-35.476682231099545</v>
      </c>
      <c r="I31" s="11" t="s">
        <v>20</v>
      </c>
      <c r="J31">
        <f>21 - 3 - 1</f>
        <v>17</v>
      </c>
    </row>
    <row r="32" spans="1:12" x14ac:dyDescent="0.2">
      <c r="A32" s="13">
        <v>24</v>
      </c>
      <c r="B32" s="13">
        <v>8</v>
      </c>
      <c r="C32" s="22">
        <f>C31*($B$1+A31)/(A32*($B$2+1))</f>
        <v>2.7218758175524683E-3</v>
      </c>
      <c r="D32" s="13">
        <f t="shared" si="5"/>
        <v>4.2578479794739485E-3</v>
      </c>
      <c r="E32" s="13">
        <f t="shared" si="0"/>
        <v>3.8732812403355823E-3</v>
      </c>
      <c r="F32" s="13">
        <f t="shared" si="1"/>
        <v>-44.429226123646053</v>
      </c>
      <c r="I32" s="11" t="s">
        <v>14</v>
      </c>
      <c r="J32">
        <f>_xlfn.CHISQ.DIST.RT(J30,J31)</f>
        <v>4.9257641270792825E-10</v>
      </c>
    </row>
    <row r="33" spans="1:10" x14ac:dyDescent="0.2">
      <c r="A33" s="13">
        <v>25</v>
      </c>
      <c r="B33" s="13">
        <v>6</v>
      </c>
      <c r="C33" s="22">
        <f>C32*($B$1+A32)/(A33*($B$2+1))</f>
        <v>2.4951816757753328E-3</v>
      </c>
      <c r="D33" s="13">
        <f t="shared" si="5"/>
        <v>2.4951816757753328E-3</v>
      </c>
      <c r="E33" s="13">
        <f t="shared" si="0"/>
        <v>2.2698180918154197E-3</v>
      </c>
      <c r="F33" s="13">
        <f t="shared" si="1"/>
        <v>-36.528333518783995</v>
      </c>
    </row>
    <row r="34" spans="1:10" x14ac:dyDescent="0.2">
      <c r="A34" s="13">
        <v>26</v>
      </c>
      <c r="B34" s="13">
        <v>3</v>
      </c>
      <c r="C34" s="22">
        <f>C33*($B$1+A33)/(A34*($B$2+1))</f>
        <v>2.2902285672164492E-3</v>
      </c>
      <c r="D34" s="13">
        <f t="shared" si="5"/>
        <v>3.5826193886481744E-3</v>
      </c>
      <c r="E34" s="13">
        <f t="shared" si="0"/>
        <v>3.2590389643333221E-3</v>
      </c>
      <c r="F34" s="13">
        <f t="shared" si="1"/>
        <v>-17.178968769843721</v>
      </c>
      <c r="I34" s="12" t="s">
        <v>21</v>
      </c>
      <c r="J34"/>
    </row>
    <row r="35" spans="1:10" x14ac:dyDescent="0.2">
      <c r="A35" s="13">
        <v>27</v>
      </c>
      <c r="B35" s="13">
        <v>9</v>
      </c>
      <c r="C35" s="22">
        <f>C34*($B$1+A34)/(A35*($B$2+1))</f>
        <v>2.1045413435562808E-3</v>
      </c>
      <c r="D35" s="13">
        <f t="shared" si="5"/>
        <v>2.1045413435562808E-3</v>
      </c>
      <c r="E35" s="13">
        <f t="shared" si="0"/>
        <v>1.9144602026196079E-3</v>
      </c>
      <c r="F35" s="13">
        <f t="shared" si="1"/>
        <v>-56.324876171511299</v>
      </c>
      <c r="I35" s="11" t="s">
        <v>22</v>
      </c>
      <c r="J35">
        <f>2 * (B4 - 'NBD fit (bad)'!B3)</f>
        <v>4546.2677164774832</v>
      </c>
    </row>
    <row r="36" spans="1:10" x14ac:dyDescent="0.2">
      <c r="A36" s="13">
        <v>28</v>
      </c>
      <c r="B36" s="13">
        <v>5</v>
      </c>
      <c r="C36" s="22">
        <f>C35*($B$1+A35)/(A36*($B$2+1))</f>
        <v>1.9359837188104015E-3</v>
      </c>
      <c r="D36" s="13">
        <f t="shared" si="5"/>
        <v>3.0284718767381569E-3</v>
      </c>
      <c r="E36" s="13">
        <f t="shared" si="0"/>
        <v>2.754941783643257E-3</v>
      </c>
      <c r="F36" s="13">
        <f t="shared" si="1"/>
        <v>-29.471794838822486</v>
      </c>
      <c r="I36" s="11" t="s">
        <v>13</v>
      </c>
      <c r="J36">
        <f xml:space="preserve"> 3 - 2</f>
        <v>1</v>
      </c>
    </row>
    <row r="37" spans="1:10" x14ac:dyDescent="0.2">
      <c r="A37" s="13">
        <v>29</v>
      </c>
      <c r="B37" s="13">
        <v>4</v>
      </c>
      <c r="C37" s="22">
        <f>C36*($B$1+A36)/(A37*($B$2+1))</f>
        <v>1.7827029579363014E-3</v>
      </c>
      <c r="D37" s="13">
        <f t="shared" si="5"/>
        <v>1.7827029579363014E-3</v>
      </c>
      <c r="E37" s="13">
        <f t="shared" si="0"/>
        <v>1.6216901019839888E-3</v>
      </c>
      <c r="F37" s="13">
        <f t="shared" si="1"/>
        <v>-25.697145602956443</v>
      </c>
      <c r="I37" s="11" t="s">
        <v>14</v>
      </c>
      <c r="J37">
        <f>_xlfn.CHISQ.DIST.RT(J35,J36)</f>
        <v>0</v>
      </c>
    </row>
    <row r="38" spans="1:10" x14ac:dyDescent="0.2">
      <c r="A38" s="13">
        <v>30</v>
      </c>
      <c r="B38" s="13">
        <v>7</v>
      </c>
      <c r="C38" s="22">
        <f>C37*($B$1+A37)/(A38*($B$2+1))</f>
        <v>1.6430850955816282E-3</v>
      </c>
      <c r="D38" s="13">
        <f t="shared" si="5"/>
        <v>2.5702886624037308E-3</v>
      </c>
      <c r="E38" s="13">
        <f t="shared" si="0"/>
        <v>2.3381414522849146E-3</v>
      </c>
      <c r="F38" s="13">
        <f t="shared" si="1"/>
        <v>-42.408792414501704</v>
      </c>
    </row>
    <row r="39" spans="1:10" x14ac:dyDescent="0.2">
      <c r="A39" s="13">
        <v>31</v>
      </c>
      <c r="B39" s="13">
        <v>5</v>
      </c>
      <c r="C39" s="22">
        <f>C38*($B$1+A38)/(A39*($B$2+1))</f>
        <v>1.5157184031290918E-3</v>
      </c>
      <c r="D39" s="13">
        <f t="shared" si="5"/>
        <v>1.5157184031290918E-3</v>
      </c>
      <c r="E39" s="13">
        <f t="shared" si="0"/>
        <v>1.3788194610923254E-3</v>
      </c>
      <c r="F39" s="13">
        <f t="shared" si="1"/>
        <v>-32.932638044534329</v>
      </c>
      <c r="I39" s="14" t="s">
        <v>25</v>
      </c>
    </row>
    <row r="40" spans="1:10" x14ac:dyDescent="0.2">
      <c r="A40" s="13">
        <v>32</v>
      </c>
      <c r="B40" s="13">
        <v>3</v>
      </c>
      <c r="C40" s="22">
        <f>C39*($B$1+A39)/(A40*($B$2+1))</f>
        <v>1.399363373328038E-3</v>
      </c>
      <c r="D40" s="13">
        <f t="shared" si="5"/>
        <v>2.1890331929369077E-3</v>
      </c>
      <c r="E40" s="13">
        <f t="shared" si="0"/>
        <v>1.9913207896449987E-3</v>
      </c>
      <c r="F40" s="13">
        <f t="shared" si="1"/>
        <v>-18.656871441049834</v>
      </c>
      <c r="I40" s="13" t="s">
        <v>22</v>
      </c>
      <c r="J40" s="13">
        <f>2 *(B4-zerospike!B4)</f>
        <v>48.26808226178764</v>
      </c>
    </row>
    <row r="41" spans="1:10" x14ac:dyDescent="0.2">
      <c r="A41" s="13">
        <v>33</v>
      </c>
      <c r="B41" s="13">
        <v>3</v>
      </c>
      <c r="C41" s="22">
        <f>C40*($B$1+A40)/(A41*($B$2+1))</f>
        <v>1.2929278969926973E-3</v>
      </c>
      <c r="D41" s="13">
        <f t="shared" si="5"/>
        <v>1.2929278969926973E-3</v>
      </c>
      <c r="E41" s="13">
        <f t="shared" si="0"/>
        <v>1.1761512840923612E-3</v>
      </c>
      <c r="F41" s="13">
        <f t="shared" si="1"/>
        <v>-20.236523384531441</v>
      </c>
      <c r="I41" s="11" t="s">
        <v>13</v>
      </c>
      <c r="J41">
        <f xml:space="preserve"> 3 - 2</f>
        <v>1</v>
      </c>
    </row>
    <row r="42" spans="1:10" x14ac:dyDescent="0.2">
      <c r="A42" s="13">
        <v>34</v>
      </c>
      <c r="B42" s="13">
        <v>2</v>
      </c>
      <c r="C42" s="22">
        <f>C41*($B$1+A41)/(A42*($B$2+1))</f>
        <v>1.1954466073264924E-3</v>
      </c>
      <c r="D42" s="13">
        <f t="shared" si="5"/>
        <v>1.8700448744759731E-3</v>
      </c>
      <c r="E42" s="13">
        <f t="shared" si="0"/>
        <v>1.7011433395018448E-3</v>
      </c>
      <c r="F42" s="13">
        <f t="shared" si="1"/>
        <v>-12.752909402668003</v>
      </c>
      <c r="I42" s="11" t="s">
        <v>14</v>
      </c>
      <c r="J42">
        <f>_xlfn.CHISQ.DIST.RT(J40,J41)</f>
        <v>3.717542540149847E-12</v>
      </c>
    </row>
    <row r="43" spans="1:10" x14ac:dyDescent="0.2">
      <c r="A43" s="13">
        <v>35</v>
      </c>
      <c r="B43" s="13">
        <v>2</v>
      </c>
      <c r="C43" s="22">
        <f>C42*($B$1+A42)/(A43*($B$2+1))</f>
        <v>1.1060635933841357E-3</v>
      </c>
      <c r="D43" s="13">
        <f t="shared" si="5"/>
        <v>1.1060635933841357E-3</v>
      </c>
      <c r="E43" s="13">
        <f t="shared" si="0"/>
        <v>1.0061644726456933E-3</v>
      </c>
      <c r="F43" s="13">
        <f t="shared" si="1"/>
        <v>-13.80321945794476</v>
      </c>
    </row>
    <row r="44" spans="1:10" x14ac:dyDescent="0.2">
      <c r="A44" s="13">
        <v>36</v>
      </c>
      <c r="B44" s="13">
        <v>3</v>
      </c>
      <c r="C44" s="22">
        <f>C43*($B$1+A43)/(A44*($B$2+1))</f>
        <v>1.0240178553377979E-3</v>
      </c>
      <c r="D44" s="13">
        <f t="shared" si="5"/>
        <v>1.6018777668615077E-3</v>
      </c>
      <c r="E44" s="13">
        <f t="shared" si="0"/>
        <v>1.4571969533919091E-3</v>
      </c>
      <c r="F44" s="13">
        <f t="shared" si="1"/>
        <v>-19.593721750678608</v>
      </c>
    </row>
    <row r="45" spans="1:10" x14ac:dyDescent="0.2">
      <c r="A45" s="13">
        <v>37</v>
      </c>
      <c r="B45" s="13">
        <v>4</v>
      </c>
      <c r="C45" s="22">
        <f>C44*($B$1+A44)/(A45*($B$2+1))</f>
        <v>9.4863100499446753E-4</v>
      </c>
      <c r="D45" s="13">
        <f t="shared" si="5"/>
        <v>9.4863100499446753E-4</v>
      </c>
      <c r="E45" s="13">
        <f t="shared" si="0"/>
        <v>8.6295111834869167E-4</v>
      </c>
      <c r="F45" s="13">
        <f t="shared" si="1"/>
        <v>-28.220610040110763</v>
      </c>
    </row>
    <row r="46" spans="1:10" x14ac:dyDescent="0.2">
      <c r="A46" s="13">
        <v>38</v>
      </c>
      <c r="B46" s="13">
        <v>2</v>
      </c>
      <c r="C46" s="22">
        <f>C45*($B$1+A45)/(A46*($B$2+1))</f>
        <v>8.7929681576396073E-4</v>
      </c>
      <c r="D46" s="13">
        <f t="shared" si="5"/>
        <v>1.3754897068467332E-3</v>
      </c>
      <c r="E46" s="13">
        <f t="shared" si="0"/>
        <v>1.2512561518136602E-3</v>
      </c>
      <c r="F46" s="13">
        <f t="shared" si="1"/>
        <v>-13.367214621625072</v>
      </c>
    </row>
    <row r="47" spans="1:10" x14ac:dyDescent="0.2">
      <c r="A47" s="13">
        <v>39</v>
      </c>
      <c r="B47" s="13">
        <v>0</v>
      </c>
      <c r="C47" s="22">
        <f>C46*($B$1+A46)/(A47*($B$2+1))</f>
        <v>8.15472304496195E-4</v>
      </c>
      <c r="D47" s="13">
        <f t="shared" si="5"/>
        <v>8.15472304496195E-4</v>
      </c>
      <c r="E47" s="13">
        <f t="shared" si="0"/>
        <v>7.4181924630587045E-4</v>
      </c>
      <c r="F47" s="13">
        <f t="shared" si="1"/>
        <v>0</v>
      </c>
    </row>
    <row r="48" spans="1:10" x14ac:dyDescent="0.2">
      <c r="A48" s="13">
        <v>40</v>
      </c>
      <c r="B48" s="13">
        <v>2</v>
      </c>
      <c r="C48" s="22">
        <f>C47*($B$1+A47)/(A48*($B$2+1))</f>
        <v>7.5667008877479077E-4</v>
      </c>
      <c r="D48" s="13">
        <f t="shared" si="5"/>
        <v>1.1836639231819074E-3</v>
      </c>
      <c r="E48" s="13">
        <f t="shared" si="0"/>
        <v>1.0767559787535977E-3</v>
      </c>
      <c r="F48" s="13">
        <f t="shared" si="1"/>
        <v>-13.667604962906639</v>
      </c>
    </row>
    <row r="49" spans="1:6" x14ac:dyDescent="0.2">
      <c r="A49" s="13">
        <v>41</v>
      </c>
      <c r="B49" s="13">
        <v>0</v>
      </c>
      <c r="C49" s="22">
        <f>C48*($B$1+A48)/(A49*($B$2+1))</f>
        <v>7.0245181141815119E-4</v>
      </c>
      <c r="D49" s="13">
        <f t="shared" si="5"/>
        <v>7.0245181141815119E-4</v>
      </c>
      <c r="E49" s="13">
        <f t="shared" si="0"/>
        <v>6.3900670867582821E-4</v>
      </c>
      <c r="F49" s="13">
        <f t="shared" si="1"/>
        <v>0</v>
      </c>
    </row>
    <row r="50" spans="1:6" x14ac:dyDescent="0.2">
      <c r="A50" s="13">
        <v>42</v>
      </c>
      <c r="B50" s="13">
        <v>0</v>
      </c>
      <c r="C50" s="22">
        <f>C49*($B$1+A49)/(A50*($B$2+1))</f>
        <v>6.5242246211077775E-4</v>
      </c>
      <c r="D50" s="13">
        <f t="shared" si="5"/>
        <v>1.0205886852544643E-3</v>
      </c>
      <c r="E50" s="13">
        <f t="shared" si="0"/>
        <v>9.284096162548443E-4</v>
      </c>
      <c r="F50" s="13">
        <f t="shared" si="1"/>
        <v>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CED18-3827-3948-9EC6-C7D70CF0CCB5}">
  <dimension ref="A1:M50"/>
  <sheetViews>
    <sheetView tabSelected="1" zoomScale="87" workbookViewId="0">
      <selection activeCell="K58" sqref="K58"/>
    </sheetView>
  </sheetViews>
  <sheetFormatPr baseColWidth="10" defaultRowHeight="13" x14ac:dyDescent="0.15"/>
  <cols>
    <col min="13" max="13" width="12.33203125" bestFit="1" customWidth="1"/>
  </cols>
  <sheetData>
    <row r="1" spans="1:13" ht="16" x14ac:dyDescent="0.2">
      <c r="A1" s="13" t="s">
        <v>3</v>
      </c>
      <c r="B1" s="13">
        <v>0.37661662601802764</v>
      </c>
      <c r="C1" s="21"/>
      <c r="D1" s="13"/>
      <c r="E1" s="13"/>
      <c r="F1" s="13"/>
    </row>
    <row r="2" spans="1:13" ht="16" x14ac:dyDescent="0.2">
      <c r="A2" s="13" t="s">
        <v>15</v>
      </c>
      <c r="B2" s="13">
        <v>7.6142291655183991E-2</v>
      </c>
      <c r="C2" s="22"/>
      <c r="D2" s="13"/>
      <c r="E2" s="13"/>
      <c r="F2" s="13"/>
    </row>
    <row r="3" spans="1:13" ht="16" x14ac:dyDescent="0.2">
      <c r="A3" s="13" t="s">
        <v>23</v>
      </c>
      <c r="B3" s="13">
        <v>1.5118420270525301</v>
      </c>
      <c r="C3" s="22"/>
      <c r="D3" s="13"/>
      <c r="E3" s="13"/>
      <c r="F3" s="13"/>
    </row>
    <row r="4" spans="1:13" ht="16" x14ac:dyDescent="0.2">
      <c r="A4" s="15" t="s">
        <v>17</v>
      </c>
      <c r="B4" s="13">
        <v>0.24685930364813746</v>
      </c>
      <c r="C4" s="22"/>
      <c r="D4" s="13"/>
      <c r="E4" s="13"/>
      <c r="F4" s="13"/>
    </row>
    <row r="5" spans="1:13" ht="16" x14ac:dyDescent="0.2">
      <c r="A5" s="13" t="s">
        <v>2</v>
      </c>
      <c r="B5" s="13">
        <f>SUM(G8:G50)</f>
        <v>-4274.694384047224</v>
      </c>
      <c r="C5" s="22"/>
      <c r="D5" s="13"/>
      <c r="E5" s="13"/>
      <c r="F5" s="13"/>
    </row>
    <row r="6" spans="1:13" ht="16" x14ac:dyDescent="0.2">
      <c r="A6" s="13"/>
      <c r="B6" s="13"/>
      <c r="C6" s="22"/>
      <c r="D6" s="13"/>
      <c r="E6" s="13"/>
      <c r="F6" s="13"/>
    </row>
    <row r="7" spans="1:13" ht="16" x14ac:dyDescent="0.2">
      <c r="A7" s="13" t="s">
        <v>0</v>
      </c>
      <c r="B7" s="13" t="s">
        <v>1</v>
      </c>
      <c r="C7" s="22" t="s">
        <v>18</v>
      </c>
      <c r="D7" s="13" t="s">
        <v>23</v>
      </c>
      <c r="E7" s="13" t="s">
        <v>24</v>
      </c>
      <c r="F7" s="13" t="s">
        <v>19</v>
      </c>
      <c r="G7" s="13" t="s">
        <v>2</v>
      </c>
      <c r="I7" s="13" t="s">
        <v>0</v>
      </c>
      <c r="J7" s="13" t="s">
        <v>9</v>
      </c>
      <c r="K7" s="13" t="s">
        <v>18</v>
      </c>
      <c r="L7" s="13" t="s">
        <v>7</v>
      </c>
      <c r="M7" s="13" t="s">
        <v>12</v>
      </c>
    </row>
    <row r="8" spans="1:13" ht="16" x14ac:dyDescent="0.2">
      <c r="A8" s="13">
        <v>0</v>
      </c>
      <c r="B8" s="13">
        <v>975</v>
      </c>
      <c r="C8" s="22">
        <f>(B2/(B2+1))^B1</f>
        <v>0.36880693398257147</v>
      </c>
      <c r="D8" s="18">
        <f xml:space="preserve"> C8</f>
        <v>0.36880693398257147</v>
      </c>
      <c r="E8" s="13">
        <f>D8/SUM($D$8:$D$50)</f>
        <v>0.32605366023423471</v>
      </c>
      <c r="F8" s="13">
        <f>$B$4+(1-$B$4)*E8</f>
        <v>0.49242358436502259</v>
      </c>
      <c r="G8" s="13">
        <f>B8*LN(F8)</f>
        <v>-690.70558933159134</v>
      </c>
      <c r="I8" s="13">
        <v>0</v>
      </c>
      <c r="J8" s="13">
        <v>975</v>
      </c>
      <c r="K8" s="18">
        <f>F8</f>
        <v>0.49242358436502259</v>
      </c>
      <c r="L8" s="13">
        <f>K8*1980</f>
        <v>974.99869704274477</v>
      </c>
      <c r="M8" s="23">
        <f>(L8-J8)^2/J8</f>
        <v>1.7412283168894286E-9</v>
      </c>
    </row>
    <row r="9" spans="1:13" ht="16" x14ac:dyDescent="0.2">
      <c r="A9" s="13">
        <v>1</v>
      </c>
      <c r="B9" s="13">
        <v>127</v>
      </c>
      <c r="C9" s="22">
        <f>C8*($B$1+A8)/(A9*($B$2+1))</f>
        <v>0.1290710570578294</v>
      </c>
      <c r="D9" s="13">
        <f xml:space="preserve"> IF(MOD(A9,2) = 0, C9*$B$3, C9)</f>
        <v>0.1290710570578294</v>
      </c>
      <c r="E9" s="13">
        <f t="shared" ref="E9:E50" si="0">D9/SUM($D$8:$D$50)</f>
        <v>0.11410872927350052</v>
      </c>
      <c r="F9" s="13">
        <f>(1-$B$4) *E9</f>
        <v>8.5939927824870338E-2</v>
      </c>
      <c r="G9" s="13">
        <f t="shared" ref="G9:G50" si="1">B9*LN(F9)</f>
        <v>-311.67155603934248</v>
      </c>
      <c r="I9" s="13">
        <v>1</v>
      </c>
      <c r="J9" s="13">
        <v>127</v>
      </c>
      <c r="K9" s="18">
        <f t="shared" ref="K9:K28" si="2">F9</f>
        <v>8.5939927824870338E-2</v>
      </c>
      <c r="L9" s="13">
        <f t="shared" ref="L9:L28" si="3">K9*1980</f>
        <v>170.16105709324327</v>
      </c>
      <c r="M9" s="23">
        <f t="shared" ref="M9:M28" si="4">(L9-J9)^2/J9</f>
        <v>14.668321648867758</v>
      </c>
    </row>
    <row r="10" spans="1:13" ht="16" x14ac:dyDescent="0.2">
      <c r="A10" s="13">
        <v>2</v>
      </c>
      <c r="B10" s="13">
        <v>225</v>
      </c>
      <c r="C10" s="22">
        <f t="shared" ref="C10:C50" si="5">C9*($B$1+A9)/(A10*($B$2+1))</f>
        <v>8.2554772013579539E-2</v>
      </c>
      <c r="D10" s="13">
        <f t="shared" ref="D10:D50" si="6" xml:space="preserve"> IF(MOD(A10,2) = 0, C10*$B$3, C10)</f>
        <v>0.12480977386386957</v>
      </c>
      <c r="E10" s="13">
        <f t="shared" si="0"/>
        <v>0.11034142759161053</v>
      </c>
      <c r="F10" s="13">
        <f t="shared" ref="F10:F50" si="7">(1-$B$4) *E10</f>
        <v>8.3102619612804171E-2</v>
      </c>
      <c r="G10" s="13">
        <f t="shared" si="1"/>
        <v>-559.72778714950675</v>
      </c>
      <c r="I10" s="13">
        <v>2</v>
      </c>
      <c r="J10" s="13">
        <v>225</v>
      </c>
      <c r="K10" s="18">
        <f t="shared" si="2"/>
        <v>8.3102619612804171E-2</v>
      </c>
      <c r="L10" s="13">
        <f t="shared" si="3"/>
        <v>164.54318683335225</v>
      </c>
      <c r="M10" s="23">
        <f t="shared" si="4"/>
        <v>16.244561147853123</v>
      </c>
    </row>
    <row r="11" spans="1:13" ht="16" x14ac:dyDescent="0.2">
      <c r="A11" s="13">
        <v>3</v>
      </c>
      <c r="B11" s="13">
        <v>91</v>
      </c>
      <c r="C11" s="22">
        <f t="shared" si="5"/>
        <v>6.0772955784136939E-2</v>
      </c>
      <c r="D11" s="13">
        <f t="shared" si="6"/>
        <v>6.0772955784136939E-2</v>
      </c>
      <c r="E11" s="13">
        <f t="shared" si="0"/>
        <v>5.372796130131207E-2</v>
      </c>
      <c r="F11" s="13">
        <f t="shared" si="7"/>
        <v>4.0464714188036092E-2</v>
      </c>
      <c r="G11" s="13">
        <f t="shared" si="1"/>
        <v>-291.86656947165318</v>
      </c>
      <c r="I11" s="13">
        <v>3</v>
      </c>
      <c r="J11" s="13">
        <v>91</v>
      </c>
      <c r="K11" s="18">
        <f t="shared" si="2"/>
        <v>4.0464714188036092E-2</v>
      </c>
      <c r="L11" s="13">
        <f t="shared" si="3"/>
        <v>80.12013409231146</v>
      </c>
      <c r="M11" s="23">
        <f t="shared" si="4"/>
        <v>1.3007855183437735</v>
      </c>
    </row>
    <row r="12" spans="1:13" ht="16" x14ac:dyDescent="0.2">
      <c r="A12" s="13">
        <v>4</v>
      </c>
      <c r="B12" s="13">
        <v>97</v>
      </c>
      <c r="C12" s="22">
        <f t="shared" si="5"/>
        <v>4.7671895832044717E-2</v>
      </c>
      <c r="D12" s="13">
        <f t="shared" si="6"/>
        <v>7.2072375628155549E-2</v>
      </c>
      <c r="E12" s="13">
        <f t="shared" si="0"/>
        <v>6.371751642946949E-2</v>
      </c>
      <c r="F12" s="13">
        <f t="shared" si="7"/>
        <v>4.7988254693501896E-2</v>
      </c>
      <c r="G12" s="13">
        <f t="shared" si="1"/>
        <v>-294.56950221449949</v>
      </c>
      <c r="I12" s="13">
        <v>4</v>
      </c>
      <c r="J12" s="13">
        <v>97</v>
      </c>
      <c r="K12" s="18">
        <f t="shared" si="2"/>
        <v>4.7988254693501896E-2</v>
      </c>
      <c r="L12" s="13">
        <f t="shared" si="3"/>
        <v>95.016744293133755</v>
      </c>
      <c r="M12" s="23">
        <f t="shared" si="4"/>
        <v>4.0549517513582788E-2</v>
      </c>
    </row>
    <row r="13" spans="1:13" ht="16" x14ac:dyDescent="0.2">
      <c r="A13" s="13">
        <v>5</v>
      </c>
      <c r="B13" s="13">
        <v>61</v>
      </c>
      <c r="C13" s="22">
        <f t="shared" si="5"/>
        <v>3.8775840985009642E-2</v>
      </c>
      <c r="D13" s="13">
        <f t="shared" si="6"/>
        <v>3.8775840985009642E-2</v>
      </c>
      <c r="E13" s="13">
        <f t="shared" si="0"/>
        <v>3.428082206941508E-2</v>
      </c>
      <c r="F13" s="13">
        <f t="shared" si="7"/>
        <v>2.5818282204873571E-2</v>
      </c>
      <c r="G13" s="13">
        <f t="shared" si="1"/>
        <v>-223.05701795000553</v>
      </c>
      <c r="I13" s="13">
        <v>5</v>
      </c>
      <c r="J13" s="13">
        <v>61</v>
      </c>
      <c r="K13" s="18">
        <f t="shared" si="2"/>
        <v>2.5818282204873571E-2</v>
      </c>
      <c r="L13" s="13">
        <f t="shared" si="3"/>
        <v>51.120198765649668</v>
      </c>
      <c r="M13" s="23">
        <f t="shared" si="4"/>
        <v>1.6001716791847596</v>
      </c>
    </row>
    <row r="14" spans="1:13" ht="16" x14ac:dyDescent="0.2">
      <c r="A14" s="13">
        <v>6</v>
      </c>
      <c r="B14" s="13">
        <v>47</v>
      </c>
      <c r="C14" s="22">
        <f t="shared" si="5"/>
        <v>3.2288609809391869E-2</v>
      </c>
      <c r="D14" s="13">
        <f t="shared" si="6"/>
        <v>4.881527730493921E-2</v>
      </c>
      <c r="E14" s="13">
        <f t="shared" si="0"/>
        <v>4.3156454974289479E-2</v>
      </c>
      <c r="F14" s="13">
        <f t="shared" si="7"/>
        <v>3.2502882551414182E-2</v>
      </c>
      <c r="G14" s="13">
        <f t="shared" si="1"/>
        <v>-161.0420454854229</v>
      </c>
      <c r="I14" s="13">
        <v>6</v>
      </c>
      <c r="J14" s="13">
        <v>47</v>
      </c>
      <c r="K14" s="18">
        <f t="shared" si="2"/>
        <v>3.2502882551414182E-2</v>
      </c>
      <c r="L14" s="13">
        <f t="shared" si="3"/>
        <v>64.355707451800086</v>
      </c>
      <c r="M14" s="23">
        <f t="shared" si="4"/>
        <v>6.4089485351589159</v>
      </c>
    </row>
    <row r="15" spans="1:13" ht="16" x14ac:dyDescent="0.2">
      <c r="A15" s="13">
        <v>7</v>
      </c>
      <c r="B15" s="13">
        <v>25</v>
      </c>
      <c r="C15" s="22">
        <f t="shared" si="5"/>
        <v>2.7332031638532567E-2</v>
      </c>
      <c r="D15" s="13">
        <f t="shared" si="6"/>
        <v>2.7332031638532567E-2</v>
      </c>
      <c r="E15" s="13">
        <f t="shared" si="0"/>
        <v>2.4163615529534992E-2</v>
      </c>
      <c r="F15" s="13">
        <f t="shared" si="7"/>
        <v>1.8198602226292663E-2</v>
      </c>
      <c r="G15" s="13">
        <f t="shared" si="1"/>
        <v>-100.16026221504666</v>
      </c>
      <c r="I15" s="13">
        <v>7</v>
      </c>
      <c r="J15" s="13">
        <v>25</v>
      </c>
      <c r="K15" s="18">
        <f t="shared" si="2"/>
        <v>1.8198602226292663E-2</v>
      </c>
      <c r="L15" s="13">
        <f t="shared" si="3"/>
        <v>36.033232408059476</v>
      </c>
      <c r="M15" s="23">
        <f t="shared" si="4"/>
        <v>4.8692886948101561</v>
      </c>
    </row>
    <row r="16" spans="1:13" ht="16" x14ac:dyDescent="0.2">
      <c r="A16" s="13">
        <v>8</v>
      </c>
      <c r="B16" s="13">
        <v>38</v>
      </c>
      <c r="C16" s="22">
        <f t="shared" si="5"/>
        <v>2.3419059051376385E-2</v>
      </c>
      <c r="D16" s="13">
        <f t="shared" si="6"/>
        <v>3.5405917707895779E-2</v>
      </c>
      <c r="E16" s="13">
        <f t="shared" si="0"/>
        <v>3.130155102549418E-2</v>
      </c>
      <c r="F16" s="13">
        <f t="shared" si="7"/>
        <v>2.3574471936234045E-2</v>
      </c>
      <c r="G16" s="13">
        <f t="shared" si="1"/>
        <v>-142.40845230094513</v>
      </c>
      <c r="I16" s="13">
        <v>8</v>
      </c>
      <c r="J16" s="13">
        <v>38</v>
      </c>
      <c r="K16" s="18">
        <f t="shared" si="2"/>
        <v>2.3574471936234045E-2</v>
      </c>
      <c r="L16" s="13">
        <f t="shared" si="3"/>
        <v>46.677454433743407</v>
      </c>
      <c r="M16" s="23">
        <f t="shared" si="4"/>
        <v>1.9815319855182396</v>
      </c>
    </row>
    <row r="17" spans="1:13" ht="16" x14ac:dyDescent="0.2">
      <c r="A17" s="13">
        <v>9</v>
      </c>
      <c r="B17" s="13">
        <v>39</v>
      </c>
      <c r="C17" s="22">
        <f t="shared" si="5"/>
        <v>2.0254702678534995E-2</v>
      </c>
      <c r="D17" s="13">
        <f t="shared" si="6"/>
        <v>2.0254702678534995E-2</v>
      </c>
      <c r="E17" s="13">
        <f t="shared" si="0"/>
        <v>1.7906713070651163E-2</v>
      </c>
      <c r="F17" s="13">
        <f t="shared" si="7"/>
        <v>1.3486274351403215E-2</v>
      </c>
      <c r="G17" s="13">
        <f t="shared" si="1"/>
        <v>-167.93723019269135</v>
      </c>
      <c r="I17" s="13">
        <v>9</v>
      </c>
      <c r="J17" s="13">
        <v>39</v>
      </c>
      <c r="K17" s="18">
        <f t="shared" si="2"/>
        <v>1.3486274351403215E-2</v>
      </c>
      <c r="L17" s="13">
        <f t="shared" si="3"/>
        <v>26.702823215778366</v>
      </c>
      <c r="M17" s="23">
        <f t="shared" si="4"/>
        <v>3.8774501759589621</v>
      </c>
    </row>
    <row r="18" spans="1:13" ht="16" x14ac:dyDescent="0.2">
      <c r="A18" s="13">
        <v>10</v>
      </c>
      <c r="B18" s="13">
        <v>26</v>
      </c>
      <c r="C18" s="22">
        <f t="shared" si="5"/>
        <v>1.7648277868393372E-2</v>
      </c>
      <c r="D18" s="13">
        <f t="shared" si="6"/>
        <v>2.6681408186538139E-2</v>
      </c>
      <c r="E18" s="13">
        <f t="shared" si="0"/>
        <v>2.3588414419115956E-2</v>
      </c>
      <c r="F18" s="13">
        <f t="shared" si="7"/>
        <v>1.7765394861449305E-2</v>
      </c>
      <c r="G18" s="13">
        <f t="shared" si="1"/>
        <v>-104.79307339342479</v>
      </c>
      <c r="I18" s="13">
        <v>10</v>
      </c>
      <c r="J18" s="13">
        <v>26</v>
      </c>
      <c r="K18" s="18">
        <f t="shared" si="2"/>
        <v>1.7765394861449305E-2</v>
      </c>
      <c r="L18" s="13">
        <f t="shared" si="3"/>
        <v>35.175481825669621</v>
      </c>
      <c r="M18" s="23">
        <f t="shared" si="4"/>
        <v>3.2380564128151357</v>
      </c>
    </row>
    <row r="19" spans="1:13" ht="16" x14ac:dyDescent="0.2">
      <c r="A19" s="13">
        <v>11</v>
      </c>
      <c r="B19" s="13">
        <v>19</v>
      </c>
      <c r="C19" s="22">
        <f t="shared" si="5"/>
        <v>1.5470192588488757E-2</v>
      </c>
      <c r="D19" s="13">
        <f t="shared" si="6"/>
        <v>1.5470192588488757E-2</v>
      </c>
      <c r="E19" s="13">
        <f t="shared" si="0"/>
        <v>1.3676838619969265E-2</v>
      </c>
      <c r="F19" s="13">
        <f t="shared" si="7"/>
        <v>1.0300583762135699E-2</v>
      </c>
      <c r="G19" s="13">
        <f t="shared" si="1"/>
        <v>-86.935539478924184</v>
      </c>
      <c r="I19" s="13">
        <v>11</v>
      </c>
      <c r="J19" s="13">
        <v>19</v>
      </c>
      <c r="K19" s="18">
        <f t="shared" si="2"/>
        <v>1.0300583762135699E-2</v>
      </c>
      <c r="L19" s="13">
        <f t="shared" si="3"/>
        <v>20.395155849028683</v>
      </c>
      <c r="M19" s="23">
        <f t="shared" si="4"/>
        <v>0.10244525489889184</v>
      </c>
    </row>
    <row r="20" spans="1:13" ht="16" x14ac:dyDescent="0.2">
      <c r="A20" s="13">
        <v>12</v>
      </c>
      <c r="B20" s="13">
        <v>23</v>
      </c>
      <c r="C20" s="22">
        <f t="shared" si="5"/>
        <v>1.362880878413732E-2</v>
      </c>
      <c r="D20" s="13">
        <f t="shared" si="6"/>
        <v>2.0604605898521495E-2</v>
      </c>
      <c r="E20" s="13">
        <f t="shared" si="0"/>
        <v>1.8216054395588762E-2</v>
      </c>
      <c r="F20" s="13">
        <f t="shared" si="7"/>
        <v>1.3719251892277127E-2</v>
      </c>
      <c r="G20" s="13">
        <f t="shared" si="1"/>
        <v>-98.645969254378926</v>
      </c>
      <c r="I20" s="13">
        <v>12</v>
      </c>
      <c r="J20" s="13">
        <v>23</v>
      </c>
      <c r="K20" s="18">
        <f t="shared" si="2"/>
        <v>1.3719251892277127E-2</v>
      </c>
      <c r="L20" s="13">
        <f t="shared" si="3"/>
        <v>27.164118746708713</v>
      </c>
      <c r="M20" s="23">
        <f t="shared" si="4"/>
        <v>0.75390804072569317</v>
      </c>
    </row>
    <row r="21" spans="1:13" ht="16" x14ac:dyDescent="0.2">
      <c r="A21" s="13">
        <v>13</v>
      </c>
      <c r="B21" s="13">
        <v>17</v>
      </c>
      <c r="C21" s="22">
        <f t="shared" si="5"/>
        <v>1.2057208898186388E-2</v>
      </c>
      <c r="D21" s="13">
        <f t="shared" si="6"/>
        <v>1.2057208898186388E-2</v>
      </c>
      <c r="E21" s="13">
        <f t="shared" si="0"/>
        <v>1.0659498863023642E-2</v>
      </c>
      <c r="F21" s="13">
        <f t="shared" si="7"/>
        <v>8.0281023964595133E-3</v>
      </c>
      <c r="G21" s="13">
        <f t="shared" si="1"/>
        <v>-82.02172058464059</v>
      </c>
      <c r="I21" s="13">
        <v>13</v>
      </c>
      <c r="J21" s="13">
        <v>17</v>
      </c>
      <c r="K21" s="18">
        <f t="shared" si="2"/>
        <v>8.0281023964595133E-3</v>
      </c>
      <c r="L21" s="13">
        <f t="shared" si="3"/>
        <v>15.895642744989836</v>
      </c>
      <c r="M21" s="23">
        <f t="shared" si="4"/>
        <v>7.1741467452563837E-2</v>
      </c>
    </row>
    <row r="22" spans="1:13" ht="16" x14ac:dyDescent="0.2">
      <c r="A22" s="13">
        <v>14</v>
      </c>
      <c r="B22" s="13">
        <v>13</v>
      </c>
      <c r="C22" s="22">
        <f t="shared" si="5"/>
        <v>1.0705213444987385E-2</v>
      </c>
      <c r="D22" s="13">
        <f t="shared" si="6"/>
        <v>1.6184591594699729E-2</v>
      </c>
      <c r="E22" s="13">
        <f t="shared" si="0"/>
        <v>1.4308422219354073E-2</v>
      </c>
      <c r="F22" s="13">
        <f t="shared" si="7"/>
        <v>1.0776255073980789E-2</v>
      </c>
      <c r="G22" s="13">
        <f t="shared" si="1"/>
        <v>-58.895332204693183</v>
      </c>
      <c r="I22" s="13">
        <v>14</v>
      </c>
      <c r="J22" s="13">
        <v>13</v>
      </c>
      <c r="K22" s="18">
        <f t="shared" si="2"/>
        <v>1.0776255073980789E-2</v>
      </c>
      <c r="L22" s="13">
        <f t="shared" si="3"/>
        <v>21.33698504648196</v>
      </c>
      <c r="M22" s="23">
        <f t="shared" si="4"/>
        <v>5.3465630511741393</v>
      </c>
    </row>
    <row r="23" spans="1:13" ht="16" x14ac:dyDescent="0.2">
      <c r="A23" s="13">
        <v>15</v>
      </c>
      <c r="B23" s="13">
        <v>11</v>
      </c>
      <c r="C23" s="22">
        <f t="shared" si="5"/>
        <v>9.5343494252084961E-3</v>
      </c>
      <c r="D23" s="13">
        <f t="shared" si="6"/>
        <v>9.5343494252084961E-3</v>
      </c>
      <c r="E23" s="13">
        <f t="shared" si="0"/>
        <v>8.4290972907475458E-3</v>
      </c>
      <c r="F23" s="13">
        <f t="shared" si="7"/>
        <v>6.3482962031712045E-3</v>
      </c>
      <c r="G23" s="13">
        <f t="shared" si="1"/>
        <v>-55.655256981956832</v>
      </c>
      <c r="I23" s="13">
        <v>15</v>
      </c>
      <c r="J23" s="13">
        <v>11</v>
      </c>
      <c r="K23" s="18">
        <f t="shared" si="2"/>
        <v>6.3482962031712045E-3</v>
      </c>
      <c r="L23" s="13">
        <f t="shared" si="3"/>
        <v>12.569626482278984</v>
      </c>
      <c r="M23" s="23">
        <f t="shared" si="4"/>
        <v>0.22397520853377262</v>
      </c>
    </row>
    <row r="24" spans="1:13" ht="16" x14ac:dyDescent="0.2">
      <c r="A24" s="13">
        <v>16</v>
      </c>
      <c r="B24" s="13">
        <v>15</v>
      </c>
      <c r="C24" s="22">
        <f t="shared" si="5"/>
        <v>8.5145591936798964E-3</v>
      </c>
      <c r="D24" s="13">
        <f t="shared" si="6"/>
        <v>1.2872668430831772E-2</v>
      </c>
      <c r="E24" s="13">
        <f t="shared" si="0"/>
        <v>1.1380427730929609E-2</v>
      </c>
      <c r="F24" s="13">
        <f t="shared" si="7"/>
        <v>8.5710632660543733E-3</v>
      </c>
      <c r="G24" s="13">
        <f t="shared" si="1"/>
        <v>-71.390452285258291</v>
      </c>
      <c r="I24" s="13">
        <v>16</v>
      </c>
      <c r="J24" s="13">
        <v>15</v>
      </c>
      <c r="K24" s="18">
        <f t="shared" si="2"/>
        <v>8.5710632660543733E-3</v>
      </c>
      <c r="L24" s="13">
        <f t="shared" si="3"/>
        <v>16.970705266787657</v>
      </c>
      <c r="M24" s="23">
        <f t="shared" si="4"/>
        <v>0.25891194990297417</v>
      </c>
    </row>
    <row r="25" spans="1:13" ht="16" x14ac:dyDescent="0.2">
      <c r="A25" s="13">
        <v>17</v>
      </c>
      <c r="B25" s="13">
        <v>11</v>
      </c>
      <c r="C25" s="22">
        <f t="shared" si="5"/>
        <v>7.6219787014555167E-3</v>
      </c>
      <c r="D25" s="13">
        <f t="shared" si="6"/>
        <v>7.6219787014555167E-3</v>
      </c>
      <c r="E25" s="13">
        <f t="shared" si="0"/>
        <v>6.738414668620062E-3</v>
      </c>
      <c r="F25" s="13">
        <f t="shared" si="7"/>
        <v>5.0749743158321186E-3</v>
      </c>
      <c r="G25" s="13">
        <f t="shared" si="1"/>
        <v>-58.117771964855592</v>
      </c>
      <c r="I25" s="13">
        <v>17</v>
      </c>
      <c r="J25" s="13">
        <v>11</v>
      </c>
      <c r="K25" s="18">
        <f t="shared" si="2"/>
        <v>5.0749743158321186E-3</v>
      </c>
      <c r="L25" s="13">
        <f t="shared" si="3"/>
        <v>10.048449145347595</v>
      </c>
      <c r="M25" s="23">
        <f t="shared" si="4"/>
        <v>8.2313548089974764E-2</v>
      </c>
    </row>
    <row r="26" spans="1:13" ht="16" x14ac:dyDescent="0.2">
      <c r="A26" s="13">
        <v>18</v>
      </c>
      <c r="B26" s="13">
        <v>9</v>
      </c>
      <c r="C26" s="22">
        <f t="shared" si="5"/>
        <v>6.8373961971948767E-3</v>
      </c>
      <c r="D26" s="13">
        <f t="shared" si="6"/>
        <v>1.0337062926528364E-2</v>
      </c>
      <c r="E26" s="13">
        <f t="shared" si="0"/>
        <v>9.1387576878515474E-3</v>
      </c>
      <c r="F26" s="13">
        <f t="shared" si="7"/>
        <v>6.8827703288194516E-3</v>
      </c>
      <c r="G26" s="13">
        <f t="shared" si="1"/>
        <v>-44.808606396105404</v>
      </c>
      <c r="I26" s="13">
        <v>18</v>
      </c>
      <c r="J26" s="13">
        <v>9</v>
      </c>
      <c r="K26" s="18">
        <f t="shared" si="2"/>
        <v>6.8827703288194516E-3</v>
      </c>
      <c r="L26" s="13">
        <f t="shared" si="3"/>
        <v>13.627885251062514</v>
      </c>
      <c r="M26" s="23">
        <f t="shared" si="4"/>
        <v>2.3797024330002166</v>
      </c>
    </row>
    <row r="27" spans="1:13" ht="16" x14ac:dyDescent="0.2">
      <c r="A27" s="13">
        <v>19</v>
      </c>
      <c r="B27" s="13">
        <v>17</v>
      </c>
      <c r="C27" s="22">
        <f t="shared" si="5"/>
        <v>6.1451572563438542E-3</v>
      </c>
      <c r="D27" s="13">
        <f t="shared" si="6"/>
        <v>6.1451572563438542E-3</v>
      </c>
      <c r="E27" s="13">
        <f t="shared" si="0"/>
        <v>5.432791066343038E-3</v>
      </c>
      <c r="F27" s="13">
        <f t="shared" si="7"/>
        <v>4.0916560468397733E-3</v>
      </c>
      <c r="G27" s="13">
        <f t="shared" si="1"/>
        <v>-93.479693320651222</v>
      </c>
      <c r="I27" s="13">
        <v>19</v>
      </c>
      <c r="J27" s="13">
        <v>17</v>
      </c>
      <c r="K27" s="18">
        <f t="shared" si="2"/>
        <v>4.0916560468397733E-3</v>
      </c>
      <c r="L27" s="13">
        <f t="shared" si="3"/>
        <v>8.1014789727427505</v>
      </c>
      <c r="M27" s="23">
        <f t="shared" si="4"/>
        <v>4.6578633219140837</v>
      </c>
    </row>
    <row r="28" spans="1:13" ht="16" x14ac:dyDescent="0.2">
      <c r="A28" s="13">
        <v>20</v>
      </c>
      <c r="B28" s="13">
        <v>4</v>
      </c>
      <c r="C28" s="22">
        <f t="shared" si="5"/>
        <v>5.5323704488755765E-3</v>
      </c>
      <c r="D28" s="13">
        <f t="shared" si="6"/>
        <v>8.3640701538335669E-3</v>
      </c>
      <c r="E28" s="13">
        <f t="shared" si="0"/>
        <v>7.3944805176635537E-3</v>
      </c>
      <c r="F28" s="13">
        <f t="shared" si="7"/>
        <v>5.5690842062334099E-3</v>
      </c>
      <c r="G28" s="13">
        <f t="shared" si="1"/>
        <v>-20.762098615834358</v>
      </c>
      <c r="I28" s="13" t="s">
        <v>11</v>
      </c>
      <c r="J28" s="13">
        <v>94</v>
      </c>
      <c r="K28" s="18">
        <f>1-SUM(K8:K27)</f>
        <v>4.4942037898527687E-2</v>
      </c>
      <c r="L28" s="13">
        <f t="shared" si="3"/>
        <v>88.985235039084813</v>
      </c>
      <c r="M28" s="23">
        <f t="shared" si="4"/>
        <v>0.26753050652364574</v>
      </c>
    </row>
    <row r="29" spans="1:13" ht="16" x14ac:dyDescent="0.2">
      <c r="A29" s="13">
        <v>21</v>
      </c>
      <c r="B29" s="13">
        <v>7</v>
      </c>
      <c r="C29" s="22">
        <f t="shared" si="5"/>
        <v>4.9883203198086449E-3</v>
      </c>
      <c r="D29" s="13">
        <f t="shared" si="6"/>
        <v>4.9883203198086449E-3</v>
      </c>
      <c r="E29" s="13">
        <f t="shared" si="0"/>
        <v>4.410058349855423E-3</v>
      </c>
      <c r="F29" s="13">
        <f t="shared" si="7"/>
        <v>3.3213944165624591E-3</v>
      </c>
      <c r="G29" s="13">
        <f t="shared" si="1"/>
        <v>-39.951594054697175</v>
      </c>
    </row>
    <row r="30" spans="1:13" ht="16" x14ac:dyDescent="0.2">
      <c r="A30" s="13">
        <v>22</v>
      </c>
      <c r="B30" s="13">
        <v>9</v>
      </c>
      <c r="C30" s="22">
        <f t="shared" si="5"/>
        <v>4.5040263436266336E-3</v>
      </c>
      <c r="D30" s="13">
        <f t="shared" si="6"/>
        <v>6.809376317246485E-3</v>
      </c>
      <c r="E30" s="13">
        <f t="shared" si="0"/>
        <v>6.0200117394090258E-3</v>
      </c>
      <c r="F30" s="13">
        <f t="shared" si="7"/>
        <v>4.5339158334649007E-3</v>
      </c>
      <c r="G30" s="13">
        <f t="shared" si="1"/>
        <v>-48.565523614379728</v>
      </c>
      <c r="K30" s="11" t="s">
        <v>12</v>
      </c>
      <c r="L30">
        <f>SUM(M8:M28)</f>
        <v>68.37462009998157</v>
      </c>
    </row>
    <row r="31" spans="1:13" ht="16" x14ac:dyDescent="0.2">
      <c r="A31" s="13">
        <v>23</v>
      </c>
      <c r="B31" s="13">
        <v>6</v>
      </c>
      <c r="C31" s="22">
        <f t="shared" si="5"/>
        <v>4.071906602683981E-3</v>
      </c>
      <c r="D31" s="13">
        <f t="shared" si="6"/>
        <v>4.071906602683981E-3</v>
      </c>
      <c r="E31" s="13">
        <f t="shared" si="0"/>
        <v>3.5998782278854882E-3</v>
      </c>
      <c r="F31" s="13">
        <f t="shared" si="7"/>
        <v>2.7112147953315853E-3</v>
      </c>
      <c r="G31" s="13">
        <f t="shared" si="1"/>
        <v>-35.46215088342484</v>
      </c>
      <c r="K31" s="11" t="s">
        <v>20</v>
      </c>
      <c r="L31">
        <f>21 - 4 - 1</f>
        <v>16</v>
      </c>
    </row>
    <row r="32" spans="1:13" ht="16" x14ac:dyDescent="0.2">
      <c r="A32" s="13">
        <v>24</v>
      </c>
      <c r="B32" s="13">
        <v>8</v>
      </c>
      <c r="C32" s="22">
        <f t="shared" si="5"/>
        <v>3.6855178727298343E-3</v>
      </c>
      <c r="D32" s="13">
        <f t="shared" si="6"/>
        <v>5.5719208114462012E-3</v>
      </c>
      <c r="E32" s="13">
        <f t="shared" si="0"/>
        <v>4.9260060148250736E-3</v>
      </c>
      <c r="F32" s="13">
        <f t="shared" si="7"/>
        <v>3.7099756002388191E-3</v>
      </c>
      <c r="G32" s="13">
        <f t="shared" si="1"/>
        <v>-44.773839833115645</v>
      </c>
      <c r="K32" s="11" t="s">
        <v>14</v>
      </c>
      <c r="L32">
        <f>_xlfn.CHISQ.DIST.RT(L30,L31)</f>
        <v>1.9186554945319582E-8</v>
      </c>
    </row>
    <row r="33" spans="1:12" ht="16" x14ac:dyDescent="0.2">
      <c r="A33" s="13">
        <v>25</v>
      </c>
      <c r="B33" s="13">
        <v>6</v>
      </c>
      <c r="C33" s="22">
        <f t="shared" si="5"/>
        <v>3.3393523123672287E-3</v>
      </c>
      <c r="D33" s="13">
        <f t="shared" si="6"/>
        <v>3.3393523123672287E-3</v>
      </c>
      <c r="E33" s="13">
        <f t="shared" si="0"/>
        <v>2.9522439627191056E-3</v>
      </c>
      <c r="F33" s="13">
        <f t="shared" si="7"/>
        <v>2.2234550738828491E-3</v>
      </c>
      <c r="G33" s="13">
        <f t="shared" si="1"/>
        <v>-36.652157720114488</v>
      </c>
      <c r="K33" s="13"/>
      <c r="L33" s="13"/>
    </row>
    <row r="34" spans="1:12" ht="16" x14ac:dyDescent="0.2">
      <c r="A34" s="13">
        <v>26</v>
      </c>
      <c r="B34" s="13">
        <v>3</v>
      </c>
      <c r="C34" s="22">
        <f t="shared" si="5"/>
        <v>3.0286766717657009E-3</v>
      </c>
      <c r="D34" s="13">
        <f t="shared" si="6"/>
        <v>4.5788806787289676E-3</v>
      </c>
      <c r="E34" s="13">
        <f t="shared" si="0"/>
        <v>4.0480822552700401E-3</v>
      </c>
      <c r="F34" s="13">
        <f t="shared" si="7"/>
        <v>3.0487754886236963E-3</v>
      </c>
      <c r="G34" s="13">
        <f t="shared" si="1"/>
        <v>-17.379045744350748</v>
      </c>
      <c r="K34" s="12" t="s">
        <v>21</v>
      </c>
    </row>
    <row r="35" spans="1:12" ht="16" x14ac:dyDescent="0.2">
      <c r="A35" s="13">
        <v>27</v>
      </c>
      <c r="B35" s="13">
        <v>9</v>
      </c>
      <c r="C35" s="22">
        <f t="shared" si="5"/>
        <v>2.7494038479372244E-3</v>
      </c>
      <c r="D35" s="13">
        <f t="shared" si="6"/>
        <v>2.7494038479372244E-3</v>
      </c>
      <c r="E35" s="13">
        <f t="shared" si="0"/>
        <v>2.4306842021695409E-3</v>
      </c>
      <c r="F35" s="13">
        <f t="shared" si="7"/>
        <v>1.8306471926334395E-3</v>
      </c>
      <c r="G35" s="13">
        <f t="shared" si="1"/>
        <v>-56.727771457266215</v>
      </c>
      <c r="K35" s="11" t="s">
        <v>22</v>
      </c>
      <c r="L35">
        <f>2 * (B5 - 'NBD fit (bad)'!B3)</f>
        <v>4553.8655332107592</v>
      </c>
    </row>
    <row r="36" spans="1:12" ht="16" x14ac:dyDescent="0.2">
      <c r="A36" s="13">
        <v>28</v>
      </c>
      <c r="B36" s="13">
        <v>5</v>
      </c>
      <c r="C36" s="22">
        <f t="shared" si="5"/>
        <v>2.4979893351711508E-3</v>
      </c>
      <c r="D36" s="13">
        <f t="shared" si="6"/>
        <v>3.7765652600407545E-3</v>
      </c>
      <c r="E36" s="13">
        <f t="shared" si="0"/>
        <v>3.3387737937918822E-3</v>
      </c>
      <c r="F36" s="13">
        <f t="shared" si="7"/>
        <v>2.5145664200177682E-3</v>
      </c>
      <c r="G36" s="13">
        <f t="shared" si="1"/>
        <v>-29.928274439499297</v>
      </c>
      <c r="K36" s="11" t="s">
        <v>13</v>
      </c>
      <c r="L36">
        <f xml:space="preserve"> 4 - 2</f>
        <v>2</v>
      </c>
    </row>
    <row r="37" spans="1:12" ht="16" x14ac:dyDescent="0.2">
      <c r="A37" s="13">
        <v>29</v>
      </c>
      <c r="B37" s="13">
        <v>4</v>
      </c>
      <c r="C37" s="22">
        <f t="shared" si="5"/>
        <v>2.2713470414646394E-3</v>
      </c>
      <c r="D37" s="13">
        <f t="shared" si="6"/>
        <v>2.2713470414646394E-3</v>
      </c>
      <c r="E37" s="13">
        <f t="shared" si="0"/>
        <v>2.0080452624210775E-3</v>
      </c>
      <c r="F37" s="13">
        <f t="shared" si="7"/>
        <v>1.5123406072458689E-3</v>
      </c>
      <c r="G37" s="13">
        <f t="shared" si="1"/>
        <v>-25.976387029006474</v>
      </c>
      <c r="K37" s="11" t="s">
        <v>14</v>
      </c>
      <c r="L37">
        <f>_xlfn.CHISQ.DIST.RT(L35,L36)</f>
        <v>0</v>
      </c>
    </row>
    <row r="38" spans="1:12" ht="16" x14ac:dyDescent="0.2">
      <c r="A38" s="13">
        <v>30</v>
      </c>
      <c r="B38" s="13">
        <v>7</v>
      </c>
      <c r="C38" s="22">
        <f t="shared" si="5"/>
        <v>2.0667803188963033E-3</v>
      </c>
      <c r="D38" s="13">
        <f t="shared" si="6"/>
        <v>3.1246453467924616E-3</v>
      </c>
      <c r="E38" s="13">
        <f t="shared" si="0"/>
        <v>2.7624265120343339E-3</v>
      </c>
      <c r="F38" s="13">
        <f t="shared" si="7"/>
        <v>2.0804958268943849E-3</v>
      </c>
      <c r="G38" s="13">
        <f t="shared" si="1"/>
        <v>-43.226043247533291</v>
      </c>
      <c r="K38" s="13"/>
      <c r="L38" s="13"/>
    </row>
    <row r="39" spans="1:12" ht="16" x14ac:dyDescent="0.2">
      <c r="A39" s="13">
        <v>31</v>
      </c>
      <c r="B39" s="13">
        <v>5</v>
      </c>
      <c r="C39" s="22">
        <f t="shared" si="5"/>
        <v>1.8819250554068002E-3</v>
      </c>
      <c r="D39" s="13">
        <f t="shared" si="6"/>
        <v>1.8819250554068002E-3</v>
      </c>
      <c r="E39" s="13">
        <f t="shared" si="0"/>
        <v>1.6637663125685679E-3</v>
      </c>
      <c r="F39" s="13">
        <f t="shared" si="7"/>
        <v>1.2530501192146619E-3</v>
      </c>
      <c r="G39" s="13">
        <f t="shared" si="1"/>
        <v>-33.410873022474632</v>
      </c>
      <c r="K39" s="14"/>
      <c r="L39" s="13"/>
    </row>
    <row r="40" spans="1:12" ht="16" x14ac:dyDescent="0.2">
      <c r="A40" s="13">
        <v>32</v>
      </c>
      <c r="B40" s="13">
        <v>3</v>
      </c>
      <c r="C40" s="22">
        <f t="shared" si="5"/>
        <v>1.7147024097173577E-3</v>
      </c>
      <c r="D40" s="13">
        <f t="shared" si="6"/>
        <v>2.592359166898948E-3</v>
      </c>
      <c r="E40" s="13">
        <f t="shared" si="0"/>
        <v>2.2918446404511386E-3</v>
      </c>
      <c r="F40" s="13">
        <f t="shared" si="7"/>
        <v>1.7260814684396547E-3</v>
      </c>
      <c r="G40" s="13">
        <f t="shared" si="1"/>
        <v>-19.085704460149785</v>
      </c>
      <c r="K40" s="13"/>
      <c r="L40" s="13"/>
    </row>
    <row r="41" spans="1:12" ht="16" x14ac:dyDescent="0.2">
      <c r="A41" s="13">
        <v>33</v>
      </c>
      <c r="B41" s="13">
        <v>3</v>
      </c>
      <c r="C41" s="22">
        <f t="shared" si="5"/>
        <v>1.56327931661258E-3</v>
      </c>
      <c r="D41" s="13">
        <f t="shared" si="6"/>
        <v>1.56327931661258E-3</v>
      </c>
      <c r="E41" s="13">
        <f t="shared" si="0"/>
        <v>1.3820590021067555E-3</v>
      </c>
      <c r="F41" s="13">
        <f t="shared" si="7"/>
        <v>1.040884879246042E-3</v>
      </c>
      <c r="G41" s="13">
        <f t="shared" si="1"/>
        <v>-20.603052246491256</v>
      </c>
      <c r="K41" s="11"/>
    </row>
    <row r="42" spans="1:12" ht="16" x14ac:dyDescent="0.2">
      <c r="A42" s="13">
        <v>34</v>
      </c>
      <c r="B42" s="13">
        <v>2</v>
      </c>
      <c r="C42" s="22">
        <f t="shared" si="5"/>
        <v>1.4260352993269302E-3</v>
      </c>
      <c r="D42" s="13">
        <f t="shared" si="6"/>
        <v>2.1559400975828878E-3</v>
      </c>
      <c r="E42" s="13">
        <f t="shared" si="0"/>
        <v>1.9060166588296108E-3</v>
      </c>
      <c r="F42" s="13">
        <f t="shared" si="7"/>
        <v>1.4354987136891836E-3</v>
      </c>
      <c r="G42" s="13">
        <f t="shared" si="1"/>
        <v>-13.092485908950362</v>
      </c>
      <c r="K42" s="11"/>
    </row>
    <row r="43" spans="1:12" ht="16" x14ac:dyDescent="0.2">
      <c r="A43" s="13">
        <v>35</v>
      </c>
      <c r="B43" s="13">
        <v>2</v>
      </c>
      <c r="C43" s="22">
        <f t="shared" si="5"/>
        <v>1.3015344362190243E-3</v>
      </c>
      <c r="D43" s="13">
        <f t="shared" si="6"/>
        <v>1.3015344362190243E-3</v>
      </c>
      <c r="E43" s="13">
        <f t="shared" si="0"/>
        <v>1.1506564214168711E-3</v>
      </c>
      <c r="F43" s="13">
        <f t="shared" si="7"/>
        <v>8.6660617848764449E-4</v>
      </c>
      <c r="G43" s="13">
        <f t="shared" si="1"/>
        <v>-14.101851838222492</v>
      </c>
    </row>
    <row r="44" spans="1:12" ht="16" x14ac:dyDescent="0.2">
      <c r="A44" s="13">
        <v>36</v>
      </c>
      <c r="B44" s="13">
        <v>3</v>
      </c>
      <c r="C44" s="22">
        <f t="shared" si="5"/>
        <v>1.1885015664213712E-3</v>
      </c>
      <c r="D44" s="13">
        <f t="shared" si="6"/>
        <v>1.7968266173335932E-3</v>
      </c>
      <c r="E44" s="13">
        <f t="shared" si="0"/>
        <v>1.5885327563163506E-3</v>
      </c>
      <c r="F44" s="13">
        <f t="shared" si="7"/>
        <v>1.1963886662698399E-3</v>
      </c>
      <c r="G44" s="13">
        <f t="shared" si="1"/>
        <v>-20.18534311334421</v>
      </c>
    </row>
    <row r="45" spans="1:12" ht="16" x14ac:dyDescent="0.2">
      <c r="A45" s="13">
        <v>37</v>
      </c>
      <c r="B45" s="13">
        <v>4</v>
      </c>
      <c r="C45" s="22">
        <f t="shared" si="5"/>
        <v>1.0858020024178503E-3</v>
      </c>
      <c r="D45" s="13">
        <f t="shared" si="6"/>
        <v>1.0858020024178503E-3</v>
      </c>
      <c r="E45" s="13">
        <f t="shared" si="0"/>
        <v>9.5993237804669815E-4</v>
      </c>
      <c r="F45" s="13">
        <f t="shared" si="7"/>
        <v>7.2296413965278964E-4</v>
      </c>
      <c r="G45" s="13">
        <f t="shared" si="1"/>
        <v>-28.928603745637336</v>
      </c>
    </row>
    <row r="46" spans="1:12" ht="16" x14ac:dyDescent="0.2">
      <c r="A46" s="13">
        <v>38</v>
      </c>
      <c r="B46" s="13">
        <v>2</v>
      </c>
      <c r="C46" s="22">
        <f t="shared" si="5"/>
        <v>9.9242416005752994E-4</v>
      </c>
      <c r="D46" s="13">
        <f t="shared" si="6"/>
        <v>1.5003885538372806E-3</v>
      </c>
      <c r="E46" s="13">
        <f t="shared" si="0"/>
        <v>1.3264587367419554E-3</v>
      </c>
      <c r="F46" s="13">
        <f t="shared" si="7"/>
        <v>9.9901005667184825E-4</v>
      </c>
      <c r="G46" s="13">
        <f t="shared" si="1"/>
        <v>-13.817491425255605</v>
      </c>
    </row>
    <row r="47" spans="1:12" ht="16" x14ac:dyDescent="0.2">
      <c r="A47" s="13">
        <v>39</v>
      </c>
      <c r="B47" s="13">
        <v>0</v>
      </c>
      <c r="C47" s="22">
        <f t="shared" si="5"/>
        <v>9.07464628248279E-4</v>
      </c>
      <c r="D47" s="13">
        <f t="shared" si="6"/>
        <v>9.07464628248279E-4</v>
      </c>
      <c r="E47" s="13">
        <f t="shared" si="0"/>
        <v>8.0226843996222916E-4</v>
      </c>
      <c r="F47" s="13">
        <f t="shared" si="7"/>
        <v>6.0422101153427565E-4</v>
      </c>
      <c r="G47" s="13">
        <f t="shared" si="1"/>
        <v>0</v>
      </c>
    </row>
    <row r="48" spans="1:12" ht="16" x14ac:dyDescent="0.2">
      <c r="A48" s="13">
        <v>40</v>
      </c>
      <c r="B48" s="13">
        <v>2</v>
      </c>
      <c r="C48" s="22">
        <f t="shared" si="5"/>
        <v>8.3011528877943979E-4</v>
      </c>
      <c r="D48" s="13">
        <f t="shared" si="6"/>
        <v>1.2550031808756046E-3</v>
      </c>
      <c r="E48" s="13">
        <f t="shared" si="0"/>
        <v>1.1095192173079791E-3</v>
      </c>
      <c r="F48" s="13">
        <f t="shared" si="7"/>
        <v>8.3562407593910492E-4</v>
      </c>
      <c r="G48" s="13">
        <f t="shared" si="1"/>
        <v>-14.174663431881427</v>
      </c>
    </row>
    <row r="49" spans="1:7" ht="16" x14ac:dyDescent="0.2">
      <c r="A49" s="13">
        <v>41</v>
      </c>
      <c r="B49" s="13">
        <v>0</v>
      </c>
      <c r="C49" s="22">
        <f t="shared" si="5"/>
        <v>7.5965216682637204E-4</v>
      </c>
      <c r="D49" s="13">
        <f t="shared" si="6"/>
        <v>7.5965216682637204E-4</v>
      </c>
      <c r="E49" s="13">
        <f t="shared" si="0"/>
        <v>6.7159086957489507E-4</v>
      </c>
      <c r="F49" s="13">
        <f t="shared" si="7"/>
        <v>5.0580241517518933E-4</v>
      </c>
      <c r="G49" s="13">
        <f t="shared" si="1"/>
        <v>0</v>
      </c>
    </row>
    <row r="50" spans="1:7" ht="16" x14ac:dyDescent="0.2">
      <c r="A50" s="13">
        <v>42</v>
      </c>
      <c r="B50" s="13">
        <v>0</v>
      </c>
      <c r="C50" s="22">
        <f t="shared" si="5"/>
        <v>6.9542574876312242E-4</v>
      </c>
      <c r="D50" s="13">
        <f t="shared" si="6"/>
        <v>1.0513738736745626E-3</v>
      </c>
      <c r="E50" s="13">
        <f t="shared" si="0"/>
        <v>9.2949526757660358E-4</v>
      </c>
      <c r="F50" s="13">
        <f t="shared" si="7"/>
        <v>7.0004071307840402E-4</v>
      </c>
      <c r="G50" s="13">
        <f t="shared" si="1"/>
        <v>0</v>
      </c>
    </row>
  </sheetData>
  <hyperlinks>
    <hyperlink ref="A4" r:id="rId1" xr:uid="{D16BA2D5-AB36-3A42-B9B3-B9F27D10AA32}"/>
  </hyperlinks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D3514-EF07-4242-8574-CF2D8C0C1193}">
  <dimension ref="A1:O58"/>
  <sheetViews>
    <sheetView topLeftCell="A4" zoomScale="109" workbookViewId="0">
      <selection activeCell="I17" sqref="I17"/>
    </sheetView>
  </sheetViews>
  <sheetFormatPr baseColWidth="10" defaultRowHeight="13" x14ac:dyDescent="0.15"/>
  <cols>
    <col min="3" max="3" width="15.33203125" bestFit="1" customWidth="1"/>
    <col min="4" max="4" width="14" bestFit="1" customWidth="1"/>
    <col min="7" max="7" width="14" bestFit="1" customWidth="1"/>
    <col min="13" max="13" width="12.33203125" bestFit="1" customWidth="1"/>
  </cols>
  <sheetData>
    <row r="1" spans="1:15" ht="16" x14ac:dyDescent="0.2">
      <c r="A1" s="13" t="s">
        <v>26</v>
      </c>
      <c r="B1" s="13">
        <v>0.32140265493061843</v>
      </c>
      <c r="C1" s="21"/>
      <c r="D1" s="13"/>
      <c r="E1" s="13"/>
      <c r="F1" s="13"/>
    </row>
    <row r="2" spans="1:15" ht="16" x14ac:dyDescent="0.2">
      <c r="A2" s="13" t="s">
        <v>27</v>
      </c>
      <c r="B2" s="13">
        <v>7.5841563120224609E-2</v>
      </c>
      <c r="C2" s="22"/>
      <c r="D2" s="13"/>
      <c r="E2" s="13"/>
      <c r="F2" s="13"/>
    </row>
    <row r="3" spans="1:15" ht="16" x14ac:dyDescent="0.2">
      <c r="A3" s="13" t="s">
        <v>28</v>
      </c>
      <c r="B3" s="13">
        <v>3.400403324956236E-2</v>
      </c>
      <c r="C3" s="22"/>
      <c r="D3" s="13"/>
      <c r="E3" s="13"/>
      <c r="F3" s="13"/>
    </row>
    <row r="4" spans="1:15" ht="16" x14ac:dyDescent="0.2">
      <c r="A4" s="13" t="s">
        <v>29</v>
      </c>
      <c r="B4" s="13">
        <v>2.4897837245652032E-6</v>
      </c>
      <c r="C4" s="22"/>
      <c r="D4" s="13"/>
      <c r="E4" s="13"/>
      <c r="F4" s="13"/>
    </row>
    <row r="5" spans="1:15" ht="16" x14ac:dyDescent="0.2">
      <c r="A5" s="13" t="s">
        <v>30</v>
      </c>
      <c r="B5" s="13">
        <v>0.37076465035236328</v>
      </c>
      <c r="C5" s="22"/>
      <c r="D5" s="13"/>
      <c r="E5" s="13"/>
      <c r="F5" s="13"/>
    </row>
    <row r="6" spans="1:15" ht="16" x14ac:dyDescent="0.2">
      <c r="A6" s="13" t="s">
        <v>23</v>
      </c>
      <c r="B6" s="13">
        <v>2.1777234717651131</v>
      </c>
      <c r="C6" s="22"/>
      <c r="D6" s="13"/>
      <c r="E6" s="13"/>
      <c r="F6" s="13"/>
    </row>
    <row r="7" spans="1:15" ht="16" x14ac:dyDescent="0.2">
      <c r="A7" s="24" t="s">
        <v>17</v>
      </c>
      <c r="B7" s="13">
        <v>9.9999999999935896E-7</v>
      </c>
    </row>
    <row r="8" spans="1:15" ht="16" x14ac:dyDescent="0.2">
      <c r="A8" s="13" t="s">
        <v>2</v>
      </c>
      <c r="B8" s="13">
        <f>SUM(I16:I58)</f>
        <v>-4279.0017358889809</v>
      </c>
    </row>
    <row r="15" spans="1:15" ht="16" x14ac:dyDescent="0.2">
      <c r="A15" s="13" t="s">
        <v>0</v>
      </c>
      <c r="B15" s="13" t="s">
        <v>1</v>
      </c>
      <c r="C15" s="22" t="s">
        <v>31</v>
      </c>
      <c r="D15" s="11" t="s">
        <v>32</v>
      </c>
      <c r="E15" s="13" t="s">
        <v>33</v>
      </c>
      <c r="F15" s="13" t="s">
        <v>23</v>
      </c>
      <c r="G15" s="13" t="s">
        <v>24</v>
      </c>
      <c r="H15" s="13" t="s">
        <v>19</v>
      </c>
      <c r="I15" s="13" t="s">
        <v>2</v>
      </c>
      <c r="K15" s="13" t="s">
        <v>0</v>
      </c>
      <c r="L15" s="13" t="s">
        <v>9</v>
      </c>
      <c r="M15" s="13" t="s">
        <v>18</v>
      </c>
      <c r="N15" s="13" t="s">
        <v>7</v>
      </c>
      <c r="O15" s="13" t="s">
        <v>12</v>
      </c>
    </row>
    <row r="16" spans="1:15" ht="16" x14ac:dyDescent="0.2">
      <c r="A16" s="13">
        <v>0</v>
      </c>
      <c r="B16" s="13">
        <v>975</v>
      </c>
      <c r="C16" s="22">
        <f>(B2/(B2+1))^B1</f>
        <v>0.42637843451357543</v>
      </c>
      <c r="D16" s="22">
        <f>(B4/(B4+1))^B3</f>
        <v>0.64483240893788207</v>
      </c>
      <c r="E16" s="18">
        <f>C16*(1 - $B$5) + D16*$B$5</f>
        <v>0.50737344595908762</v>
      </c>
      <c r="F16" s="19">
        <f>E16</f>
        <v>0.50737344595908762</v>
      </c>
      <c r="G16" s="13">
        <f>E16/SUM($E$16:$E$58)</f>
        <v>0.49230771113744937</v>
      </c>
      <c r="H16" s="13">
        <f>$B$7+(1-$B$7)*G16</f>
        <v>0.49230821882973819</v>
      </c>
      <c r="I16" s="13">
        <f>B16*LN(H16)</f>
        <v>-690.93404015861233</v>
      </c>
      <c r="K16" s="13">
        <v>0</v>
      </c>
      <c r="L16" s="13">
        <v>975</v>
      </c>
      <c r="M16" s="18">
        <f>H16</f>
        <v>0.49230821882973819</v>
      </c>
      <c r="N16" s="13">
        <f>M16*1980</f>
        <v>974.77027328288159</v>
      </c>
      <c r="O16" s="23">
        <f>(N16-L16)^2/L16</f>
        <v>5.4127553392822681E-5</v>
      </c>
    </row>
    <row r="17" spans="1:15" ht="16" x14ac:dyDescent="0.2">
      <c r="A17" s="13">
        <v>1</v>
      </c>
      <c r="B17" s="13">
        <v>127</v>
      </c>
      <c r="C17" s="22">
        <f>C16*($B$1+A16)/(A17*($B$2+1))</f>
        <v>0.12737857093043906</v>
      </c>
      <c r="D17">
        <f>C16*($B$3+A16)/(A17*($B$4+1))</f>
        <v>1.4498550365841235E-2</v>
      </c>
      <c r="E17" s="18">
        <f t="shared" ref="E17:E58" si="0">C17*(1 - $B$5) + D17*$B$5</f>
        <v>8.5526649574038369E-2</v>
      </c>
      <c r="F17">
        <f xml:space="preserve"> IF(MOD(A17,2) = 0, E17*B$6, E17)</f>
        <v>8.5526649574038369E-2</v>
      </c>
      <c r="G17" s="13">
        <f>E17/SUM($E$16:$E$58)</f>
        <v>8.2987057025536048E-2</v>
      </c>
      <c r="H17" s="13">
        <f>(1-$B$7) *G17</f>
        <v>8.2986974038479017E-2</v>
      </c>
      <c r="I17" s="13">
        <f>B17*LN(H17)</f>
        <v>-316.11209609524855</v>
      </c>
      <c r="K17" s="13">
        <v>1</v>
      </c>
      <c r="L17" s="13">
        <v>127</v>
      </c>
      <c r="M17" s="18">
        <f>H17</f>
        <v>8.2986974038479017E-2</v>
      </c>
      <c r="N17" s="13">
        <f t="shared" ref="N17:N36" si="1">M17*1980</f>
        <v>164.31420859618845</v>
      </c>
      <c r="O17" s="23">
        <f t="shared" ref="O17:O36" si="2">(N17-L17)^2/L17</f>
        <v>10.963387111494992</v>
      </c>
    </row>
    <row r="18" spans="1:15" ht="16" x14ac:dyDescent="0.2">
      <c r="A18" s="13">
        <v>2</v>
      </c>
      <c r="B18" s="13">
        <v>225</v>
      </c>
      <c r="C18" s="22">
        <f t="shared" ref="C18:C58" si="3">C17*($B$1+A17)/(A18*($B$2+1))</f>
        <v>7.8226379970198628E-2</v>
      </c>
      <c r="D18">
        <f t="shared" ref="D18:D58" si="4">C17*($B$3+A17)/(A18*($B$4+1))</f>
        <v>6.5854814081575438E-2</v>
      </c>
      <c r="E18" s="18">
        <f t="shared" si="0"/>
        <v>7.3639440669192022E-2</v>
      </c>
      <c r="F18">
        <f t="shared" ref="F18:F58" si="5" xml:space="preserve"> IF(MOD(A18,2) = 0, E18*B$6, E18)</f>
        <v>0.16036633839295392</v>
      </c>
      <c r="G18" s="13">
        <f>E18/SUM($E$16:$E$58)</f>
        <v>7.1452821928357738E-2</v>
      </c>
      <c r="H18" s="13">
        <f>(1-$B$7) *G18</f>
        <v>7.1452750475535801E-2</v>
      </c>
      <c r="I18" s="13">
        <f>B18*LN(H18)</f>
        <v>-593.71174805359715</v>
      </c>
      <c r="K18" s="13">
        <v>2</v>
      </c>
      <c r="L18" s="13">
        <v>225</v>
      </c>
      <c r="M18" s="18">
        <f>H18</f>
        <v>7.1452750475535801E-2</v>
      </c>
      <c r="N18" s="13">
        <f t="shared" si="1"/>
        <v>141.47644594156088</v>
      </c>
      <c r="O18" s="23">
        <f t="shared" si="2"/>
        <v>31.005262589124452</v>
      </c>
    </row>
    <row r="19" spans="1:15" ht="16" x14ac:dyDescent="0.2">
      <c r="A19" s="13">
        <v>3</v>
      </c>
      <c r="B19" s="13">
        <v>91</v>
      </c>
      <c r="C19" s="22">
        <f t="shared" si="3"/>
        <v>5.6264457634374217E-2</v>
      </c>
      <c r="D19">
        <f t="shared" si="4"/>
        <v>5.303745873683071E-2</v>
      </c>
      <c r="E19" s="18">
        <f t="shared" si="0"/>
        <v>5.5068000516439036E-2</v>
      </c>
      <c r="F19">
        <f t="shared" si="5"/>
        <v>5.5068000516439036E-2</v>
      </c>
      <c r="G19" s="13">
        <f>E19/SUM($E$16:$E$58)</f>
        <v>5.3432834349297118E-2</v>
      </c>
      <c r="H19" s="13">
        <f>(1-$B$7) *G19</f>
        <v>5.3432780916462766E-2</v>
      </c>
      <c r="I19" s="13">
        <f>B19*LN(H19)</f>
        <v>-266.56910703331499</v>
      </c>
      <c r="K19" s="13">
        <v>3</v>
      </c>
      <c r="L19" s="13">
        <v>91</v>
      </c>
      <c r="M19" s="18">
        <f>H19</f>
        <v>5.3432780916462766E-2</v>
      </c>
      <c r="N19" s="13">
        <f t="shared" si="1"/>
        <v>105.79690621459628</v>
      </c>
      <c r="O19" s="23">
        <f t="shared" si="2"/>
        <v>2.40602674201712</v>
      </c>
    </row>
    <row r="20" spans="1:15" ht="16" x14ac:dyDescent="0.2">
      <c r="A20" s="13">
        <v>4</v>
      </c>
      <c r="B20" s="13">
        <v>97</v>
      </c>
      <c r="C20" s="22">
        <f t="shared" si="3"/>
        <v>4.3425752771404695E-2</v>
      </c>
      <c r="D20">
        <f t="shared" si="4"/>
        <v>4.2676541592463951E-2</v>
      </c>
      <c r="E20" s="18">
        <f t="shared" si="0"/>
        <v>4.3147971750604648E-2</v>
      </c>
      <c r="F20">
        <f t="shared" si="5"/>
        <v>9.3964350840349778E-2</v>
      </c>
      <c r="G20" s="13">
        <f>E20/SUM($E$16:$E$58)</f>
        <v>4.1866753930351268E-2</v>
      </c>
      <c r="H20" s="13">
        <f>(1-$B$7) *G20</f>
        <v>4.1866712063597336E-2</v>
      </c>
      <c r="I20" s="13">
        <f>B20*LN(H20)</f>
        <v>-307.80663024162897</v>
      </c>
      <c r="K20" s="13">
        <v>4</v>
      </c>
      <c r="L20" s="13">
        <v>97</v>
      </c>
      <c r="M20" s="18">
        <f>H20</f>
        <v>4.1866712063597336E-2</v>
      </c>
      <c r="N20" s="13">
        <f t="shared" si="1"/>
        <v>82.89608988592272</v>
      </c>
      <c r="O20" s="23">
        <f t="shared" si="2"/>
        <v>2.0507245412986741</v>
      </c>
    </row>
    <row r="21" spans="1:15" ht="16" x14ac:dyDescent="0.2">
      <c r="A21" s="13">
        <v>5</v>
      </c>
      <c r="B21" s="13">
        <v>61</v>
      </c>
      <c r="C21" s="22">
        <f t="shared" si="3"/>
        <v>3.4886208109388313E-2</v>
      </c>
      <c r="D21">
        <f t="shared" si="4"/>
        <v>3.5035845133671993E-2</v>
      </c>
      <c r="E21" s="18">
        <f t="shared" si="0"/>
        <v>3.4941688228376622E-2</v>
      </c>
      <c r="F21">
        <f t="shared" si="5"/>
        <v>3.4941688228376622E-2</v>
      </c>
      <c r="G21" s="13">
        <f>E21/SUM($E$16:$E$58)</f>
        <v>3.3904144357561734E-2</v>
      </c>
      <c r="H21" s="13">
        <f>(1-$B$7) *G21</f>
        <v>3.3904110453417374E-2</v>
      </c>
      <c r="I21" s="13">
        <f>B21*LN(H21)</f>
        <v>-206.4373601976132</v>
      </c>
      <c r="K21" s="13">
        <v>5</v>
      </c>
      <c r="L21" s="13">
        <v>61</v>
      </c>
      <c r="M21" s="18">
        <f>H21</f>
        <v>3.3904110453417374E-2</v>
      </c>
      <c r="N21" s="13">
        <f t="shared" si="1"/>
        <v>67.130138697766398</v>
      </c>
      <c r="O21" s="23">
        <f t="shared" si="2"/>
        <v>0.61604263039103468</v>
      </c>
    </row>
    <row r="22" spans="1:15" ht="16" x14ac:dyDescent="0.2">
      <c r="A22" s="13">
        <v>6</v>
      </c>
      <c r="B22" s="13">
        <v>47</v>
      </c>
      <c r="C22" s="22">
        <f t="shared" si="3"/>
        <v>2.8759433051855961E-2</v>
      </c>
      <c r="D22">
        <f t="shared" si="4"/>
        <v>2.9269479179901175E-2</v>
      </c>
      <c r="E22" s="18">
        <f t="shared" si="0"/>
        <v>2.8948540126184221E-2</v>
      </c>
      <c r="F22">
        <f t="shared" si="5"/>
        <v>6.3041915306125587E-2</v>
      </c>
      <c r="G22" s="13">
        <f>E22/SUM($E$16:$E$58)</f>
        <v>2.8088954287610764E-2</v>
      </c>
      <c r="H22" s="13">
        <f>(1-$B$7) *G22</f>
        <v>2.8088926198656477E-2</v>
      </c>
      <c r="I22" s="13">
        <f>B22*LN(H22)</f>
        <v>-167.90185369126439</v>
      </c>
      <c r="K22" s="13">
        <v>6</v>
      </c>
      <c r="L22" s="13">
        <v>47</v>
      </c>
      <c r="M22" s="18">
        <f>H22</f>
        <v>2.8088926198656477E-2</v>
      </c>
      <c r="N22" s="13">
        <f t="shared" si="1"/>
        <v>55.616073873339822</v>
      </c>
      <c r="O22" s="23">
        <f t="shared" si="2"/>
        <v>1.5795048721457252</v>
      </c>
    </row>
    <row r="23" spans="1:15" ht="16" x14ac:dyDescent="0.2">
      <c r="A23" s="13">
        <v>7</v>
      </c>
      <c r="B23" s="13">
        <v>25</v>
      </c>
      <c r="C23" s="22">
        <f t="shared" si="3"/>
        <v>2.4140564224376489E-2</v>
      </c>
      <c r="D23">
        <f t="shared" si="4"/>
        <v>2.4790586138069205E-2</v>
      </c>
      <c r="E23" s="18">
        <f t="shared" si="0"/>
        <v>2.4381569371928143E-2</v>
      </c>
      <c r="F23">
        <f t="shared" si="5"/>
        <v>2.4381569371928143E-2</v>
      </c>
      <c r="G23" s="13">
        <f>E23/SUM($E$16:$E$58)</f>
        <v>2.3657593252132417E-2</v>
      </c>
      <c r="H23" s="13">
        <f>(1-$B$7) *G23</f>
        <v>2.3657569594539164E-2</v>
      </c>
      <c r="I23" s="13">
        <f>B23*LN(H23)</f>
        <v>-93.601803695811768</v>
      </c>
      <c r="K23" s="13">
        <v>7</v>
      </c>
      <c r="L23" s="13">
        <v>25</v>
      </c>
      <c r="M23" s="18">
        <f>H23</f>
        <v>2.3657569594539164E-2</v>
      </c>
      <c r="N23" s="13">
        <f t="shared" si="1"/>
        <v>46.841987797187542</v>
      </c>
      <c r="O23" s="23">
        <f t="shared" si="2"/>
        <v>19.08289723729958</v>
      </c>
    </row>
    <row r="24" spans="1:15" ht="16" x14ac:dyDescent="0.2">
      <c r="A24" s="13">
        <v>8</v>
      </c>
      <c r="B24" s="13">
        <v>38</v>
      </c>
      <c r="C24" s="22">
        <f t="shared" si="3"/>
        <v>2.0535411191410977E-2</v>
      </c>
      <c r="D24">
        <f t="shared" si="4"/>
        <v>2.1225550417868066E-2</v>
      </c>
      <c r="E24" s="18">
        <f t="shared" si="0"/>
        <v>2.0791290420402789E-2</v>
      </c>
      <c r="F24">
        <f t="shared" si="5"/>
        <v>4.5277681156796298E-2</v>
      </c>
      <c r="G24" s="13">
        <f>E24/SUM($E$16:$E$58)</f>
        <v>2.0173922541637777E-2</v>
      </c>
      <c r="H24" s="13">
        <f>(1-$B$7) *G24</f>
        <v>2.0173902367715234E-2</v>
      </c>
      <c r="I24" s="13">
        <f>B24*LN(H24)</f>
        <v>-148.32788793112462</v>
      </c>
      <c r="K24" s="13">
        <v>8</v>
      </c>
      <c r="L24" s="13">
        <v>38</v>
      </c>
      <c r="M24" s="18">
        <f>H24</f>
        <v>2.0173902367715234E-2</v>
      </c>
      <c r="N24" s="13">
        <f t="shared" si="1"/>
        <v>39.94432668807616</v>
      </c>
      <c r="O24" s="23">
        <f t="shared" si="2"/>
        <v>9.9484375525400223E-2</v>
      </c>
    </row>
    <row r="25" spans="1:15" ht="16" x14ac:dyDescent="0.2">
      <c r="A25" s="13">
        <v>9</v>
      </c>
      <c r="B25" s="13">
        <v>39</v>
      </c>
      <c r="C25" s="22">
        <f t="shared" si="3"/>
        <v>1.7648553370906334E-2</v>
      </c>
      <c r="D25">
        <f t="shared" si="4"/>
        <v>1.8331240618757013E-2</v>
      </c>
      <c r="E25" s="18">
        <f t="shared" si="0"/>
        <v>1.7901669669655708E-2</v>
      </c>
      <c r="F25">
        <f t="shared" si="5"/>
        <v>1.7901669669655708E-2</v>
      </c>
      <c r="G25" s="13">
        <f>E25/SUM($E$16:$E$58)</f>
        <v>1.7370104980459607E-2</v>
      </c>
      <c r="H25" s="13">
        <f>(1-$B$7) *G25</f>
        <v>1.7370087610354627E-2</v>
      </c>
      <c r="I25" s="13">
        <f>B25*LN(H25)</f>
        <v>-158.06722054374532</v>
      </c>
      <c r="K25" s="13">
        <v>9</v>
      </c>
      <c r="L25" s="13">
        <v>39</v>
      </c>
      <c r="M25" s="18">
        <f>H25</f>
        <v>1.7370087610354627E-2</v>
      </c>
      <c r="N25" s="13">
        <f t="shared" si="1"/>
        <v>34.392773468502163</v>
      </c>
      <c r="O25" s="23">
        <f t="shared" si="2"/>
        <v>0.54427016185993815</v>
      </c>
    </row>
    <row r="26" spans="1:15" ht="16" x14ac:dyDescent="0.2">
      <c r="A26" s="13">
        <v>10</v>
      </c>
      <c r="B26" s="13">
        <v>26</v>
      </c>
      <c r="C26" s="22">
        <f t="shared" si="3"/>
        <v>1.5291217395443497E-2</v>
      </c>
      <c r="D26">
        <f t="shared" si="4"/>
        <v>1.5943670537087385E-2</v>
      </c>
      <c r="E26" s="18">
        <f t="shared" si="0"/>
        <v>1.5533123956376394E-2</v>
      </c>
      <c r="F26">
        <f t="shared" si="5"/>
        <v>3.3826848629637848E-2</v>
      </c>
      <c r="G26" s="13">
        <f>E26/SUM($E$16:$E$58)</f>
        <v>1.5071889872601987E-2</v>
      </c>
      <c r="H26" s="13">
        <f>(1-$B$7) *G26</f>
        <v>1.5071874800712114E-2</v>
      </c>
      <c r="I26" s="13">
        <f>B26*LN(H26)</f>
        <v>-109.06804656616541</v>
      </c>
      <c r="K26" s="13">
        <v>10</v>
      </c>
      <c r="L26" s="13">
        <v>26</v>
      </c>
      <c r="M26" s="18">
        <f>H26</f>
        <v>1.5071874800712114E-2</v>
      </c>
      <c r="N26" s="13">
        <f t="shared" si="1"/>
        <v>29.842312105409984</v>
      </c>
      <c r="O26" s="23">
        <f t="shared" si="2"/>
        <v>0.56782162751461951</v>
      </c>
    </row>
    <row r="27" spans="1:15" ht="16" x14ac:dyDescent="0.2">
      <c r="A27" s="13">
        <v>11</v>
      </c>
      <c r="B27" s="13">
        <v>19</v>
      </c>
      <c r="C27" s="22">
        <f t="shared" si="3"/>
        <v>1.3336435843068357E-2</v>
      </c>
      <c r="D27">
        <f t="shared" si="4"/>
        <v>1.3948341364299044E-2</v>
      </c>
      <c r="E27" s="18">
        <f t="shared" si="0"/>
        <v>1.3563308779696134E-2</v>
      </c>
      <c r="F27">
        <f t="shared" si="5"/>
        <v>1.3563308779696134E-2</v>
      </c>
      <c r="G27" s="13">
        <f>E27/SUM($E$16:$E$58)</f>
        <v>1.3160565563616637E-2</v>
      </c>
      <c r="H27" s="13">
        <f>(1-$B$7) *G27</f>
        <v>1.3160552403051072E-2</v>
      </c>
      <c r="I27" s="13">
        <f>B27*LN(H27)</f>
        <v>-82.280096182953713</v>
      </c>
      <c r="K27" s="13">
        <v>11</v>
      </c>
      <c r="L27" s="13">
        <v>19</v>
      </c>
      <c r="M27" s="18">
        <f>H27</f>
        <v>1.3160552403051072E-2</v>
      </c>
      <c r="N27" s="13">
        <f t="shared" si="1"/>
        <v>26.057893758041125</v>
      </c>
      <c r="O27" s="23">
        <f t="shared" si="2"/>
        <v>2.6217823315682041</v>
      </c>
    </row>
    <row r="28" spans="1:15" ht="16" x14ac:dyDescent="0.2">
      <c r="A28" s="13">
        <v>12</v>
      </c>
      <c r="B28" s="13">
        <v>23</v>
      </c>
      <c r="C28" s="22">
        <f t="shared" si="3"/>
        <v>1.1695275380754279E-2</v>
      </c>
      <c r="D28">
        <f t="shared" si="4"/>
        <v>1.2262826708346169E-2</v>
      </c>
      <c r="E28" s="18">
        <f t="shared" si="0"/>
        <v>1.1905703350285905E-2</v>
      </c>
      <c r="F28">
        <f t="shared" si="5"/>
        <v>2.5927329633790158E-2</v>
      </c>
      <c r="G28" s="13">
        <f>E28/SUM($E$16:$E$58)</f>
        <v>1.1552180376292975E-2</v>
      </c>
      <c r="H28" s="13">
        <f>(1-$B$7) *G28</f>
        <v>1.1552168824112597E-2</v>
      </c>
      <c r="I28" s="13">
        <f>B28*LN(H28)</f>
        <v>-102.60028790124393</v>
      </c>
      <c r="K28" s="13">
        <v>12</v>
      </c>
      <c r="L28" s="13">
        <v>23</v>
      </c>
      <c r="M28" s="18">
        <f>H28</f>
        <v>1.1552168824112597E-2</v>
      </c>
      <c r="N28" s="13">
        <f t="shared" si="1"/>
        <v>22.873294271742942</v>
      </c>
      <c r="O28" s="23">
        <f t="shared" si="2"/>
        <v>6.980148510065795E-4</v>
      </c>
    </row>
    <row r="29" spans="1:15" ht="16" x14ac:dyDescent="0.2">
      <c r="A29" s="13">
        <v>13</v>
      </c>
      <c r="B29" s="13">
        <v>17</v>
      </c>
      <c r="C29" s="22">
        <f t="shared" si="3"/>
        <v>1.0303361363175792E-2</v>
      </c>
      <c r="D29">
        <f t="shared" si="4"/>
        <v>1.0826203129861904E-2</v>
      </c>
      <c r="E29" s="18">
        <f t="shared" si="0"/>
        <v>1.049721260799078E-2</v>
      </c>
      <c r="F29">
        <f t="shared" si="5"/>
        <v>1.049721260799078E-2</v>
      </c>
      <c r="G29" s="13">
        <f>E29/SUM($E$16:$E$58)</f>
        <v>1.0185512768793639E-2</v>
      </c>
      <c r="H29" s="13">
        <f>(1-$B$7) *G29</f>
        <v>1.0185502583280871E-2</v>
      </c>
      <c r="I29" s="13">
        <f>B29*LN(H29)</f>
        <v>-77.975428046416454</v>
      </c>
      <c r="K29" s="13">
        <v>13</v>
      </c>
      <c r="L29" s="13">
        <v>17</v>
      </c>
      <c r="M29" s="18">
        <f>H29</f>
        <v>1.0185502583280871E-2</v>
      </c>
      <c r="N29" s="13">
        <f t="shared" si="1"/>
        <v>20.167295114896124</v>
      </c>
      <c r="O29" s="23">
        <f t="shared" si="2"/>
        <v>0.59010343204969717</v>
      </c>
    </row>
    <row r="30" spans="1:15" ht="16" x14ac:dyDescent="0.2">
      <c r="A30" s="13">
        <v>14</v>
      </c>
      <c r="B30" s="13">
        <v>13</v>
      </c>
      <c r="C30" s="22">
        <f t="shared" si="3"/>
        <v>9.1128145712169699E-3</v>
      </c>
      <c r="D30">
        <f t="shared" si="4"/>
        <v>9.5924085143817579E-3</v>
      </c>
      <c r="E30" s="18">
        <f t="shared" si="0"/>
        <v>9.2906310518655732E-3</v>
      </c>
      <c r="F30">
        <f t="shared" si="5"/>
        <v>2.0232425309157462E-2</v>
      </c>
      <c r="G30" s="13">
        <f>E30/SUM($E$16:$E$58)</f>
        <v>9.0147589405679476E-3</v>
      </c>
      <c r="H30" s="13">
        <f>(1-$B$7) *G30</f>
        <v>9.0147499258090066E-3</v>
      </c>
      <c r="I30" s="13">
        <f>B30*LN(H30)</f>
        <v>-61.215611112498081</v>
      </c>
      <c r="K30" s="13">
        <v>14</v>
      </c>
      <c r="L30" s="13">
        <v>13</v>
      </c>
      <c r="M30" s="18">
        <f>H30</f>
        <v>9.0147499258090066E-3</v>
      </c>
      <c r="N30" s="13">
        <f t="shared" si="1"/>
        <v>17.849204853101831</v>
      </c>
      <c r="O30" s="23">
        <f t="shared" si="2"/>
        <v>1.8088298236420273</v>
      </c>
    </row>
    <row r="31" spans="1:15" ht="16" x14ac:dyDescent="0.2">
      <c r="A31" s="13">
        <v>15</v>
      </c>
      <c r="B31" s="13">
        <v>11</v>
      </c>
      <c r="C31" s="22">
        <f t="shared" si="3"/>
        <v>8.0872061009682888E-3</v>
      </c>
      <c r="D31">
        <f t="shared" si="4"/>
        <v>8.5259305353912046E-3</v>
      </c>
      <c r="E31" s="18">
        <f t="shared" si="0"/>
        <v>8.249869612498139E-3</v>
      </c>
      <c r="F31">
        <f t="shared" si="5"/>
        <v>8.249869612498139E-3</v>
      </c>
      <c r="G31" s="13">
        <f>E31/SUM($E$16:$E$58)</f>
        <v>8.0049014359313848E-3</v>
      </c>
      <c r="H31" s="13">
        <f>(1-$B$7) *G31</f>
        <v>8.0048934310299486E-3</v>
      </c>
      <c r="I31" s="13">
        <f>B31*LN(H31)</f>
        <v>-53.104724699651143</v>
      </c>
      <c r="K31" s="13">
        <v>15</v>
      </c>
      <c r="L31" s="13">
        <v>11</v>
      </c>
      <c r="M31" s="18">
        <f>H31</f>
        <v>8.0048934310299486E-3</v>
      </c>
      <c r="N31" s="13">
        <f t="shared" si="1"/>
        <v>15.849688993439297</v>
      </c>
      <c r="O31" s="23">
        <f t="shared" si="2"/>
        <v>2.1381348484623879</v>
      </c>
    </row>
    <row r="32" spans="1:15" ht="16" x14ac:dyDescent="0.2">
      <c r="A32" s="13">
        <v>16</v>
      </c>
      <c r="B32" s="13">
        <v>15</v>
      </c>
      <c r="C32" s="22">
        <f t="shared" si="3"/>
        <v>7.1982800066641914E-3</v>
      </c>
      <c r="D32">
        <f t="shared" si="4"/>
        <v>7.5989241515521814E-3</v>
      </c>
      <c r="E32" s="18">
        <f t="shared" si="0"/>
        <v>7.3468246929593081E-3</v>
      </c>
      <c r="F32">
        <f t="shared" si="5"/>
        <v>1.5999352576801004E-2</v>
      </c>
      <c r="G32" s="13">
        <f>E32/SUM($E$16:$E$58)</f>
        <v>7.128671154403579E-3</v>
      </c>
      <c r="H32" s="13">
        <f>(1-$B$7) *G32</f>
        <v>7.1286640257324247E-3</v>
      </c>
      <c r="I32" s="13">
        <f>B32*LN(H32)</f>
        <v>-74.154471536739578</v>
      </c>
      <c r="K32" s="13">
        <v>16</v>
      </c>
      <c r="L32" s="13">
        <v>15</v>
      </c>
      <c r="M32" s="18">
        <f>H32</f>
        <v>7.1286640257324247E-3</v>
      </c>
      <c r="N32" s="13">
        <f t="shared" si="1"/>
        <v>14.114754770950201</v>
      </c>
      <c r="O32" s="23">
        <f t="shared" si="2"/>
        <v>5.2243941037028736E-2</v>
      </c>
    </row>
    <row r="33" spans="1:15" ht="16" x14ac:dyDescent="0.2">
      <c r="A33" s="13">
        <v>17</v>
      </c>
      <c r="B33" s="13">
        <v>11</v>
      </c>
      <c r="C33" s="22">
        <f t="shared" si="3"/>
        <v>6.4237551020585341E-3</v>
      </c>
      <c r="D33">
        <f t="shared" si="4"/>
        <v>6.7892331350609758E-3</v>
      </c>
      <c r="E33" s="18">
        <f t="shared" si="0"/>
        <v>6.559261437176154E-3</v>
      </c>
      <c r="F33">
        <f t="shared" si="5"/>
        <v>6.559261437176154E-3</v>
      </c>
      <c r="G33" s="13">
        <f>E33/SUM($E$16:$E$58)</f>
        <v>6.3644934724248767E-3</v>
      </c>
      <c r="H33" s="13">
        <f>(1-$B$7) *G33</f>
        <v>6.3644871079314045E-3</v>
      </c>
      <c r="I33" s="13">
        <f>B33*LN(H33)</f>
        <v>-55.62723793305166</v>
      </c>
      <c r="K33" s="13">
        <v>17</v>
      </c>
      <c r="L33" s="13">
        <v>11</v>
      </c>
      <c r="M33" s="18">
        <f>H33</f>
        <v>6.3644871079314045E-3</v>
      </c>
      <c r="N33" s="13">
        <f t="shared" si="1"/>
        <v>12.60168447370418</v>
      </c>
      <c r="O33" s="23">
        <f t="shared" si="2"/>
        <v>0.23321755939136704</v>
      </c>
    </row>
    <row r="34" spans="1:15" ht="16" x14ac:dyDescent="0.2">
      <c r="A34" s="13">
        <v>18</v>
      </c>
      <c r="B34" s="13">
        <v>9</v>
      </c>
      <c r="C34" s="22">
        <f t="shared" si="3"/>
        <v>5.7458093218315789E-3</v>
      </c>
      <c r="D34">
        <f t="shared" si="4"/>
        <v>6.0789998822201718E-3</v>
      </c>
      <c r="E34" s="18">
        <f t="shared" si="0"/>
        <v>5.8693446034547639E-3</v>
      </c>
      <c r="F34">
        <f t="shared" si="5"/>
        <v>1.278180950682134E-2</v>
      </c>
      <c r="G34" s="13">
        <f>E34/SUM($E$16:$E$58)</f>
        <v>5.6950627405060409E-3</v>
      </c>
      <c r="H34" s="13">
        <f>(1-$B$7) *G34</f>
        <v>5.6950570454433001E-3</v>
      </c>
      <c r="I34" s="13">
        <f>B34*LN(H34)</f>
        <v>-46.513409988366178</v>
      </c>
      <c r="K34" s="13">
        <v>18</v>
      </c>
      <c r="L34" s="13">
        <v>9</v>
      </c>
      <c r="M34" s="18">
        <f>H34</f>
        <v>5.6950570454433001E-3</v>
      </c>
      <c r="N34" s="13">
        <f t="shared" si="1"/>
        <v>11.276212949977735</v>
      </c>
      <c r="O34" s="23">
        <f t="shared" si="2"/>
        <v>0.57568282151626027</v>
      </c>
    </row>
    <row r="35" spans="1:15" ht="16" x14ac:dyDescent="0.2">
      <c r="A35" s="13">
        <v>19</v>
      </c>
      <c r="B35" s="13">
        <v>17</v>
      </c>
      <c r="C35" s="22">
        <f t="shared" si="3"/>
        <v>5.1500092565193263E-3</v>
      </c>
      <c r="D35">
        <f t="shared" si="4"/>
        <v>5.4536679207144575E-3</v>
      </c>
      <c r="E35" s="18">
        <f t="shared" si="0"/>
        <v>5.2625951549760998E-3</v>
      </c>
      <c r="F35">
        <f t="shared" si="5"/>
        <v>5.2625951549760998E-3</v>
      </c>
      <c r="G35" s="13">
        <f>E35/SUM($E$16:$E$58)</f>
        <v>5.1063298562893777E-3</v>
      </c>
      <c r="H35" s="13">
        <f>(1-$B$7) *G35</f>
        <v>5.1063247499595213E-3</v>
      </c>
      <c r="I35" s="13">
        <f>B35*LN(H35)</f>
        <v>-89.713681129318502</v>
      </c>
      <c r="K35" s="13">
        <v>19</v>
      </c>
      <c r="L35" s="13">
        <v>17</v>
      </c>
      <c r="M35" s="18">
        <f>H35</f>
        <v>5.1063247499595213E-3</v>
      </c>
      <c r="N35" s="13">
        <f t="shared" si="1"/>
        <v>10.110523004919852</v>
      </c>
      <c r="O35" s="23">
        <f t="shared" si="2"/>
        <v>2.7920525450434464</v>
      </c>
    </row>
    <row r="36" spans="1:15" ht="16" x14ac:dyDescent="0.2">
      <c r="A36" s="13">
        <v>20</v>
      </c>
      <c r="B36" s="13">
        <v>4</v>
      </c>
      <c r="C36" s="22">
        <f t="shared" si="3"/>
        <v>4.6245379400121816E-3</v>
      </c>
      <c r="D36">
        <f t="shared" si="4"/>
        <v>4.9012526449340064E-3</v>
      </c>
      <c r="E36" s="18">
        <f t="shared" si="0"/>
        <v>4.7271339708298797E-3</v>
      </c>
      <c r="F36">
        <f t="shared" si="5"/>
        <v>1.029439060245445E-2</v>
      </c>
      <c r="G36" s="13">
        <f>E36/SUM($E$16:$E$58)</f>
        <v>4.5867684325107466E-3</v>
      </c>
      <c r="H36" s="13">
        <f>(1-$B$7) *G36</f>
        <v>4.5867638457423136E-3</v>
      </c>
      <c r="I36" s="13">
        <f>B36*LN(H36)</f>
        <v>-21.538322192284109</v>
      </c>
      <c r="K36" s="13" t="s">
        <v>11</v>
      </c>
      <c r="L36" s="13">
        <v>94</v>
      </c>
      <c r="M36" s="18">
        <f>1-SUM(M16:M35)</f>
        <v>4.3473692554442001E-2</v>
      </c>
      <c r="N36" s="13">
        <f t="shared" si="1"/>
        <v>86.077911257795165</v>
      </c>
      <c r="O36" s="23">
        <f t="shared" si="2"/>
        <v>0.6676541493549849</v>
      </c>
    </row>
    <row r="37" spans="1:15" ht="16" x14ac:dyDescent="0.2">
      <c r="A37" s="13">
        <v>21</v>
      </c>
      <c r="B37" s="13">
        <v>7</v>
      </c>
      <c r="C37" s="22">
        <f t="shared" si="3"/>
        <v>4.159627251620163E-3</v>
      </c>
      <c r="D37">
        <f t="shared" si="4"/>
        <v>4.4117990985324887E-3</v>
      </c>
      <c r="E37" s="18">
        <f t="shared" si="0"/>
        <v>4.2531236582693211E-3</v>
      </c>
      <c r="F37">
        <f t="shared" si="5"/>
        <v>4.2531236582693211E-3</v>
      </c>
      <c r="G37" s="13">
        <f>E37/SUM($E$16:$E$58)</f>
        <v>4.1268331838476687E-3</v>
      </c>
      <c r="H37" s="13">
        <f>(1-$B$7) *G37</f>
        <v>4.1268290570144845E-3</v>
      </c>
      <c r="I37" s="13">
        <f>B37*LN(H37)</f>
        <v>-38.431721647974037</v>
      </c>
    </row>
    <row r="38" spans="1:15" ht="16" x14ac:dyDescent="0.2">
      <c r="A38" s="13">
        <v>22</v>
      </c>
      <c r="B38" s="13">
        <v>9</v>
      </c>
      <c r="C38" s="22">
        <f t="shared" si="3"/>
        <v>3.747133684434576E-3</v>
      </c>
      <c r="D38">
        <f t="shared" si="4"/>
        <v>3.9769726612615278E-3</v>
      </c>
      <c r="E38" s="18">
        <f t="shared" si="0"/>
        <v>3.832349852315166E-3</v>
      </c>
      <c r="F38">
        <f t="shared" si="5"/>
        <v>8.3457982254023007E-3</v>
      </c>
      <c r="G38" s="13">
        <f>E38/SUM($E$16:$E$58)</f>
        <v>3.718553659237729E-3</v>
      </c>
      <c r="H38" s="13">
        <f>(1-$B$7) *G38</f>
        <v>3.7185499406840695E-3</v>
      </c>
      <c r="I38" s="13">
        <f>B38*LN(H38)</f>
        <v>-50.349793388225194</v>
      </c>
      <c r="M38" s="11" t="s">
        <v>12</v>
      </c>
      <c r="N38">
        <f>SUM(O16:O36)</f>
        <v>80.395875483141367</v>
      </c>
    </row>
    <row r="39" spans="1:15" ht="16" x14ac:dyDescent="0.2">
      <c r="A39" s="13">
        <v>23</v>
      </c>
      <c r="B39" s="13">
        <v>6</v>
      </c>
      <c r="C39" s="22">
        <f t="shared" si="3"/>
        <v>3.3802164798777574E-3</v>
      </c>
      <c r="D39">
        <f t="shared" si="4"/>
        <v>3.5897457890900872E-3</v>
      </c>
      <c r="E39" s="18">
        <f t="shared" si="0"/>
        <v>3.4579025409464392E-3</v>
      </c>
      <c r="F39">
        <f t="shared" si="5"/>
        <v>3.4579025409464392E-3</v>
      </c>
      <c r="G39" s="13">
        <f>E39/SUM($E$16:$E$58)</f>
        <v>3.3552250296657858E-3</v>
      </c>
      <c r="H39" s="13">
        <f>(1-$B$7) *G39</f>
        <v>3.3552216744407561E-3</v>
      </c>
      <c r="I39" s="13">
        <f>B39*LN(H39)</f>
        <v>-34.183424627295366</v>
      </c>
      <c r="M39" s="11" t="s">
        <v>20</v>
      </c>
      <c r="N39">
        <f>21 - 7 - 1</f>
        <v>13</v>
      </c>
    </row>
    <row r="40" spans="1:15" ht="16" x14ac:dyDescent="0.2">
      <c r="A40" s="13">
        <v>24</v>
      </c>
      <c r="B40" s="13">
        <v>8</v>
      </c>
      <c r="C40" s="22">
        <f t="shared" si="3"/>
        <v>3.05309010679004E-3</v>
      </c>
      <c r="D40">
        <f t="shared" si="4"/>
        <v>3.2441552573700782E-3</v>
      </c>
      <c r="E40" s="18">
        <f t="shared" si="0"/>
        <v>3.1239303105393694E-3</v>
      </c>
      <c r="F40">
        <f t="shared" si="5"/>
        <v>6.8030563614200632E-3</v>
      </c>
      <c r="G40" s="13">
        <f>E40/SUM($E$16:$E$58)</f>
        <v>3.0311696309360081E-3</v>
      </c>
      <c r="H40" s="13">
        <f>(1-$B$7) *G40</f>
        <v>3.0311665997663773E-3</v>
      </c>
      <c r="I40" s="13">
        <f>B40*LN(H40)</f>
        <v>-46.390461737088934</v>
      </c>
      <c r="M40" s="11" t="s">
        <v>14</v>
      </c>
      <c r="N40">
        <f>_xlfn.CHISQ.DIST.RT(N38,N39)</f>
        <v>9.2939155371155742E-12</v>
      </c>
    </row>
    <row r="41" spans="1:15" ht="16" x14ac:dyDescent="0.2">
      <c r="A41" s="13">
        <v>25</v>
      </c>
      <c r="B41" s="13">
        <v>6</v>
      </c>
      <c r="C41" s="22">
        <f t="shared" si="3"/>
        <v>2.7608315712832404E-3</v>
      </c>
      <c r="D41">
        <f t="shared" si="4"/>
        <v>2.9351118898248334E-3</v>
      </c>
      <c r="E41" s="18">
        <f t="shared" si="0"/>
        <v>2.8254485526506123E-3</v>
      </c>
      <c r="F41">
        <f t="shared" si="5"/>
        <v>2.8254485526506123E-3</v>
      </c>
      <c r="G41" s="13">
        <f>E41/SUM($E$16:$E$58)</f>
        <v>2.7415508654826319E-3</v>
      </c>
      <c r="H41" s="13">
        <f>(1-$B$7) *G41</f>
        <v>2.7415481239317662E-3</v>
      </c>
      <c r="I41" s="13">
        <f>B41*LN(H41)</f>
        <v>-35.395395056431646</v>
      </c>
      <c r="M41" s="13"/>
      <c r="N41" s="13"/>
    </row>
    <row r="42" spans="1:15" ht="16" x14ac:dyDescent="0.2">
      <c r="A42" s="13">
        <v>26</v>
      </c>
      <c r="B42" s="13">
        <v>3</v>
      </c>
      <c r="C42" s="22">
        <f t="shared" si="3"/>
        <v>2.4992287353080159E-3</v>
      </c>
      <c r="D42">
        <f t="shared" si="4"/>
        <v>2.6582498696337913E-3</v>
      </c>
      <c r="E42" s="18">
        <f t="shared" si="0"/>
        <v>2.5581881505749482E-3</v>
      </c>
      <c r="F42">
        <f t="shared" si="5"/>
        <v>5.57102638069845E-3</v>
      </c>
      <c r="G42" s="13">
        <f>E42/SUM($E$16:$E$58)</f>
        <v>2.4822263819657036E-3</v>
      </c>
      <c r="H42" s="13">
        <f>(1-$B$7) *G42</f>
        <v>2.4822238997393217E-3</v>
      </c>
      <c r="I42" s="13">
        <f>B42*LN(H42)</f>
        <v>-17.995801160594734</v>
      </c>
      <c r="M42" s="12" t="s">
        <v>21</v>
      </c>
    </row>
    <row r="43" spans="1:15" ht="16" x14ac:dyDescent="0.2">
      <c r="A43" s="13">
        <v>27</v>
      </c>
      <c r="B43" s="13">
        <v>9</v>
      </c>
      <c r="C43" s="22">
        <f t="shared" si="3"/>
        <v>2.2646597005530236E-3</v>
      </c>
      <c r="D43">
        <f t="shared" si="4"/>
        <v>2.4098062584377495E-3</v>
      </c>
      <c r="E43" s="18">
        <f t="shared" si="0"/>
        <v>2.3184749133370033E-3</v>
      </c>
      <c r="F43">
        <f t="shared" si="5"/>
        <v>2.3184749133370033E-3</v>
      </c>
      <c r="G43" s="13">
        <f>E43/SUM($E$16:$E$58)</f>
        <v>2.2496310892994075E-3</v>
      </c>
      <c r="H43" s="13">
        <f>(1-$B$7) *G43</f>
        <v>2.249628839668318E-3</v>
      </c>
      <c r="I43" s="13">
        <f>B43*LN(H43)</f>
        <v>-54.872910328685798</v>
      </c>
      <c r="M43" s="11" t="s">
        <v>22</v>
      </c>
      <c r="N43">
        <f>2 * (B8 - 'NBD fit (bad)'!B3)</f>
        <v>4545.2508295272455</v>
      </c>
    </row>
    <row r="44" spans="1:15" ht="16" x14ac:dyDescent="0.2">
      <c r="A44" s="13">
        <v>28</v>
      </c>
      <c r="B44" s="13">
        <v>5</v>
      </c>
      <c r="C44" s="22">
        <f t="shared" si="3"/>
        <v>2.0539960023665347E-3</v>
      </c>
      <c r="D44">
        <f t="shared" si="4"/>
        <v>2.1865238231245786E-3</v>
      </c>
      <c r="E44" s="18">
        <f t="shared" si="0"/>
        <v>2.1031326334918516E-3</v>
      </c>
      <c r="F44">
        <f t="shared" si="5"/>
        <v>4.5800413001903803E-3</v>
      </c>
      <c r="G44" s="13">
        <f>E44/SUM($E$16:$E$58)</f>
        <v>2.0406830930137774E-3</v>
      </c>
      <c r="H44" s="13">
        <f>(1-$B$7) *G44</f>
        <v>2.0406810523306844E-3</v>
      </c>
      <c r="I44" s="13">
        <f>B44*LN(H44)</f>
        <v>-30.97235838829771</v>
      </c>
      <c r="M44" s="11" t="s">
        <v>13</v>
      </c>
      <c r="N44">
        <f xml:space="preserve"> 4 - 2</f>
        <v>2</v>
      </c>
    </row>
    <row r="45" spans="1:15" ht="16" x14ac:dyDescent="0.2">
      <c r="A45" s="13">
        <v>29</v>
      </c>
      <c r="B45" s="13">
        <v>4</v>
      </c>
      <c r="C45" s="22">
        <f t="shared" si="3"/>
        <v>1.8645242503323486E-3</v>
      </c>
      <c r="D45">
        <f t="shared" si="4"/>
        <v>1.985572029273075E-3</v>
      </c>
      <c r="E45" s="18">
        <f t="shared" si="0"/>
        <v>1.9094044877672372E-3</v>
      </c>
      <c r="F45">
        <f t="shared" si="5"/>
        <v>1.9094044877672372E-3</v>
      </c>
      <c r="G45" s="13">
        <f>E45/SUM($E$16:$E$58)</f>
        <v>1.852707429793362E-3</v>
      </c>
      <c r="H45" s="13">
        <f>(1-$B$7) *G45</f>
        <v>1.8527055770859323E-3</v>
      </c>
      <c r="I45" s="13">
        <f>B45*LN(H45)</f>
        <v>-25.164432936660511</v>
      </c>
      <c r="M45" s="11" t="s">
        <v>14</v>
      </c>
      <c r="N45">
        <f>_xlfn.CHISQ.DIST.RT(N43,N44)</f>
        <v>0</v>
      </c>
    </row>
    <row r="46" spans="1:15" ht="16" x14ac:dyDescent="0.2">
      <c r="A46" s="13">
        <v>30</v>
      </c>
      <c r="B46" s="13">
        <v>7</v>
      </c>
      <c r="C46" s="22">
        <f t="shared" si="3"/>
        <v>1.693882202794454E-3</v>
      </c>
      <c r="D46">
        <f t="shared" si="4"/>
        <v>1.8044823273706378E-3</v>
      </c>
      <c r="E46" s="18">
        <f t="shared" si="0"/>
        <v>1.7348888193118707E-3</v>
      </c>
      <c r="F46">
        <f t="shared" si="5"/>
        <v>3.7781081027183248E-3</v>
      </c>
      <c r="G46" s="13">
        <f>E46/SUM($E$16:$E$58)</f>
        <v>1.6833737565805718E-3</v>
      </c>
      <c r="H46" s="13">
        <f>(1-$B$7) *G46</f>
        <v>1.6833720732068152E-3</v>
      </c>
      <c r="I46" s="13">
        <f>B46*LN(H46)</f>
        <v>-44.708694175890955</v>
      </c>
      <c r="K46" s="13"/>
      <c r="L46" s="13"/>
    </row>
    <row r="47" spans="1:15" ht="16" x14ac:dyDescent="0.2">
      <c r="A47" s="13">
        <v>31</v>
      </c>
      <c r="B47" s="13">
        <v>5</v>
      </c>
      <c r="C47" s="22">
        <f t="shared" si="3"/>
        <v>1.5400062396042102E-3</v>
      </c>
      <c r="D47">
        <f t="shared" si="4"/>
        <v>1.6410947821120915E-3</v>
      </c>
      <c r="E47" s="18">
        <f t="shared" si="0"/>
        <v>1.5774862977217747E-3</v>
      </c>
      <c r="F47">
        <f t="shared" si="5"/>
        <v>1.5774862977217747E-3</v>
      </c>
      <c r="G47" s="13">
        <f>E47/SUM($E$16:$E$58)</f>
        <v>1.530645079610095E-3</v>
      </c>
      <c r="H47" s="13">
        <f>(1-$B$7) *G47</f>
        <v>1.5306435489650153E-3</v>
      </c>
      <c r="I47" s="13">
        <f>B47*LN(H47)</f>
        <v>-32.410335058875582</v>
      </c>
      <c r="K47" s="14"/>
      <c r="L47" s="13"/>
    </row>
    <row r="48" spans="1:15" ht="16" x14ac:dyDescent="0.2">
      <c r="A48" s="13">
        <v>32</v>
      </c>
      <c r="B48" s="13">
        <v>3</v>
      </c>
      <c r="C48" s="22">
        <f t="shared" si="3"/>
        <v>1.4010879126875782E-3</v>
      </c>
      <c r="D48">
        <f t="shared" si="4"/>
        <v>1.4935137768207858E-3</v>
      </c>
      <c r="E48" s="18">
        <f t="shared" si="0"/>
        <v>1.4353561558864418E-3</v>
      </c>
      <c r="F48">
        <f t="shared" si="5"/>
        <v>3.1258087910164488E-3</v>
      </c>
      <c r="G48" s="13">
        <f>E48/SUM($E$16:$E$58)</f>
        <v>1.3927352907398356E-3</v>
      </c>
      <c r="H48" s="13">
        <f>(1-$B$7) *G48</f>
        <v>1.3927338980045448E-3</v>
      </c>
      <c r="I48" s="13">
        <f>B48*LN(H48)</f>
        <v>-19.729459891279518</v>
      </c>
      <c r="K48" s="13"/>
      <c r="L48" s="13"/>
    </row>
    <row r="49" spans="1:11" ht="16" x14ac:dyDescent="0.2">
      <c r="A49" s="13">
        <v>33</v>
      </c>
      <c r="B49" s="13">
        <v>3</v>
      </c>
      <c r="C49" s="22">
        <f t="shared" si="3"/>
        <v>1.275537783722136E-3</v>
      </c>
      <c r="D49">
        <f t="shared" si="4"/>
        <v>1.3600710332921585E-3</v>
      </c>
      <c r="E49" s="18">
        <f t="shared" si="0"/>
        <v>1.3068797244421143E-3</v>
      </c>
      <c r="F49">
        <f t="shared" si="5"/>
        <v>1.3068797244421143E-3</v>
      </c>
      <c r="G49" s="13">
        <f>E49/SUM($E$16:$E$58)</f>
        <v>1.2680737846968793E-3</v>
      </c>
      <c r="H49" s="13">
        <f>(1-$B$7) *G49</f>
        <v>1.2680725166230946E-3</v>
      </c>
      <c r="I49" s="13">
        <f>B49*LN(H49)</f>
        <v>-20.010771704509583</v>
      </c>
      <c r="K49" s="11"/>
    </row>
    <row r="50" spans="1:11" ht="16" x14ac:dyDescent="0.2">
      <c r="A50" s="13">
        <v>34</v>
      </c>
      <c r="B50" s="13">
        <v>2</v>
      </c>
      <c r="C50" s="22">
        <f t="shared" si="3"/>
        <v>1.1619551545936366E-3</v>
      </c>
      <c r="D50">
        <f t="shared" si="4"/>
        <v>1.2392945700727626E-3</v>
      </c>
      <c r="E50" s="18">
        <f t="shared" si="0"/>
        <v>1.1906298759322108E-3</v>
      </c>
      <c r="F50">
        <f t="shared" si="5"/>
        <v>2.5928626270023598E-3</v>
      </c>
      <c r="G50" s="13">
        <f>E50/SUM($E$16:$E$58)</f>
        <v>1.1552758105502373E-3</v>
      </c>
      <c r="H50" s="13">
        <f>(1-$B$7) *G50</f>
        <v>1.1552746552744267E-3</v>
      </c>
      <c r="I50" s="13">
        <f>B50*LN(H50)</f>
        <v>-13.526834333006313</v>
      </c>
      <c r="K50" s="11"/>
    </row>
    <row r="51" spans="1:11" ht="16" x14ac:dyDescent="0.2">
      <c r="A51" s="13">
        <v>35</v>
      </c>
      <c r="B51" s="13">
        <v>2</v>
      </c>
      <c r="C51" s="22">
        <f t="shared" si="3"/>
        <v>1.0591025958484608E-3</v>
      </c>
      <c r="D51">
        <f t="shared" si="4"/>
        <v>1.1298825130624782E-3</v>
      </c>
      <c r="E51" s="18">
        <f t="shared" si="0"/>
        <v>1.0853452871062851E-3</v>
      </c>
      <c r="F51">
        <f t="shared" si="5"/>
        <v>1.0853452871062851E-3</v>
      </c>
      <c r="G51" s="13">
        <f>E51/SUM($E$16:$E$58)</f>
        <v>1.0531174982543303E-3</v>
      </c>
      <c r="H51" s="13">
        <f>(1-$B$7) *G51</f>
        <v>1.0531164451368319E-3</v>
      </c>
      <c r="I51" s="13">
        <f>B51*LN(H51)</f>
        <v>-13.712002935537498</v>
      </c>
    </row>
    <row r="52" spans="1:11" ht="16" x14ac:dyDescent="0.2">
      <c r="A52" s="13">
        <v>36</v>
      </c>
      <c r="B52" s="13">
        <v>3</v>
      </c>
      <c r="C52" s="22">
        <f t="shared" si="3"/>
        <v>9.6588440681703728E-4</v>
      </c>
      <c r="D52">
        <f t="shared" si="4"/>
        <v>1.0306808953435942E-3</v>
      </c>
      <c r="E52" s="18">
        <f t="shared" si="0"/>
        <v>9.8990865422964708E-4</v>
      </c>
      <c r="F52">
        <f t="shared" si="5"/>
        <v>2.1557473112193181E-3</v>
      </c>
      <c r="G52" s="13">
        <f>E52/SUM($E$16:$E$58)</f>
        <v>9.6051472082409148E-4</v>
      </c>
      <c r="H52" s="13">
        <f>(1-$B$7) *G52</f>
        <v>9.6051376030937066E-4</v>
      </c>
      <c r="I52" s="13">
        <f>B52*LN(H52)</f>
        <v>-20.844126748992739</v>
      </c>
    </row>
    <row r="53" spans="1:11" ht="16" x14ac:dyDescent="0.2">
      <c r="A53" s="13">
        <v>37</v>
      </c>
      <c r="B53" s="13">
        <v>4</v>
      </c>
      <c r="C53" s="22">
        <f t="shared" si="3"/>
        <v>8.8132831683255684E-4</v>
      </c>
      <c r="D53">
        <f t="shared" si="4"/>
        <v>9.4066475554003875E-4</v>
      </c>
      <c r="E53" s="18">
        <f t="shared" si="0"/>
        <v>9.033281707830908E-4</v>
      </c>
      <c r="F53">
        <f t="shared" si="5"/>
        <v>9.033281707830908E-4</v>
      </c>
      <c r="G53" s="13">
        <f>E53/SUM($E$16:$E$58)</f>
        <v>8.76505122028129E-4</v>
      </c>
      <c r="H53" s="13">
        <f>(1-$B$7) *G53</f>
        <v>8.7650424552300694E-4</v>
      </c>
      <c r="I53" s="13">
        <f>B53*LN(H53)</f>
        <v>-28.158276039567788</v>
      </c>
    </row>
    <row r="54" spans="1:11" ht="16" x14ac:dyDescent="0.2">
      <c r="A54" s="13">
        <v>38</v>
      </c>
      <c r="B54" s="13">
        <v>2</v>
      </c>
      <c r="C54" s="22">
        <f t="shared" si="3"/>
        <v>8.0456987326919468E-4</v>
      </c>
      <c r="D54">
        <f t="shared" si="4"/>
        <v>8.58921978317247E-4</v>
      </c>
      <c r="E54" s="18">
        <f t="shared" si="0"/>
        <v>8.2472171249325064E-4</v>
      </c>
      <c r="F54">
        <f t="shared" si="5"/>
        <v>1.7960158309708713E-3</v>
      </c>
      <c r="G54" s="13">
        <f>E54/SUM($E$16:$E$58)</f>
        <v>8.0023277102217374E-4</v>
      </c>
      <c r="H54" s="13">
        <f>(1-$B$7) *G54</f>
        <v>8.0023197078940274E-4</v>
      </c>
      <c r="I54" s="13">
        <f>B54*LN(H54)</f>
        <v>-14.261217817681761</v>
      </c>
    </row>
    <row r="55" spans="1:11" ht="16" x14ac:dyDescent="0.2">
      <c r="A55" s="13">
        <v>39</v>
      </c>
      <c r="B55" s="13">
        <v>0</v>
      </c>
      <c r="C55" s="22">
        <f t="shared" si="3"/>
        <v>7.3483906863819012E-4</v>
      </c>
      <c r="D55">
        <f t="shared" si="4"/>
        <v>7.8463942603167192E-4</v>
      </c>
      <c r="E55" s="18">
        <f t="shared" si="0"/>
        <v>7.5330328073460709E-4</v>
      </c>
      <c r="F55">
        <f t="shared" si="5"/>
        <v>7.5330328073460709E-4</v>
      </c>
      <c r="G55" s="13">
        <f>E55/SUM($E$16:$E$58)</f>
        <v>7.309350082950343E-4</v>
      </c>
      <c r="H55" s="13">
        <f>(1-$B$7) *G55</f>
        <v>7.3093427736002604E-4</v>
      </c>
      <c r="I55" s="13">
        <f>B55*LN(H55)</f>
        <v>0</v>
      </c>
    </row>
    <row r="56" spans="1:11" ht="16" x14ac:dyDescent="0.2">
      <c r="A56" s="13">
        <v>40</v>
      </c>
      <c r="B56" s="13">
        <v>2</v>
      </c>
      <c r="C56" s="22">
        <f t="shared" si="3"/>
        <v>6.7144884281784064E-4</v>
      </c>
      <c r="D56">
        <f t="shared" si="4"/>
        <v>7.1709099382382606E-4</v>
      </c>
      <c r="E56" s="18">
        <f t="shared" si="0"/>
        <v>6.8837133897690461E-4</v>
      </c>
      <c r="F56">
        <f t="shared" si="5"/>
        <v>1.4990824221803843E-3</v>
      </c>
      <c r="G56" s="13">
        <f>E56/SUM($E$16:$E$58)</f>
        <v>6.6793112844866509E-4</v>
      </c>
      <c r="H56" s="13">
        <f>(1-$B$7) *G56</f>
        <v>6.679304605175366E-4</v>
      </c>
      <c r="I56" s="13">
        <f>B56*LN(H56)</f>
        <v>-14.622652981736335</v>
      </c>
    </row>
    <row r="57" spans="1:11" ht="16" x14ac:dyDescent="0.2">
      <c r="A57" s="13">
        <v>41</v>
      </c>
      <c r="B57" s="13">
        <v>0</v>
      </c>
      <c r="C57" s="22">
        <f t="shared" si="3"/>
        <v>6.1378516293168306E-4</v>
      </c>
      <c r="D57">
        <f t="shared" si="4"/>
        <v>6.5562728669058847E-4</v>
      </c>
      <c r="E57" s="18">
        <f t="shared" si="0"/>
        <v>6.2929874331715385E-4</v>
      </c>
      <c r="F57">
        <f t="shared" si="5"/>
        <v>6.2929874331715385E-4</v>
      </c>
      <c r="G57" s="13">
        <f>E57/SUM($E$16:$E$58)</f>
        <v>6.1061260972873795E-4</v>
      </c>
      <c r="H57" s="13">
        <f>(1-$B$7) *G57</f>
        <v>6.1061199911612821E-4</v>
      </c>
      <c r="I57" s="13">
        <f>B57*LN(H57)</f>
        <v>0</v>
      </c>
    </row>
    <row r="58" spans="1:11" ht="16" x14ac:dyDescent="0.2">
      <c r="A58" s="13">
        <v>42</v>
      </c>
      <c r="B58" s="13">
        <v>0</v>
      </c>
      <c r="C58" s="22">
        <f t="shared" si="3"/>
        <v>5.6129843637775121E-4</v>
      </c>
      <c r="D58">
        <f t="shared" si="4"/>
        <v>5.9966667008557568E-4</v>
      </c>
      <c r="E58" s="18">
        <f t="shared" si="0"/>
        <v>5.7552402113307055E-4</v>
      </c>
      <c r="F58">
        <f t="shared" si="5"/>
        <v>1.2533321693861286E-3</v>
      </c>
      <c r="G58" s="13">
        <f>E58/SUM($E$16:$E$58)</f>
        <v>5.5843465164609712E-4</v>
      </c>
      <c r="H58" s="13">
        <f>(1-$B$7) *G58</f>
        <v>5.5843409321144541E-4</v>
      </c>
      <c r="I58" s="13">
        <f>B58*LN(H58)</f>
        <v>0</v>
      </c>
    </row>
  </sheetData>
  <hyperlinks>
    <hyperlink ref="A7" r:id="rId1" xr:uid="{12860D1B-DF97-DB48-95F6-8BD10347728F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Individual Data</vt:lpstr>
      <vt:lpstr>NBD fit (bad)</vt:lpstr>
      <vt:lpstr>zerospike</vt:lpstr>
      <vt:lpstr>roundtrip</vt:lpstr>
      <vt:lpstr>roundtrip+zerospike</vt:lpstr>
      <vt:lpstr>roundtrip+zerospike+seg</vt:lpstr>
      <vt:lpstr>'Individual Data'!Print_Area</vt:lpstr>
      <vt:lpstr>'NBD fit (bad)'!Print_Area</vt:lpstr>
    </vt:vector>
  </TitlesOfParts>
  <Company>Sentient Jet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mtrail</dc:creator>
  <cp:lastModifiedBy>Alan Wu</cp:lastModifiedBy>
  <cp:lastPrinted>2003-10-06T23:43:32Z</cp:lastPrinted>
  <dcterms:created xsi:type="dcterms:W3CDTF">2003-06-24T15:41:51Z</dcterms:created>
  <dcterms:modified xsi:type="dcterms:W3CDTF">2026-02-09T03:06:45Z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200954784</vt:i4>
  </property>
  <property fmtid="{D5CDD505-2E9C-101B-9397-08002B2CF9AE}" pid="3" name="_EmailSubject">
    <vt:lpwstr>prob project</vt:lpwstr>
  </property>
  <property fmtid="{D5CDD505-2E9C-101B-9397-08002B2CF9AE}" pid="4" name="_AuthorEmail">
    <vt:lpwstr>psalman@wharton.upenn.edu</vt:lpwstr>
  </property>
  <property fmtid="{D5CDD505-2E9C-101B-9397-08002B2CF9AE}" pid="5" name="_AuthorEmailDisplayName">
    <vt:lpwstr>Salman, Paola</vt:lpwstr>
  </property>
  <property fmtid="{D5CDD505-2E9C-101B-9397-08002B2CF9AE}" pid="6" name="_PreviousAdHocReviewCycleID">
    <vt:i4>1631509819</vt:i4>
  </property>
  <property fmtid="{D5CDD505-2E9C-101B-9397-08002B2CF9AE}" pid="7" name="_ReviewingToolsShownOnce">
    <vt:lpwstr/>
  </property>
</Properties>
</file>