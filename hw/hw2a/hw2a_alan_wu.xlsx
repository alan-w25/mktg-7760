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anwu/Documents/GitHub/mktg-7760/hw/hw2a/"/>
    </mc:Choice>
  </mc:AlternateContent>
  <xr:revisionPtr revIDLastSave="0" documentId="13_ncr:1_{A425B435-425F-C247-9C3D-7FF2F6D7E5C2}" xr6:coauthVersionLast="47" xr6:coauthVersionMax="47" xr10:uidLastSave="{00000000-0000-0000-0000-000000000000}"/>
  <bookViews>
    <workbookView xWindow="0" yWindow="500" windowWidth="28800" windowHeight="17500" activeTab="5" xr2:uid="{00000000-000D-0000-FFFF-FFFF00000000}"/>
  </bookViews>
  <sheets>
    <sheet name="comscore" sheetId="2" r:id="rId1"/>
    <sheet name="comscore_nocov" sheetId="9" r:id="rId2"/>
    <sheet name="part a original" sheetId="3" r:id="rId3"/>
    <sheet name="part a spike" sheetId="8" r:id="rId4"/>
    <sheet name="album purchases" sheetId="1" r:id="rId5"/>
    <sheet name="part b shift" sheetId="4" r:id="rId6"/>
    <sheet name="part b trunc" sheetId="12" r:id="rId7"/>
    <sheet name="part b trunc+spike" sheetId="13" r:id="rId8"/>
    <sheet name="part b sbg" sheetId="14" r:id="rId9"/>
  </sheets>
  <definedNames>
    <definedName name="solver_adj" localSheetId="4" hidden="1">'album purchases'!#REF!</definedName>
    <definedName name="solver_adj" localSheetId="0" hidden="1">comscore!#REF!</definedName>
    <definedName name="solver_adj" localSheetId="2" hidden="1">'part a original'!$B$1:$B$2</definedName>
    <definedName name="solver_adj" localSheetId="3" hidden="1">'part a spike'!$B$1:$B$3</definedName>
    <definedName name="solver_adj" localSheetId="8" hidden="1">'part b sbg'!$B$1:$B$2</definedName>
    <definedName name="solver_adj" localSheetId="5" hidden="1">'part b shift'!$B$1:$B$2</definedName>
    <definedName name="solver_adj" localSheetId="6" hidden="1">'part b trunc'!$B$1:$B$2</definedName>
    <definedName name="solver_adj" localSheetId="7" hidden="1">'part b trunc+spike'!$B$1:$B$3</definedName>
    <definedName name="solver_cvg" localSheetId="4" hidden="1">0.0001</definedName>
    <definedName name="solver_cvg" localSheetId="0" hidden="1">0.0000001</definedName>
    <definedName name="solver_cvg" localSheetId="2" hidden="1">0.0001</definedName>
    <definedName name="solver_cvg" localSheetId="3" hidden="1">0.0001</definedName>
    <definedName name="solver_cvg" localSheetId="8" hidden="1">0.0001</definedName>
    <definedName name="solver_cvg" localSheetId="5" hidden="1">0.0001</definedName>
    <definedName name="solver_cvg" localSheetId="6" hidden="1">0.0001</definedName>
    <definedName name="solver_cvg" localSheetId="7" hidden="1">0.0001</definedName>
    <definedName name="solver_drv" localSheetId="4" hidden="1">1</definedName>
    <definedName name="solver_drv" localSheetId="0" hidden="1">1</definedName>
    <definedName name="solver_drv" localSheetId="2" hidden="1">1</definedName>
    <definedName name="solver_drv" localSheetId="3" hidden="1">1</definedName>
    <definedName name="solver_drv" localSheetId="8" hidden="1">1</definedName>
    <definedName name="solver_drv" localSheetId="5" hidden="1">1</definedName>
    <definedName name="solver_drv" localSheetId="6" hidden="1">1</definedName>
    <definedName name="solver_drv" localSheetId="7" hidden="1">1</definedName>
    <definedName name="solver_eng" localSheetId="2" hidden="1">1</definedName>
    <definedName name="solver_eng" localSheetId="3" hidden="1">1</definedName>
    <definedName name="solver_eng" localSheetId="8" hidden="1">1</definedName>
    <definedName name="solver_eng" localSheetId="5" hidden="1">1</definedName>
    <definedName name="solver_eng" localSheetId="6" hidden="1">1</definedName>
    <definedName name="solver_eng" localSheetId="7" hidden="1">1</definedName>
    <definedName name="solver_est" localSheetId="4" hidden="1">1</definedName>
    <definedName name="solver_est" localSheetId="0" hidden="1">1</definedName>
    <definedName name="solver_itr" localSheetId="4" hidden="1">100</definedName>
    <definedName name="solver_itr" localSheetId="0" hidden="1">100</definedName>
    <definedName name="solver_itr" localSheetId="2" hidden="1">2147483647</definedName>
    <definedName name="solver_itr" localSheetId="3" hidden="1">2147483647</definedName>
    <definedName name="solver_itr" localSheetId="8" hidden="1">2147483647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lhs1" localSheetId="4" hidden="1">'album purchases'!#REF!</definedName>
    <definedName name="solver_lhs1" localSheetId="0" hidden="1">comscore!#REF!</definedName>
    <definedName name="solver_lhs1" localSheetId="2" hidden="1">'part a original'!$B$1:$B$2</definedName>
    <definedName name="solver_lhs1" localSheetId="3" hidden="1">'part a spike'!$B$1:$B$3</definedName>
    <definedName name="solver_lhs1" localSheetId="8" hidden="1">'part b sbg'!$B$1:$B$2</definedName>
    <definedName name="solver_lhs1" localSheetId="5" hidden="1">'part b shift'!$B$1:$B$2</definedName>
    <definedName name="solver_lhs1" localSheetId="6" hidden="1">'part b trunc'!$B$1:$B$2</definedName>
    <definedName name="solver_lhs1" localSheetId="7" hidden="1">'part b trunc+spike'!$B$1:$B$3</definedName>
    <definedName name="solver_lhs2" localSheetId="0" hidden="1">comscore!#REF!</definedName>
    <definedName name="solver_lhs2" localSheetId="3" hidden="1">'part a spike'!$B$3</definedName>
    <definedName name="solver_lhs2" localSheetId="7" hidden="1">'part b trunc+spike'!$B$3</definedName>
    <definedName name="solver_lin" localSheetId="4" hidden="1">2</definedName>
    <definedName name="solver_lin" localSheetId="0" hidden="1">2</definedName>
    <definedName name="solver_lin" localSheetId="2" hidden="1">2</definedName>
    <definedName name="solver_lin" localSheetId="3" hidden="1">2</definedName>
    <definedName name="solver_lin" localSheetId="8" hidden="1">2</definedName>
    <definedName name="solver_lin" localSheetId="5" hidden="1">2</definedName>
    <definedName name="solver_lin" localSheetId="6" hidden="1">2</definedName>
    <definedName name="solver_lin" localSheetId="7" hidden="1">2</definedName>
    <definedName name="solver_mip" localSheetId="2" hidden="1">2147483647</definedName>
    <definedName name="solver_mip" localSheetId="3" hidden="1">2147483647</definedName>
    <definedName name="solver_mip" localSheetId="8" hidden="1">2147483647</definedName>
    <definedName name="solver_mip" localSheetId="5" hidden="1">2147483647</definedName>
    <definedName name="solver_mip" localSheetId="6" hidden="1">2147483647</definedName>
    <definedName name="solver_mip" localSheetId="7" hidden="1">2147483647</definedName>
    <definedName name="solver_mni" localSheetId="2" hidden="1">30</definedName>
    <definedName name="solver_mni" localSheetId="3" hidden="1">30</definedName>
    <definedName name="solver_mni" localSheetId="8" hidden="1">30</definedName>
    <definedName name="solver_mni" localSheetId="5" hidden="1">30</definedName>
    <definedName name="solver_mni" localSheetId="6" hidden="1">30</definedName>
    <definedName name="solver_mni" localSheetId="7" hidden="1">30</definedName>
    <definedName name="solver_mrt" localSheetId="2" hidden="1">0.075</definedName>
    <definedName name="solver_mrt" localSheetId="3" hidden="1">0.075</definedName>
    <definedName name="solver_mrt" localSheetId="8" hidden="1">0.075</definedName>
    <definedName name="solver_mrt" localSheetId="5" hidden="1">0.075</definedName>
    <definedName name="solver_mrt" localSheetId="6" hidden="1">0.075</definedName>
    <definedName name="solver_mrt" localSheetId="7" hidden="1">0.075</definedName>
    <definedName name="solver_msl" localSheetId="2" hidden="1">2</definedName>
    <definedName name="solver_msl" localSheetId="3" hidden="1">2</definedName>
    <definedName name="solver_msl" localSheetId="8" hidden="1">2</definedName>
    <definedName name="solver_msl" localSheetId="5" hidden="1">2</definedName>
    <definedName name="solver_msl" localSheetId="6" hidden="1">2</definedName>
    <definedName name="solver_msl" localSheetId="7" hidden="1">2</definedName>
    <definedName name="solver_neg" localSheetId="4" hidden="1">2</definedName>
    <definedName name="solver_neg" localSheetId="0" hidden="1">2</definedName>
    <definedName name="solver_neg" localSheetId="2" hidden="1">1</definedName>
    <definedName name="solver_neg" localSheetId="3" hidden="1">1</definedName>
    <definedName name="solver_neg" localSheetId="8" hidden="1">1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od" localSheetId="2" hidden="1">2147483647</definedName>
    <definedName name="solver_nod" localSheetId="3" hidden="1">2147483647</definedName>
    <definedName name="solver_nod" localSheetId="8" hidden="1">2147483647</definedName>
    <definedName name="solver_nod" localSheetId="5" hidden="1">2147483647</definedName>
    <definedName name="solver_nod" localSheetId="6" hidden="1">2147483647</definedName>
    <definedName name="solver_nod" localSheetId="7" hidden="1">2147483647</definedName>
    <definedName name="solver_num" localSheetId="4" hidden="1">1</definedName>
    <definedName name="solver_num" localSheetId="0" hidden="1">1</definedName>
    <definedName name="solver_num" localSheetId="2" hidden="1">1</definedName>
    <definedName name="solver_num" localSheetId="3" hidden="1">2</definedName>
    <definedName name="solver_num" localSheetId="8" hidden="1">1</definedName>
    <definedName name="solver_num" localSheetId="5" hidden="1">1</definedName>
    <definedName name="solver_num" localSheetId="6" hidden="1">1</definedName>
    <definedName name="solver_num" localSheetId="7" hidden="1">2</definedName>
    <definedName name="solver_nwt" localSheetId="4" hidden="1">1</definedName>
    <definedName name="solver_nwt" localSheetId="0" hidden="1">1</definedName>
    <definedName name="solver_opt" localSheetId="4" hidden="1">'album purchases'!#REF!</definedName>
    <definedName name="solver_opt" localSheetId="0" hidden="1">comscore!#REF!</definedName>
    <definedName name="solver_opt" localSheetId="2" hidden="1">'part a original'!$B$3</definedName>
    <definedName name="solver_opt" localSheetId="3" hidden="1">'part a spike'!$B$4</definedName>
    <definedName name="solver_opt" localSheetId="8" hidden="1">'part b sbg'!$B$3</definedName>
    <definedName name="solver_opt" localSheetId="5" hidden="1">'part b shift'!$B$3</definedName>
    <definedName name="solver_opt" localSheetId="6" hidden="1">'part b trunc'!$B$3</definedName>
    <definedName name="solver_opt" localSheetId="7" hidden="1">'part b trunc+spike'!$B$4</definedName>
    <definedName name="solver_pre" localSheetId="4" hidden="1">0.000001</definedName>
    <definedName name="solver_pre" localSheetId="0" hidden="1">0.000000001</definedName>
    <definedName name="solver_pre" localSheetId="2" hidden="1">0.000001</definedName>
    <definedName name="solver_pre" localSheetId="3" hidden="1">0.000001</definedName>
    <definedName name="solver_pre" localSheetId="8" hidden="1">0.000001</definedName>
    <definedName name="solver_pre" localSheetId="5" hidden="1">0.000001</definedName>
    <definedName name="solver_pre" localSheetId="6" hidden="1">0.000001</definedName>
    <definedName name="solver_pre" localSheetId="7" hidden="1">0.000001</definedName>
    <definedName name="solver_rbv" localSheetId="2" hidden="1">1</definedName>
    <definedName name="solver_rbv" localSheetId="3" hidden="1">1</definedName>
    <definedName name="solver_rbv" localSheetId="8" hidden="1">1</definedName>
    <definedName name="solver_rbv" localSheetId="5" hidden="1">1</definedName>
    <definedName name="solver_rbv" localSheetId="6" hidden="1">1</definedName>
    <definedName name="solver_rbv" localSheetId="7" hidden="1">1</definedName>
    <definedName name="solver_rel1" localSheetId="4" hidden="1">3</definedName>
    <definedName name="solver_rel1" localSheetId="0" hidden="1">3</definedName>
    <definedName name="solver_rel1" localSheetId="2" hidden="1">3</definedName>
    <definedName name="solver_rel1" localSheetId="3" hidden="1">3</definedName>
    <definedName name="solver_rel1" localSheetId="8" hidden="1">3</definedName>
    <definedName name="solver_rel1" localSheetId="5" hidden="1">3</definedName>
    <definedName name="solver_rel1" localSheetId="6" hidden="1">3</definedName>
    <definedName name="solver_rel1" localSheetId="7" hidden="1">3</definedName>
    <definedName name="solver_rel2" localSheetId="0" hidden="1">3</definedName>
    <definedName name="solver_rel2" localSheetId="3" hidden="1">1</definedName>
    <definedName name="solver_rel2" localSheetId="7" hidden="1">1</definedName>
    <definedName name="solver_rhs1" localSheetId="4" hidden="1">0.0001</definedName>
    <definedName name="solver_rhs1" localSheetId="0" hidden="1">0.00000001</definedName>
    <definedName name="solver_rhs1" localSheetId="2" hidden="1">0.0001</definedName>
    <definedName name="solver_rhs1" localSheetId="3" hidden="1">0.0001</definedName>
    <definedName name="solver_rhs1" localSheetId="8" hidden="1">0.00001</definedName>
    <definedName name="solver_rhs1" localSheetId="5" hidden="1">0.00001</definedName>
    <definedName name="solver_rhs1" localSheetId="6" hidden="1">0.00001</definedName>
    <definedName name="solver_rhs1" localSheetId="7" hidden="1">0.00001</definedName>
    <definedName name="solver_rhs2" localSheetId="0" hidden="1">0.001</definedName>
    <definedName name="solver_rhs2" localSheetId="3" hidden="1">0.9999</definedName>
    <definedName name="solver_rhs2" localSheetId="7" hidden="1">0.9999</definedName>
    <definedName name="solver_rlx" localSheetId="2" hidden="1">2</definedName>
    <definedName name="solver_rlx" localSheetId="3" hidden="1">1</definedName>
    <definedName name="solver_rlx" localSheetId="8" hidden="1">2</definedName>
    <definedName name="solver_rlx" localSheetId="5" hidden="1">2</definedName>
    <definedName name="solver_rlx" localSheetId="6" hidden="1">2</definedName>
    <definedName name="solver_rlx" localSheetId="7" hidden="1">2</definedName>
    <definedName name="solver_rsd" localSheetId="2" hidden="1">0</definedName>
    <definedName name="solver_rsd" localSheetId="3" hidden="1">0</definedName>
    <definedName name="solver_rsd" localSheetId="8" hidden="1">0</definedName>
    <definedName name="solver_rsd" localSheetId="5" hidden="1">0</definedName>
    <definedName name="solver_rsd" localSheetId="6" hidden="1">0</definedName>
    <definedName name="solver_rsd" localSheetId="7" hidden="1">0</definedName>
    <definedName name="solver_scl" localSheetId="4" hidden="1">2</definedName>
    <definedName name="solver_scl" localSheetId="0" hidden="1">2</definedName>
    <definedName name="solver_scl" localSheetId="2" hidden="1">1</definedName>
    <definedName name="solver_scl" localSheetId="3" hidden="1">2</definedName>
    <definedName name="solver_scl" localSheetId="8" hidden="1">1</definedName>
    <definedName name="solver_scl" localSheetId="5" hidden="1">1</definedName>
    <definedName name="solver_scl" localSheetId="6" hidden="1">1</definedName>
    <definedName name="solver_scl" localSheetId="7" hidden="1">1</definedName>
    <definedName name="solver_sho" localSheetId="4" hidden="1">2</definedName>
    <definedName name="solver_sho" localSheetId="0" hidden="1">2</definedName>
    <definedName name="solver_sho" localSheetId="2" hidden="1">2</definedName>
    <definedName name="solver_sho" localSheetId="3" hidden="1">2</definedName>
    <definedName name="solver_sho" localSheetId="8" hidden="1">2</definedName>
    <definedName name="solver_sho" localSheetId="5" hidden="1">2</definedName>
    <definedName name="solver_sho" localSheetId="6" hidden="1">2</definedName>
    <definedName name="solver_sho" localSheetId="7" hidden="1">2</definedName>
    <definedName name="solver_ssz" localSheetId="2" hidden="1">100</definedName>
    <definedName name="solver_ssz" localSheetId="3" hidden="1">100</definedName>
    <definedName name="solver_ssz" localSheetId="8" hidden="1">100</definedName>
    <definedName name="solver_ssz" localSheetId="5" hidden="1">100</definedName>
    <definedName name="solver_ssz" localSheetId="6" hidden="1">100</definedName>
    <definedName name="solver_ssz" localSheetId="7" hidden="1">100</definedName>
    <definedName name="solver_tim" localSheetId="4" hidden="1">100</definedName>
    <definedName name="solver_tim" localSheetId="0" hidden="1">100</definedName>
    <definedName name="solver_tim" localSheetId="2" hidden="1">2147483647</definedName>
    <definedName name="solver_tim" localSheetId="3" hidden="1">2147483647</definedName>
    <definedName name="solver_tim" localSheetId="8" hidden="1">2147483647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ol" localSheetId="4" hidden="1">0.05</definedName>
    <definedName name="solver_tol" localSheetId="0" hidden="1">0.05</definedName>
    <definedName name="solver_tol" localSheetId="2" hidden="1">0.01</definedName>
    <definedName name="solver_tol" localSheetId="3" hidden="1">0.01</definedName>
    <definedName name="solver_tol" localSheetId="8" hidden="1">0.01</definedName>
    <definedName name="solver_tol" localSheetId="5" hidden="1">0.01</definedName>
    <definedName name="solver_tol" localSheetId="6" hidden="1">0.01</definedName>
    <definedName name="solver_tol" localSheetId="7" hidden="1">0.01</definedName>
    <definedName name="solver_typ" localSheetId="4" hidden="1">1</definedName>
    <definedName name="solver_typ" localSheetId="0" hidden="1">1</definedName>
    <definedName name="solver_typ" localSheetId="2" hidden="1">1</definedName>
    <definedName name="solver_typ" localSheetId="3" hidden="1">1</definedName>
    <definedName name="solver_typ" localSheetId="8" hidden="1">1</definedName>
    <definedName name="solver_typ" localSheetId="5" hidden="1">1</definedName>
    <definedName name="solver_typ" localSheetId="6" hidden="1">1</definedName>
    <definedName name="solver_typ" localSheetId="7" hidden="1">1</definedName>
    <definedName name="solver_val" localSheetId="4" hidden="1">0</definedName>
    <definedName name="solver_val" localSheetId="0" hidden="1">0</definedName>
    <definedName name="solver_val" localSheetId="2" hidden="1">0</definedName>
    <definedName name="solver_val" localSheetId="3" hidden="1">0</definedName>
    <definedName name="solver_val" localSheetId="8" hidden="1">0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er" localSheetId="2" hidden="1">2</definedName>
    <definedName name="solver_ver" localSheetId="3" hidden="1">2</definedName>
    <definedName name="solver_ver" localSheetId="8" hidden="1">2</definedName>
    <definedName name="solver_ver" localSheetId="5" hidden="1">2</definedName>
    <definedName name="solver_ver" localSheetId="6" hidden="1">2</definedName>
    <definedName name="solver_ver" localSheetId="7" hidden="1">2</definedName>
  </definedNames>
  <calcPr calcId="191029"/>
  <pivotCaches>
    <pivotCache cacheId="0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4" l="1"/>
  <c r="G7" i="14"/>
  <c r="G8" i="14"/>
  <c r="G9" i="14"/>
  <c r="E17" i="14" s="1"/>
  <c r="E19" i="14" s="1"/>
  <c r="G10" i="14"/>
  <c r="G11" i="14"/>
  <c r="G12" i="14"/>
  <c r="G13" i="14"/>
  <c r="G14" i="14"/>
  <c r="G15" i="14"/>
  <c r="G6" i="14"/>
  <c r="H10" i="13"/>
  <c r="H11" i="13"/>
  <c r="H12" i="13"/>
  <c r="H13" i="13"/>
  <c r="H14" i="13"/>
  <c r="H15" i="13"/>
  <c r="H16" i="13"/>
  <c r="H17" i="13"/>
  <c r="H18" i="13"/>
  <c r="H9" i="13"/>
  <c r="G10" i="12"/>
  <c r="G9" i="12"/>
  <c r="G11" i="12"/>
  <c r="G12" i="12"/>
  <c r="G13" i="12"/>
  <c r="G14" i="12"/>
  <c r="G15" i="12"/>
  <c r="G16" i="12"/>
  <c r="G17" i="12"/>
  <c r="G18" i="12"/>
  <c r="F9" i="4"/>
  <c r="F10" i="4"/>
  <c r="F11" i="4"/>
  <c r="F12" i="4"/>
  <c r="F13" i="4"/>
  <c r="F14" i="4"/>
  <c r="F15" i="4"/>
  <c r="F16" i="4"/>
  <c r="F17" i="4"/>
  <c r="F8" i="4"/>
  <c r="L9" i="8"/>
  <c r="L10" i="8"/>
  <c r="L11" i="8"/>
  <c r="L12" i="8"/>
  <c r="L13" i="8"/>
  <c r="L14" i="8"/>
  <c r="L15" i="8"/>
  <c r="L16" i="8"/>
  <c r="L17" i="8"/>
  <c r="L18" i="8"/>
  <c r="L8" i="8"/>
  <c r="J8" i="3"/>
  <c r="J9" i="3"/>
  <c r="J10" i="3"/>
  <c r="J11" i="3"/>
  <c r="J12" i="3"/>
  <c r="J13" i="3"/>
  <c r="J14" i="3"/>
  <c r="J15" i="3"/>
  <c r="J16" i="3"/>
  <c r="J17" i="3"/>
  <c r="J7" i="3"/>
  <c r="C20" i="4"/>
  <c r="H21" i="12"/>
  <c r="H20" i="12"/>
  <c r="C19" i="4"/>
  <c r="C8" i="4"/>
  <c r="D8" i="8"/>
  <c r="C7" i="3"/>
  <c r="D7" i="3" s="1"/>
  <c r="C6" i="14"/>
  <c r="E6" i="14" s="1"/>
  <c r="F6" i="14" s="1"/>
  <c r="I21" i="13"/>
  <c r="C8" i="13"/>
  <c r="C21" i="13" s="1"/>
  <c r="C8" i="12"/>
  <c r="C9" i="12" s="1"/>
  <c r="D9" i="12" s="1"/>
  <c r="F9" i="12" s="1"/>
  <c r="J25" i="8"/>
  <c r="J21" i="8"/>
  <c r="I8" i="8"/>
  <c r="J8" i="8" s="1"/>
  <c r="H18" i="8"/>
  <c r="C9" i="8"/>
  <c r="D9" i="8" s="1"/>
  <c r="E9" i="8" s="1"/>
  <c r="C10" i="8"/>
  <c r="D10" i="8" s="1"/>
  <c r="E10" i="8" s="1"/>
  <c r="C11" i="8"/>
  <c r="D11" i="8" s="1"/>
  <c r="E11" i="8" s="1"/>
  <c r="C12" i="8"/>
  <c r="D12" i="8" s="1"/>
  <c r="E12" i="8" s="1"/>
  <c r="C13" i="8"/>
  <c r="D13" i="8" s="1"/>
  <c r="E13" i="8" s="1"/>
  <c r="C14" i="8"/>
  <c r="D14" i="8" s="1"/>
  <c r="E14" i="8" s="1"/>
  <c r="C15" i="8"/>
  <c r="D15" i="8" s="1"/>
  <c r="E15" i="8" s="1"/>
  <c r="C16" i="8"/>
  <c r="D16" i="8" s="1"/>
  <c r="E16" i="8" s="1"/>
  <c r="C17" i="8"/>
  <c r="D17" i="8" s="1"/>
  <c r="E17" i="8" s="1"/>
  <c r="C18" i="8"/>
  <c r="D18" i="8" s="1"/>
  <c r="E18" i="8" s="1"/>
  <c r="C19" i="8"/>
  <c r="D19" i="8" s="1"/>
  <c r="E19" i="8" s="1"/>
  <c r="C20" i="8"/>
  <c r="D20" i="8" s="1"/>
  <c r="E20" i="8" s="1"/>
  <c r="C21" i="8"/>
  <c r="D21" i="8" s="1"/>
  <c r="E21" i="8" s="1"/>
  <c r="C22" i="8"/>
  <c r="D22" i="8" s="1"/>
  <c r="E22" i="8" s="1"/>
  <c r="C23" i="8"/>
  <c r="D23" i="8" s="1"/>
  <c r="E23" i="8" s="1"/>
  <c r="C24" i="8"/>
  <c r="D24" i="8" s="1"/>
  <c r="E24" i="8" s="1"/>
  <c r="C25" i="8"/>
  <c r="D25" i="8" s="1"/>
  <c r="E25" i="8" s="1"/>
  <c r="C26" i="8"/>
  <c r="D26" i="8" s="1"/>
  <c r="E26" i="8" s="1"/>
  <c r="C27" i="8"/>
  <c r="D27" i="8" s="1"/>
  <c r="E27" i="8" s="1"/>
  <c r="C28" i="8"/>
  <c r="D28" i="8" s="1"/>
  <c r="E28" i="8" s="1"/>
  <c r="C29" i="8"/>
  <c r="D29" i="8" s="1"/>
  <c r="E29" i="8" s="1"/>
  <c r="C30" i="8"/>
  <c r="D30" i="8" s="1"/>
  <c r="E30" i="8" s="1"/>
  <c r="C31" i="8"/>
  <c r="D31" i="8" s="1"/>
  <c r="E31" i="8" s="1"/>
  <c r="C32" i="8"/>
  <c r="D32" i="8" s="1"/>
  <c r="E32" i="8" s="1"/>
  <c r="C33" i="8"/>
  <c r="D33" i="8" s="1"/>
  <c r="E33" i="8" s="1"/>
  <c r="C34" i="8"/>
  <c r="D34" i="8" s="1"/>
  <c r="E34" i="8" s="1"/>
  <c r="C35" i="8"/>
  <c r="D35" i="8" s="1"/>
  <c r="E35" i="8" s="1"/>
  <c r="C36" i="8"/>
  <c r="D36" i="8" s="1"/>
  <c r="E36" i="8" s="1"/>
  <c r="C37" i="8"/>
  <c r="D37" i="8" s="1"/>
  <c r="E37" i="8" s="1"/>
  <c r="C38" i="8"/>
  <c r="D38" i="8" s="1"/>
  <c r="E38" i="8" s="1"/>
  <c r="C39" i="8"/>
  <c r="D39" i="8" s="1"/>
  <c r="E39" i="8" s="1"/>
  <c r="C40" i="8"/>
  <c r="D40" i="8" s="1"/>
  <c r="E40" i="8" s="1"/>
  <c r="C41" i="8"/>
  <c r="D41" i="8" s="1"/>
  <c r="E41" i="8" s="1"/>
  <c r="C42" i="8"/>
  <c r="D42" i="8" s="1"/>
  <c r="E42" i="8" s="1"/>
  <c r="C43" i="8"/>
  <c r="D43" i="8" s="1"/>
  <c r="E43" i="8" s="1"/>
  <c r="C44" i="8"/>
  <c r="D44" i="8" s="1"/>
  <c r="E44" i="8" s="1"/>
  <c r="C45" i="8"/>
  <c r="D45" i="8" s="1"/>
  <c r="E45" i="8" s="1"/>
  <c r="C46" i="8"/>
  <c r="D46" i="8" s="1"/>
  <c r="E46" i="8" s="1"/>
  <c r="C47" i="8"/>
  <c r="D47" i="8" s="1"/>
  <c r="E47" i="8" s="1"/>
  <c r="C48" i="8"/>
  <c r="D48" i="8" s="1"/>
  <c r="E48" i="8" s="1"/>
  <c r="C49" i="8"/>
  <c r="D49" i="8" s="1"/>
  <c r="E49" i="8" s="1"/>
  <c r="C50" i="8"/>
  <c r="D50" i="8" s="1"/>
  <c r="E50" i="8" s="1"/>
  <c r="C51" i="8"/>
  <c r="D51" i="8" s="1"/>
  <c r="E51" i="8" s="1"/>
  <c r="C52" i="8"/>
  <c r="D52" i="8" s="1"/>
  <c r="E52" i="8" s="1"/>
  <c r="C53" i="8"/>
  <c r="D53" i="8" s="1"/>
  <c r="E53" i="8" s="1"/>
  <c r="C54" i="8"/>
  <c r="D54" i="8" s="1"/>
  <c r="E54" i="8" s="1"/>
  <c r="C55" i="8"/>
  <c r="D55" i="8" s="1"/>
  <c r="E55" i="8" s="1"/>
  <c r="C56" i="8"/>
  <c r="D56" i="8" s="1"/>
  <c r="E56" i="8" s="1"/>
  <c r="C57" i="8"/>
  <c r="D57" i="8" s="1"/>
  <c r="E57" i="8" s="1"/>
  <c r="C58" i="8"/>
  <c r="D58" i="8" s="1"/>
  <c r="E58" i="8" s="1"/>
  <c r="C59" i="8"/>
  <c r="D59" i="8" s="1"/>
  <c r="E59" i="8" s="1"/>
  <c r="C60" i="8"/>
  <c r="D60" i="8" s="1"/>
  <c r="E60" i="8" s="1"/>
  <c r="C61" i="8"/>
  <c r="D61" i="8" s="1"/>
  <c r="E61" i="8" s="1"/>
  <c r="C62" i="8"/>
  <c r="D62" i="8" s="1"/>
  <c r="E62" i="8" s="1"/>
  <c r="C63" i="8"/>
  <c r="D63" i="8" s="1"/>
  <c r="E63" i="8" s="1"/>
  <c r="C64" i="8"/>
  <c r="D64" i="8" s="1"/>
  <c r="E64" i="8" s="1"/>
  <c r="C65" i="8"/>
  <c r="D65" i="8" s="1"/>
  <c r="E65" i="8" s="1"/>
  <c r="C66" i="8"/>
  <c r="D66" i="8" s="1"/>
  <c r="E66" i="8" s="1"/>
  <c r="C67" i="8"/>
  <c r="D67" i="8" s="1"/>
  <c r="E67" i="8" s="1"/>
  <c r="C68" i="8"/>
  <c r="D68" i="8" s="1"/>
  <c r="E68" i="8" s="1"/>
  <c r="C69" i="8"/>
  <c r="D69" i="8" s="1"/>
  <c r="E69" i="8" s="1"/>
  <c r="C70" i="8"/>
  <c r="D70" i="8" s="1"/>
  <c r="E70" i="8" s="1"/>
  <c r="C71" i="8"/>
  <c r="D71" i="8" s="1"/>
  <c r="E71" i="8" s="1"/>
  <c r="C72" i="8"/>
  <c r="D72" i="8" s="1"/>
  <c r="E72" i="8" s="1"/>
  <c r="C73" i="8"/>
  <c r="D73" i="8" s="1"/>
  <c r="E73" i="8" s="1"/>
  <c r="C74" i="8"/>
  <c r="D74" i="8" s="1"/>
  <c r="E74" i="8" s="1"/>
  <c r="C75" i="8"/>
  <c r="D75" i="8" s="1"/>
  <c r="E75" i="8" s="1"/>
  <c r="C76" i="8"/>
  <c r="D76" i="8" s="1"/>
  <c r="E76" i="8" s="1"/>
  <c r="C77" i="8"/>
  <c r="D77" i="8" s="1"/>
  <c r="E77" i="8" s="1"/>
  <c r="C78" i="8"/>
  <c r="D78" i="8" s="1"/>
  <c r="E78" i="8" s="1"/>
  <c r="C79" i="8"/>
  <c r="D79" i="8" s="1"/>
  <c r="E79" i="8" s="1"/>
  <c r="C80" i="8"/>
  <c r="D80" i="8" s="1"/>
  <c r="E80" i="8" s="1"/>
  <c r="C81" i="8"/>
  <c r="D81" i="8" s="1"/>
  <c r="E81" i="8" s="1"/>
  <c r="C82" i="8"/>
  <c r="D82" i="8" s="1"/>
  <c r="E82" i="8" s="1"/>
  <c r="C83" i="8"/>
  <c r="D83" i="8" s="1"/>
  <c r="E83" i="8" s="1"/>
  <c r="C84" i="8"/>
  <c r="D84" i="8" s="1"/>
  <c r="E84" i="8" s="1"/>
  <c r="C85" i="8"/>
  <c r="D85" i="8" s="1"/>
  <c r="E85" i="8" s="1"/>
  <c r="C86" i="8"/>
  <c r="D86" i="8" s="1"/>
  <c r="E86" i="8" s="1"/>
  <c r="C87" i="8"/>
  <c r="D87" i="8" s="1"/>
  <c r="E87" i="8" s="1"/>
  <c r="C88" i="8"/>
  <c r="D88" i="8" s="1"/>
  <c r="E88" i="8" s="1"/>
  <c r="C89" i="8"/>
  <c r="D89" i="8" s="1"/>
  <c r="E89" i="8" s="1"/>
  <c r="C90" i="8"/>
  <c r="D90" i="8" s="1"/>
  <c r="E90" i="8" s="1"/>
  <c r="C91" i="8"/>
  <c r="D91" i="8" s="1"/>
  <c r="E91" i="8" s="1"/>
  <c r="C92" i="8"/>
  <c r="D92" i="8" s="1"/>
  <c r="E92" i="8" s="1"/>
  <c r="C93" i="8"/>
  <c r="D93" i="8" s="1"/>
  <c r="E93" i="8" s="1"/>
  <c r="C94" i="8"/>
  <c r="D94" i="8" s="1"/>
  <c r="E94" i="8" s="1"/>
  <c r="C95" i="8"/>
  <c r="D95" i="8" s="1"/>
  <c r="E95" i="8" s="1"/>
  <c r="C96" i="8"/>
  <c r="D96" i="8" s="1"/>
  <c r="E96" i="8" s="1"/>
  <c r="C97" i="8"/>
  <c r="D97" i="8" s="1"/>
  <c r="E97" i="8" s="1"/>
  <c r="C98" i="8"/>
  <c r="D98" i="8" s="1"/>
  <c r="E98" i="8" s="1"/>
  <c r="C99" i="8"/>
  <c r="D99" i="8" s="1"/>
  <c r="E99" i="8" s="1"/>
  <c r="C100" i="8"/>
  <c r="D100" i="8" s="1"/>
  <c r="E100" i="8" s="1"/>
  <c r="C101" i="8"/>
  <c r="D101" i="8" s="1"/>
  <c r="E101" i="8" s="1"/>
  <c r="C102" i="8"/>
  <c r="D102" i="8" s="1"/>
  <c r="E102" i="8" s="1"/>
  <c r="C103" i="8"/>
  <c r="D103" i="8" s="1"/>
  <c r="E103" i="8" s="1"/>
  <c r="C104" i="8"/>
  <c r="D104" i="8" s="1"/>
  <c r="E104" i="8" s="1"/>
  <c r="C105" i="8"/>
  <c r="D105" i="8" s="1"/>
  <c r="E105" i="8" s="1"/>
  <c r="C106" i="8"/>
  <c r="D106" i="8" s="1"/>
  <c r="E106" i="8" s="1"/>
  <c r="C107" i="8"/>
  <c r="D107" i="8" s="1"/>
  <c r="E107" i="8" s="1"/>
  <c r="C108" i="8"/>
  <c r="D108" i="8" s="1"/>
  <c r="E108" i="8" s="1"/>
  <c r="C109" i="8"/>
  <c r="D109" i="8" s="1"/>
  <c r="E109" i="8" s="1"/>
  <c r="C110" i="8"/>
  <c r="D110" i="8" s="1"/>
  <c r="E110" i="8" s="1"/>
  <c r="C111" i="8"/>
  <c r="D111" i="8" s="1"/>
  <c r="E111" i="8" s="1"/>
  <c r="C112" i="8"/>
  <c r="D112" i="8" s="1"/>
  <c r="E112" i="8" s="1"/>
  <c r="C113" i="8"/>
  <c r="D113" i="8" s="1"/>
  <c r="E113" i="8" s="1"/>
  <c r="C114" i="8"/>
  <c r="D114" i="8" s="1"/>
  <c r="E114" i="8" s="1"/>
  <c r="C115" i="8"/>
  <c r="D115" i="8" s="1"/>
  <c r="E115" i="8" s="1"/>
  <c r="C116" i="8"/>
  <c r="D116" i="8" s="1"/>
  <c r="E116" i="8" s="1"/>
  <c r="C117" i="8"/>
  <c r="D117" i="8" s="1"/>
  <c r="E117" i="8" s="1"/>
  <c r="C118" i="8"/>
  <c r="D118" i="8" s="1"/>
  <c r="E118" i="8" s="1"/>
  <c r="C119" i="8"/>
  <c r="D119" i="8" s="1"/>
  <c r="E119" i="8" s="1"/>
  <c r="C120" i="8"/>
  <c r="D120" i="8" s="1"/>
  <c r="E120" i="8" s="1"/>
  <c r="C121" i="8"/>
  <c r="D121" i="8" s="1"/>
  <c r="E121" i="8" s="1"/>
  <c r="C122" i="8"/>
  <c r="D122" i="8" s="1"/>
  <c r="E122" i="8" s="1"/>
  <c r="C123" i="8"/>
  <c r="D123" i="8" s="1"/>
  <c r="E123" i="8" s="1"/>
  <c r="C124" i="8"/>
  <c r="D124" i="8" s="1"/>
  <c r="E124" i="8" s="1"/>
  <c r="C125" i="8"/>
  <c r="D125" i="8" s="1"/>
  <c r="E125" i="8" s="1"/>
  <c r="C126" i="8"/>
  <c r="D126" i="8" s="1"/>
  <c r="E126" i="8" s="1"/>
  <c r="C127" i="8"/>
  <c r="D127" i="8" s="1"/>
  <c r="E127" i="8" s="1"/>
  <c r="C128" i="8"/>
  <c r="D128" i="8" s="1"/>
  <c r="E128" i="8" s="1"/>
  <c r="C129" i="8"/>
  <c r="D129" i="8" s="1"/>
  <c r="E129" i="8" s="1"/>
  <c r="C130" i="8"/>
  <c r="D130" i="8" s="1"/>
  <c r="E130" i="8" s="1"/>
  <c r="C131" i="8"/>
  <c r="D131" i="8" s="1"/>
  <c r="E131" i="8" s="1"/>
  <c r="C132" i="8"/>
  <c r="D132" i="8" s="1"/>
  <c r="E132" i="8" s="1"/>
  <c r="C133" i="8"/>
  <c r="D133" i="8" s="1"/>
  <c r="E133" i="8" s="1"/>
  <c r="C134" i="8"/>
  <c r="D134" i="8" s="1"/>
  <c r="E134" i="8" s="1"/>
  <c r="C135" i="8"/>
  <c r="D135" i="8" s="1"/>
  <c r="E135" i="8" s="1"/>
  <c r="C136" i="8"/>
  <c r="D136" i="8" s="1"/>
  <c r="E136" i="8" s="1"/>
  <c r="C137" i="8"/>
  <c r="D137" i="8" s="1"/>
  <c r="E137" i="8" s="1"/>
  <c r="C138" i="8"/>
  <c r="D138" i="8" s="1"/>
  <c r="E138" i="8" s="1"/>
  <c r="C139" i="8"/>
  <c r="D139" i="8" s="1"/>
  <c r="E139" i="8" s="1"/>
  <c r="C140" i="8"/>
  <c r="D140" i="8" s="1"/>
  <c r="E140" i="8" s="1"/>
  <c r="C141" i="8"/>
  <c r="D141" i="8" s="1"/>
  <c r="E141" i="8" s="1"/>
  <c r="C142" i="8"/>
  <c r="D142" i="8" s="1"/>
  <c r="E142" i="8" s="1"/>
  <c r="C143" i="8"/>
  <c r="D143" i="8" s="1"/>
  <c r="E143" i="8" s="1"/>
  <c r="C144" i="8"/>
  <c r="D144" i="8" s="1"/>
  <c r="E144" i="8" s="1"/>
  <c r="C145" i="8"/>
  <c r="D145" i="8" s="1"/>
  <c r="E145" i="8" s="1"/>
  <c r="C146" i="8"/>
  <c r="D146" i="8" s="1"/>
  <c r="E146" i="8" s="1"/>
  <c r="C147" i="8"/>
  <c r="D147" i="8" s="1"/>
  <c r="E147" i="8" s="1"/>
  <c r="C148" i="8"/>
  <c r="D148" i="8" s="1"/>
  <c r="E148" i="8" s="1"/>
  <c r="C149" i="8"/>
  <c r="D149" i="8" s="1"/>
  <c r="E149" i="8" s="1"/>
  <c r="C150" i="8"/>
  <c r="D150" i="8" s="1"/>
  <c r="E150" i="8" s="1"/>
  <c r="C151" i="8"/>
  <c r="D151" i="8" s="1"/>
  <c r="E151" i="8" s="1"/>
  <c r="C152" i="8"/>
  <c r="D152" i="8" s="1"/>
  <c r="E152" i="8" s="1"/>
  <c r="C153" i="8"/>
  <c r="D153" i="8" s="1"/>
  <c r="E153" i="8" s="1"/>
  <c r="C154" i="8"/>
  <c r="D154" i="8" s="1"/>
  <c r="E154" i="8" s="1"/>
  <c r="C155" i="8"/>
  <c r="D155" i="8" s="1"/>
  <c r="E155" i="8" s="1"/>
  <c r="C156" i="8"/>
  <c r="D156" i="8" s="1"/>
  <c r="E156" i="8" s="1"/>
  <c r="C157" i="8"/>
  <c r="D157" i="8" s="1"/>
  <c r="E157" i="8" s="1"/>
  <c r="C158" i="8"/>
  <c r="D158" i="8" s="1"/>
  <c r="E158" i="8" s="1"/>
  <c r="C159" i="8"/>
  <c r="D159" i="8" s="1"/>
  <c r="E159" i="8" s="1"/>
  <c r="C160" i="8"/>
  <c r="D160" i="8" s="1"/>
  <c r="E160" i="8" s="1"/>
  <c r="C161" i="8"/>
  <c r="D161" i="8" s="1"/>
  <c r="E161" i="8" s="1"/>
  <c r="C162" i="8"/>
  <c r="D162" i="8" s="1"/>
  <c r="E162" i="8" s="1"/>
  <c r="C163" i="8"/>
  <c r="D163" i="8" s="1"/>
  <c r="E163" i="8" s="1"/>
  <c r="C164" i="8"/>
  <c r="D164" i="8" s="1"/>
  <c r="E164" i="8" s="1"/>
  <c r="C165" i="8"/>
  <c r="D165" i="8" s="1"/>
  <c r="E165" i="8" s="1"/>
  <c r="C166" i="8"/>
  <c r="D166" i="8" s="1"/>
  <c r="E166" i="8" s="1"/>
  <c r="C167" i="8"/>
  <c r="D167" i="8" s="1"/>
  <c r="E167" i="8" s="1"/>
  <c r="C168" i="8"/>
  <c r="D168" i="8" s="1"/>
  <c r="E168" i="8" s="1"/>
  <c r="C169" i="8"/>
  <c r="D169" i="8" s="1"/>
  <c r="E169" i="8" s="1"/>
  <c r="C170" i="8"/>
  <c r="D170" i="8" s="1"/>
  <c r="E170" i="8" s="1"/>
  <c r="C171" i="8"/>
  <c r="D171" i="8" s="1"/>
  <c r="E171" i="8" s="1"/>
  <c r="C172" i="8"/>
  <c r="D172" i="8" s="1"/>
  <c r="E172" i="8" s="1"/>
  <c r="C173" i="8"/>
  <c r="D173" i="8" s="1"/>
  <c r="E173" i="8" s="1"/>
  <c r="C174" i="8"/>
  <c r="D174" i="8" s="1"/>
  <c r="E174" i="8" s="1"/>
  <c r="C175" i="8"/>
  <c r="D175" i="8" s="1"/>
  <c r="E175" i="8" s="1"/>
  <c r="C176" i="8"/>
  <c r="D176" i="8" s="1"/>
  <c r="E176" i="8" s="1"/>
  <c r="C177" i="8"/>
  <c r="D177" i="8" s="1"/>
  <c r="E177" i="8" s="1"/>
  <c r="C178" i="8"/>
  <c r="D178" i="8" s="1"/>
  <c r="E178" i="8" s="1"/>
  <c r="C179" i="8"/>
  <c r="D179" i="8" s="1"/>
  <c r="E179" i="8" s="1"/>
  <c r="C180" i="8"/>
  <c r="D180" i="8" s="1"/>
  <c r="E180" i="8" s="1"/>
  <c r="C181" i="8"/>
  <c r="D181" i="8" s="1"/>
  <c r="E181" i="8" s="1"/>
  <c r="C182" i="8"/>
  <c r="D182" i="8" s="1"/>
  <c r="E182" i="8" s="1"/>
  <c r="C183" i="8"/>
  <c r="D183" i="8" s="1"/>
  <c r="E183" i="8" s="1"/>
  <c r="C184" i="8"/>
  <c r="D184" i="8" s="1"/>
  <c r="E184" i="8" s="1"/>
  <c r="C185" i="8"/>
  <c r="D185" i="8" s="1"/>
  <c r="E185" i="8" s="1"/>
  <c r="C186" i="8"/>
  <c r="D186" i="8" s="1"/>
  <c r="E186" i="8" s="1"/>
  <c r="C187" i="8"/>
  <c r="D187" i="8" s="1"/>
  <c r="E187" i="8" s="1"/>
  <c r="C188" i="8"/>
  <c r="D188" i="8" s="1"/>
  <c r="E188" i="8" s="1"/>
  <c r="C189" i="8"/>
  <c r="D189" i="8" s="1"/>
  <c r="E189" i="8" s="1"/>
  <c r="C190" i="8"/>
  <c r="D190" i="8" s="1"/>
  <c r="E190" i="8" s="1"/>
  <c r="C191" i="8"/>
  <c r="D191" i="8" s="1"/>
  <c r="E191" i="8" s="1"/>
  <c r="C192" i="8"/>
  <c r="D192" i="8" s="1"/>
  <c r="E192" i="8" s="1"/>
  <c r="C193" i="8"/>
  <c r="D193" i="8" s="1"/>
  <c r="E193" i="8" s="1"/>
  <c r="C194" i="8"/>
  <c r="D194" i="8" s="1"/>
  <c r="E194" i="8" s="1"/>
  <c r="C195" i="8"/>
  <c r="D195" i="8" s="1"/>
  <c r="E195" i="8" s="1"/>
  <c r="C196" i="8"/>
  <c r="D196" i="8" s="1"/>
  <c r="E196" i="8" s="1"/>
  <c r="C197" i="8"/>
  <c r="D197" i="8" s="1"/>
  <c r="E197" i="8" s="1"/>
  <c r="C198" i="8"/>
  <c r="D198" i="8" s="1"/>
  <c r="E198" i="8" s="1"/>
  <c r="C199" i="8"/>
  <c r="D199" i="8" s="1"/>
  <c r="E199" i="8" s="1"/>
  <c r="C200" i="8"/>
  <c r="D200" i="8" s="1"/>
  <c r="E200" i="8" s="1"/>
  <c r="C201" i="8"/>
  <c r="D201" i="8" s="1"/>
  <c r="E201" i="8" s="1"/>
  <c r="C202" i="8"/>
  <c r="D202" i="8" s="1"/>
  <c r="E202" i="8" s="1"/>
  <c r="C203" i="8"/>
  <c r="D203" i="8" s="1"/>
  <c r="E203" i="8" s="1"/>
  <c r="C204" i="8"/>
  <c r="D204" i="8" s="1"/>
  <c r="E204" i="8" s="1"/>
  <c r="C205" i="8"/>
  <c r="D205" i="8" s="1"/>
  <c r="E205" i="8" s="1"/>
  <c r="C206" i="8"/>
  <c r="D206" i="8" s="1"/>
  <c r="E206" i="8" s="1"/>
  <c r="C207" i="8"/>
  <c r="D207" i="8" s="1"/>
  <c r="E207" i="8" s="1"/>
  <c r="C208" i="8"/>
  <c r="D208" i="8" s="1"/>
  <c r="E208" i="8" s="1"/>
  <c r="C209" i="8"/>
  <c r="D209" i="8" s="1"/>
  <c r="E209" i="8" s="1"/>
  <c r="C210" i="8"/>
  <c r="D210" i="8" s="1"/>
  <c r="E210" i="8" s="1"/>
  <c r="C211" i="8"/>
  <c r="D211" i="8" s="1"/>
  <c r="E211" i="8" s="1"/>
  <c r="C212" i="8"/>
  <c r="D212" i="8" s="1"/>
  <c r="E212" i="8" s="1"/>
  <c r="C213" i="8"/>
  <c r="D213" i="8" s="1"/>
  <c r="E213" i="8" s="1"/>
  <c r="C214" i="8"/>
  <c r="D214" i="8" s="1"/>
  <c r="E214" i="8" s="1"/>
  <c r="C215" i="8"/>
  <c r="D215" i="8" s="1"/>
  <c r="E215" i="8" s="1"/>
  <c r="C216" i="8"/>
  <c r="D216" i="8" s="1"/>
  <c r="E216" i="8" s="1"/>
  <c r="C217" i="8"/>
  <c r="D217" i="8" s="1"/>
  <c r="E217" i="8" s="1"/>
  <c r="C218" i="8"/>
  <c r="D218" i="8" s="1"/>
  <c r="E218" i="8" s="1"/>
  <c r="C219" i="8"/>
  <c r="D219" i="8" s="1"/>
  <c r="E219" i="8" s="1"/>
  <c r="C220" i="8"/>
  <c r="D220" i="8" s="1"/>
  <c r="E220" i="8" s="1"/>
  <c r="C221" i="8"/>
  <c r="D221" i="8" s="1"/>
  <c r="E221" i="8" s="1"/>
  <c r="C222" i="8"/>
  <c r="D222" i="8" s="1"/>
  <c r="E222" i="8" s="1"/>
  <c r="C223" i="8"/>
  <c r="D223" i="8" s="1"/>
  <c r="E223" i="8" s="1"/>
  <c r="C224" i="8"/>
  <c r="D224" i="8" s="1"/>
  <c r="E224" i="8" s="1"/>
  <c r="C225" i="8"/>
  <c r="D225" i="8" s="1"/>
  <c r="E225" i="8" s="1"/>
  <c r="C226" i="8"/>
  <c r="D226" i="8" s="1"/>
  <c r="E226" i="8" s="1"/>
  <c r="C227" i="8"/>
  <c r="D227" i="8" s="1"/>
  <c r="E227" i="8" s="1"/>
  <c r="C228" i="8"/>
  <c r="D228" i="8" s="1"/>
  <c r="E228" i="8" s="1"/>
  <c r="C229" i="8"/>
  <c r="D229" i="8" s="1"/>
  <c r="E229" i="8" s="1"/>
  <c r="C230" i="8"/>
  <c r="D230" i="8" s="1"/>
  <c r="E230" i="8" s="1"/>
  <c r="C231" i="8"/>
  <c r="D231" i="8" s="1"/>
  <c r="E231" i="8" s="1"/>
  <c r="C232" i="8"/>
  <c r="D232" i="8" s="1"/>
  <c r="E232" i="8" s="1"/>
  <c r="C233" i="8"/>
  <c r="D233" i="8" s="1"/>
  <c r="E233" i="8" s="1"/>
  <c r="C234" i="8"/>
  <c r="D234" i="8" s="1"/>
  <c r="E234" i="8" s="1"/>
  <c r="C235" i="8"/>
  <c r="D235" i="8" s="1"/>
  <c r="E235" i="8" s="1"/>
  <c r="C236" i="8"/>
  <c r="D236" i="8" s="1"/>
  <c r="E236" i="8" s="1"/>
  <c r="C237" i="8"/>
  <c r="D237" i="8" s="1"/>
  <c r="E237" i="8" s="1"/>
  <c r="C238" i="8"/>
  <c r="D238" i="8" s="1"/>
  <c r="E238" i="8" s="1"/>
  <c r="C239" i="8"/>
  <c r="D239" i="8" s="1"/>
  <c r="E239" i="8" s="1"/>
  <c r="C240" i="8"/>
  <c r="D240" i="8" s="1"/>
  <c r="E240" i="8" s="1"/>
  <c r="C241" i="8"/>
  <c r="D241" i="8" s="1"/>
  <c r="E241" i="8" s="1"/>
  <c r="C242" i="8"/>
  <c r="D242" i="8" s="1"/>
  <c r="E242" i="8" s="1"/>
  <c r="C243" i="8"/>
  <c r="D243" i="8" s="1"/>
  <c r="E243" i="8" s="1"/>
  <c r="C244" i="8"/>
  <c r="D244" i="8" s="1"/>
  <c r="E244" i="8" s="1"/>
  <c r="C245" i="8"/>
  <c r="D245" i="8" s="1"/>
  <c r="E245" i="8" s="1"/>
  <c r="C246" i="8"/>
  <c r="D246" i="8" s="1"/>
  <c r="E246" i="8" s="1"/>
  <c r="C247" i="8"/>
  <c r="D247" i="8" s="1"/>
  <c r="E247" i="8" s="1"/>
  <c r="C248" i="8"/>
  <c r="D248" i="8" s="1"/>
  <c r="E248" i="8" s="1"/>
  <c r="C249" i="8"/>
  <c r="D249" i="8" s="1"/>
  <c r="E249" i="8" s="1"/>
  <c r="C250" i="8"/>
  <c r="D250" i="8" s="1"/>
  <c r="E250" i="8" s="1"/>
  <c r="C251" i="8"/>
  <c r="D251" i="8" s="1"/>
  <c r="E251" i="8" s="1"/>
  <c r="C252" i="8"/>
  <c r="D252" i="8" s="1"/>
  <c r="E252" i="8" s="1"/>
  <c r="C253" i="8"/>
  <c r="D253" i="8" s="1"/>
  <c r="E253" i="8" s="1"/>
  <c r="C254" i="8"/>
  <c r="D254" i="8" s="1"/>
  <c r="E254" i="8" s="1"/>
  <c r="C255" i="8"/>
  <c r="D255" i="8" s="1"/>
  <c r="E255" i="8" s="1"/>
  <c r="C256" i="8"/>
  <c r="D256" i="8" s="1"/>
  <c r="E256" i="8" s="1"/>
  <c r="C257" i="8"/>
  <c r="D257" i="8" s="1"/>
  <c r="E257" i="8" s="1"/>
  <c r="C258" i="8"/>
  <c r="D258" i="8" s="1"/>
  <c r="E258" i="8" s="1"/>
  <c r="C259" i="8"/>
  <c r="D259" i="8" s="1"/>
  <c r="E259" i="8" s="1"/>
  <c r="C260" i="8"/>
  <c r="D260" i="8" s="1"/>
  <c r="E260" i="8" s="1"/>
  <c r="C261" i="8"/>
  <c r="D261" i="8" s="1"/>
  <c r="E261" i="8" s="1"/>
  <c r="C262" i="8"/>
  <c r="D262" i="8" s="1"/>
  <c r="E262" i="8" s="1"/>
  <c r="C263" i="8"/>
  <c r="D263" i="8" s="1"/>
  <c r="E263" i="8" s="1"/>
  <c r="C264" i="8"/>
  <c r="D264" i="8" s="1"/>
  <c r="E264" i="8" s="1"/>
  <c r="C265" i="8"/>
  <c r="D265" i="8" s="1"/>
  <c r="E265" i="8" s="1"/>
  <c r="C266" i="8"/>
  <c r="D266" i="8" s="1"/>
  <c r="E266" i="8" s="1"/>
  <c r="C267" i="8"/>
  <c r="D267" i="8" s="1"/>
  <c r="E267" i="8" s="1"/>
  <c r="C268" i="8"/>
  <c r="D268" i="8" s="1"/>
  <c r="E268" i="8" s="1"/>
  <c r="C269" i="8"/>
  <c r="D269" i="8" s="1"/>
  <c r="E269" i="8" s="1"/>
  <c r="C270" i="8"/>
  <c r="D270" i="8" s="1"/>
  <c r="E270" i="8" s="1"/>
  <c r="C271" i="8"/>
  <c r="D271" i="8" s="1"/>
  <c r="E271" i="8" s="1"/>
  <c r="C272" i="8"/>
  <c r="D272" i="8" s="1"/>
  <c r="E272" i="8" s="1"/>
  <c r="C273" i="8"/>
  <c r="D273" i="8" s="1"/>
  <c r="E273" i="8" s="1"/>
  <c r="C274" i="8"/>
  <c r="D274" i="8" s="1"/>
  <c r="E274" i="8" s="1"/>
  <c r="C275" i="8"/>
  <c r="D275" i="8" s="1"/>
  <c r="E275" i="8" s="1"/>
  <c r="C276" i="8"/>
  <c r="D276" i="8" s="1"/>
  <c r="E276" i="8" s="1"/>
  <c r="C277" i="8"/>
  <c r="D277" i="8" s="1"/>
  <c r="E277" i="8" s="1"/>
  <c r="C278" i="8"/>
  <c r="D278" i="8" s="1"/>
  <c r="E278" i="8" s="1"/>
  <c r="C279" i="8"/>
  <c r="D279" i="8" s="1"/>
  <c r="E279" i="8" s="1"/>
  <c r="C280" i="8"/>
  <c r="D280" i="8" s="1"/>
  <c r="E280" i="8" s="1"/>
  <c r="C281" i="8"/>
  <c r="D281" i="8" s="1"/>
  <c r="E281" i="8" s="1"/>
  <c r="C282" i="8"/>
  <c r="D282" i="8" s="1"/>
  <c r="E282" i="8" s="1"/>
  <c r="C283" i="8"/>
  <c r="D283" i="8" s="1"/>
  <c r="E283" i="8" s="1"/>
  <c r="C284" i="8"/>
  <c r="D284" i="8" s="1"/>
  <c r="E284" i="8" s="1"/>
  <c r="C285" i="8"/>
  <c r="D285" i="8" s="1"/>
  <c r="E285" i="8" s="1"/>
  <c r="C286" i="8"/>
  <c r="D286" i="8" s="1"/>
  <c r="E286" i="8" s="1"/>
  <c r="C287" i="8"/>
  <c r="D287" i="8" s="1"/>
  <c r="E287" i="8" s="1"/>
  <c r="C288" i="8"/>
  <c r="D288" i="8" s="1"/>
  <c r="E288" i="8" s="1"/>
  <c r="C289" i="8"/>
  <c r="D289" i="8" s="1"/>
  <c r="E289" i="8" s="1"/>
  <c r="C290" i="8"/>
  <c r="D290" i="8" s="1"/>
  <c r="E290" i="8" s="1"/>
  <c r="C291" i="8"/>
  <c r="D291" i="8" s="1"/>
  <c r="E291" i="8" s="1"/>
  <c r="C292" i="8"/>
  <c r="D292" i="8" s="1"/>
  <c r="E292" i="8" s="1"/>
  <c r="C293" i="8"/>
  <c r="D293" i="8" s="1"/>
  <c r="E293" i="8" s="1"/>
  <c r="C294" i="8"/>
  <c r="D294" i="8" s="1"/>
  <c r="E294" i="8" s="1"/>
  <c r="C295" i="8"/>
  <c r="D295" i="8" s="1"/>
  <c r="E295" i="8" s="1"/>
  <c r="C296" i="8"/>
  <c r="D296" i="8" s="1"/>
  <c r="E296" i="8" s="1"/>
  <c r="C297" i="8"/>
  <c r="D297" i="8" s="1"/>
  <c r="E297" i="8" s="1"/>
  <c r="C298" i="8"/>
  <c r="D298" i="8" s="1"/>
  <c r="E298" i="8" s="1"/>
  <c r="C299" i="8"/>
  <c r="D299" i="8" s="1"/>
  <c r="E299" i="8" s="1"/>
  <c r="C300" i="8"/>
  <c r="D300" i="8" s="1"/>
  <c r="E300" i="8" s="1"/>
  <c r="C301" i="8"/>
  <c r="D301" i="8" s="1"/>
  <c r="E301" i="8" s="1"/>
  <c r="C302" i="8"/>
  <c r="D302" i="8" s="1"/>
  <c r="E302" i="8" s="1"/>
  <c r="C303" i="8"/>
  <c r="D303" i="8" s="1"/>
  <c r="E303" i="8" s="1"/>
  <c r="C304" i="8"/>
  <c r="D304" i="8" s="1"/>
  <c r="E304" i="8" s="1"/>
  <c r="C305" i="8"/>
  <c r="D305" i="8" s="1"/>
  <c r="E305" i="8" s="1"/>
  <c r="C306" i="8"/>
  <c r="D306" i="8" s="1"/>
  <c r="E306" i="8" s="1"/>
  <c r="C307" i="8"/>
  <c r="D307" i="8" s="1"/>
  <c r="E307" i="8" s="1"/>
  <c r="C308" i="8"/>
  <c r="D308" i="8" s="1"/>
  <c r="E308" i="8" s="1"/>
  <c r="C309" i="8"/>
  <c r="D309" i="8" s="1"/>
  <c r="E309" i="8" s="1"/>
  <c r="C310" i="8"/>
  <c r="D310" i="8" s="1"/>
  <c r="E310" i="8" s="1"/>
  <c r="C311" i="8"/>
  <c r="D311" i="8" s="1"/>
  <c r="E311" i="8" s="1"/>
  <c r="C312" i="8"/>
  <c r="D312" i="8" s="1"/>
  <c r="E312" i="8" s="1"/>
  <c r="C313" i="8"/>
  <c r="D313" i="8" s="1"/>
  <c r="E313" i="8" s="1"/>
  <c r="C314" i="8"/>
  <c r="D314" i="8" s="1"/>
  <c r="E314" i="8" s="1"/>
  <c r="C315" i="8"/>
  <c r="D315" i="8" s="1"/>
  <c r="E315" i="8" s="1"/>
  <c r="C316" i="8"/>
  <c r="D316" i="8" s="1"/>
  <c r="E316" i="8" s="1"/>
  <c r="C317" i="8"/>
  <c r="D317" i="8" s="1"/>
  <c r="E317" i="8" s="1"/>
  <c r="C318" i="8"/>
  <c r="D318" i="8" s="1"/>
  <c r="E318" i="8" s="1"/>
  <c r="C319" i="8"/>
  <c r="D319" i="8" s="1"/>
  <c r="E319" i="8" s="1"/>
  <c r="C320" i="8"/>
  <c r="D320" i="8" s="1"/>
  <c r="E320" i="8" s="1"/>
  <c r="C321" i="8"/>
  <c r="D321" i="8" s="1"/>
  <c r="E321" i="8" s="1"/>
  <c r="C322" i="8"/>
  <c r="D322" i="8" s="1"/>
  <c r="E322" i="8" s="1"/>
  <c r="C323" i="8"/>
  <c r="D323" i="8" s="1"/>
  <c r="E323" i="8" s="1"/>
  <c r="C324" i="8"/>
  <c r="D324" i="8" s="1"/>
  <c r="E324" i="8" s="1"/>
  <c r="C325" i="8"/>
  <c r="D325" i="8" s="1"/>
  <c r="E325" i="8" s="1"/>
  <c r="C326" i="8"/>
  <c r="D326" i="8" s="1"/>
  <c r="E326" i="8" s="1"/>
  <c r="C327" i="8"/>
  <c r="D327" i="8" s="1"/>
  <c r="E327" i="8" s="1"/>
  <c r="C328" i="8"/>
  <c r="D328" i="8" s="1"/>
  <c r="E328" i="8" s="1"/>
  <c r="C329" i="8"/>
  <c r="D329" i="8" s="1"/>
  <c r="E329" i="8" s="1"/>
  <c r="C330" i="8"/>
  <c r="D330" i="8" s="1"/>
  <c r="E330" i="8" s="1"/>
  <c r="C331" i="8"/>
  <c r="D331" i="8" s="1"/>
  <c r="E331" i="8" s="1"/>
  <c r="C332" i="8"/>
  <c r="D332" i="8" s="1"/>
  <c r="E332" i="8" s="1"/>
  <c r="C333" i="8"/>
  <c r="D333" i="8" s="1"/>
  <c r="E333" i="8" s="1"/>
  <c r="C334" i="8"/>
  <c r="D334" i="8" s="1"/>
  <c r="E334" i="8" s="1"/>
  <c r="C335" i="8"/>
  <c r="D335" i="8" s="1"/>
  <c r="E335" i="8" s="1"/>
  <c r="C336" i="8"/>
  <c r="D336" i="8" s="1"/>
  <c r="E336" i="8" s="1"/>
  <c r="C337" i="8"/>
  <c r="D337" i="8" s="1"/>
  <c r="E337" i="8" s="1"/>
  <c r="C338" i="8"/>
  <c r="D338" i="8" s="1"/>
  <c r="E338" i="8" s="1"/>
  <c r="C339" i="8"/>
  <c r="D339" i="8" s="1"/>
  <c r="E339" i="8" s="1"/>
  <c r="C340" i="8"/>
  <c r="D340" i="8" s="1"/>
  <c r="E340" i="8" s="1"/>
  <c r="C341" i="8"/>
  <c r="D341" i="8" s="1"/>
  <c r="E341" i="8" s="1"/>
  <c r="C342" i="8"/>
  <c r="D342" i="8" s="1"/>
  <c r="E342" i="8" s="1"/>
  <c r="C343" i="8"/>
  <c r="D343" i="8" s="1"/>
  <c r="E343" i="8" s="1"/>
  <c r="C344" i="8"/>
  <c r="D344" i="8" s="1"/>
  <c r="E344" i="8" s="1"/>
  <c r="C345" i="8"/>
  <c r="D345" i="8" s="1"/>
  <c r="E345" i="8" s="1"/>
  <c r="C346" i="8"/>
  <c r="D346" i="8" s="1"/>
  <c r="E346" i="8" s="1"/>
  <c r="C347" i="8"/>
  <c r="D347" i="8" s="1"/>
  <c r="E347" i="8" s="1"/>
  <c r="C348" i="8"/>
  <c r="D348" i="8" s="1"/>
  <c r="E348" i="8" s="1"/>
  <c r="C349" i="8"/>
  <c r="D349" i="8" s="1"/>
  <c r="E349" i="8" s="1"/>
  <c r="C350" i="8"/>
  <c r="D350" i="8" s="1"/>
  <c r="E350" i="8" s="1"/>
  <c r="C351" i="8"/>
  <c r="D351" i="8" s="1"/>
  <c r="E351" i="8" s="1"/>
  <c r="C352" i="8"/>
  <c r="D352" i="8" s="1"/>
  <c r="E352" i="8" s="1"/>
  <c r="C353" i="8"/>
  <c r="D353" i="8" s="1"/>
  <c r="E353" i="8" s="1"/>
  <c r="C354" i="8"/>
  <c r="D354" i="8" s="1"/>
  <c r="E354" i="8" s="1"/>
  <c r="C355" i="8"/>
  <c r="D355" i="8" s="1"/>
  <c r="E355" i="8" s="1"/>
  <c r="C356" i="8"/>
  <c r="D356" i="8" s="1"/>
  <c r="E356" i="8" s="1"/>
  <c r="C357" i="8"/>
  <c r="D357" i="8" s="1"/>
  <c r="E357" i="8" s="1"/>
  <c r="C358" i="8"/>
  <c r="D358" i="8" s="1"/>
  <c r="E358" i="8" s="1"/>
  <c r="C359" i="8"/>
  <c r="D359" i="8" s="1"/>
  <c r="E359" i="8" s="1"/>
  <c r="C360" i="8"/>
  <c r="D360" i="8" s="1"/>
  <c r="E360" i="8" s="1"/>
  <c r="C361" i="8"/>
  <c r="D361" i="8" s="1"/>
  <c r="E361" i="8" s="1"/>
  <c r="C362" i="8"/>
  <c r="D362" i="8" s="1"/>
  <c r="E362" i="8" s="1"/>
  <c r="C363" i="8"/>
  <c r="D363" i="8" s="1"/>
  <c r="E363" i="8" s="1"/>
  <c r="C364" i="8"/>
  <c r="D364" i="8" s="1"/>
  <c r="E364" i="8" s="1"/>
  <c r="C365" i="8"/>
  <c r="D365" i="8" s="1"/>
  <c r="E365" i="8" s="1"/>
  <c r="C366" i="8"/>
  <c r="D366" i="8" s="1"/>
  <c r="E366" i="8" s="1"/>
  <c r="C367" i="8"/>
  <c r="D367" i="8" s="1"/>
  <c r="E367" i="8" s="1"/>
  <c r="C368" i="8"/>
  <c r="D368" i="8" s="1"/>
  <c r="E368" i="8" s="1"/>
  <c r="C369" i="8"/>
  <c r="D369" i="8" s="1"/>
  <c r="E369" i="8" s="1"/>
  <c r="C370" i="8"/>
  <c r="D370" i="8" s="1"/>
  <c r="E370" i="8" s="1"/>
  <c r="C371" i="8"/>
  <c r="D371" i="8" s="1"/>
  <c r="E371" i="8" s="1"/>
  <c r="C372" i="8"/>
  <c r="D372" i="8" s="1"/>
  <c r="E372" i="8" s="1"/>
  <c r="C373" i="8"/>
  <c r="D373" i="8" s="1"/>
  <c r="E373" i="8" s="1"/>
  <c r="C374" i="8"/>
  <c r="D374" i="8" s="1"/>
  <c r="E374" i="8" s="1"/>
  <c r="C375" i="8"/>
  <c r="D375" i="8" s="1"/>
  <c r="E375" i="8" s="1"/>
  <c r="C376" i="8"/>
  <c r="D376" i="8" s="1"/>
  <c r="E376" i="8" s="1"/>
  <c r="C377" i="8"/>
  <c r="D377" i="8" s="1"/>
  <c r="E377" i="8" s="1"/>
  <c r="C378" i="8"/>
  <c r="D378" i="8" s="1"/>
  <c r="E378" i="8" s="1"/>
  <c r="C379" i="8"/>
  <c r="D379" i="8" s="1"/>
  <c r="E379" i="8" s="1"/>
  <c r="C380" i="8"/>
  <c r="D380" i="8" s="1"/>
  <c r="E380" i="8" s="1"/>
  <c r="C381" i="8"/>
  <c r="D381" i="8" s="1"/>
  <c r="E381" i="8" s="1"/>
  <c r="C382" i="8"/>
  <c r="D382" i="8" s="1"/>
  <c r="E382" i="8" s="1"/>
  <c r="C383" i="8"/>
  <c r="D383" i="8" s="1"/>
  <c r="E383" i="8" s="1"/>
  <c r="C384" i="8"/>
  <c r="D384" i="8" s="1"/>
  <c r="E384" i="8" s="1"/>
  <c r="C385" i="8"/>
  <c r="D385" i="8" s="1"/>
  <c r="E385" i="8" s="1"/>
  <c r="C386" i="8"/>
  <c r="D386" i="8" s="1"/>
  <c r="E386" i="8" s="1"/>
  <c r="C387" i="8"/>
  <c r="D387" i="8" s="1"/>
  <c r="E387" i="8" s="1"/>
  <c r="C388" i="8"/>
  <c r="D388" i="8" s="1"/>
  <c r="E388" i="8" s="1"/>
  <c r="C389" i="8"/>
  <c r="D389" i="8" s="1"/>
  <c r="E389" i="8" s="1"/>
  <c r="C390" i="8"/>
  <c r="D390" i="8" s="1"/>
  <c r="E390" i="8" s="1"/>
  <c r="C391" i="8"/>
  <c r="D391" i="8" s="1"/>
  <c r="E391" i="8" s="1"/>
  <c r="C392" i="8"/>
  <c r="D392" i="8" s="1"/>
  <c r="E392" i="8" s="1"/>
  <c r="C393" i="8"/>
  <c r="D393" i="8" s="1"/>
  <c r="E393" i="8" s="1"/>
  <c r="C394" i="8"/>
  <c r="D394" i="8" s="1"/>
  <c r="E394" i="8" s="1"/>
  <c r="C395" i="8"/>
  <c r="D395" i="8" s="1"/>
  <c r="E395" i="8" s="1"/>
  <c r="C396" i="8"/>
  <c r="D396" i="8" s="1"/>
  <c r="E396" i="8" s="1"/>
  <c r="C397" i="8"/>
  <c r="D397" i="8" s="1"/>
  <c r="E397" i="8" s="1"/>
  <c r="C398" i="8"/>
  <c r="D398" i="8" s="1"/>
  <c r="E398" i="8" s="1"/>
  <c r="C399" i="8"/>
  <c r="D399" i="8" s="1"/>
  <c r="E399" i="8" s="1"/>
  <c r="C400" i="8"/>
  <c r="D400" i="8" s="1"/>
  <c r="E400" i="8" s="1"/>
  <c r="C401" i="8"/>
  <c r="D401" i="8" s="1"/>
  <c r="E401" i="8" s="1"/>
  <c r="C402" i="8"/>
  <c r="D402" i="8" s="1"/>
  <c r="E402" i="8" s="1"/>
  <c r="C403" i="8"/>
  <c r="D403" i="8" s="1"/>
  <c r="E403" i="8" s="1"/>
  <c r="C404" i="8"/>
  <c r="D404" i="8" s="1"/>
  <c r="E404" i="8" s="1"/>
  <c r="C405" i="8"/>
  <c r="D405" i="8" s="1"/>
  <c r="E405" i="8" s="1"/>
  <c r="C406" i="8"/>
  <c r="D406" i="8" s="1"/>
  <c r="E406" i="8" s="1"/>
  <c r="C407" i="8"/>
  <c r="D407" i="8" s="1"/>
  <c r="E407" i="8" s="1"/>
  <c r="C408" i="8"/>
  <c r="D408" i="8" s="1"/>
  <c r="E408" i="8" s="1"/>
  <c r="C409" i="8"/>
  <c r="D409" i="8" s="1"/>
  <c r="E409" i="8" s="1"/>
  <c r="C410" i="8"/>
  <c r="D410" i="8" s="1"/>
  <c r="E410" i="8" s="1"/>
  <c r="C411" i="8"/>
  <c r="D411" i="8" s="1"/>
  <c r="E411" i="8" s="1"/>
  <c r="C412" i="8"/>
  <c r="D412" i="8" s="1"/>
  <c r="E412" i="8" s="1"/>
  <c r="C413" i="8"/>
  <c r="D413" i="8" s="1"/>
  <c r="E413" i="8" s="1"/>
  <c r="C414" i="8"/>
  <c r="D414" i="8" s="1"/>
  <c r="E414" i="8" s="1"/>
  <c r="C415" i="8"/>
  <c r="D415" i="8" s="1"/>
  <c r="E415" i="8" s="1"/>
  <c r="C416" i="8"/>
  <c r="D416" i="8" s="1"/>
  <c r="E416" i="8" s="1"/>
  <c r="C417" i="8"/>
  <c r="D417" i="8" s="1"/>
  <c r="E417" i="8" s="1"/>
  <c r="C418" i="8"/>
  <c r="D418" i="8" s="1"/>
  <c r="E418" i="8" s="1"/>
  <c r="C419" i="8"/>
  <c r="D419" i="8" s="1"/>
  <c r="E419" i="8" s="1"/>
  <c r="C420" i="8"/>
  <c r="D420" i="8" s="1"/>
  <c r="E420" i="8" s="1"/>
  <c r="C421" i="8"/>
  <c r="D421" i="8" s="1"/>
  <c r="E421" i="8" s="1"/>
  <c r="C422" i="8"/>
  <c r="D422" i="8" s="1"/>
  <c r="E422" i="8" s="1"/>
  <c r="C423" i="8"/>
  <c r="D423" i="8" s="1"/>
  <c r="E423" i="8" s="1"/>
  <c r="C424" i="8"/>
  <c r="D424" i="8" s="1"/>
  <c r="E424" i="8" s="1"/>
  <c r="C425" i="8"/>
  <c r="D425" i="8" s="1"/>
  <c r="E425" i="8" s="1"/>
  <c r="C426" i="8"/>
  <c r="D426" i="8" s="1"/>
  <c r="E426" i="8" s="1"/>
  <c r="C427" i="8"/>
  <c r="D427" i="8" s="1"/>
  <c r="E427" i="8" s="1"/>
  <c r="C428" i="8"/>
  <c r="D428" i="8" s="1"/>
  <c r="E428" i="8" s="1"/>
  <c r="C429" i="8"/>
  <c r="D429" i="8" s="1"/>
  <c r="E429" i="8" s="1"/>
  <c r="C430" i="8"/>
  <c r="D430" i="8" s="1"/>
  <c r="E430" i="8" s="1"/>
  <c r="C431" i="8"/>
  <c r="D431" i="8" s="1"/>
  <c r="E431" i="8" s="1"/>
  <c r="C432" i="8"/>
  <c r="D432" i="8" s="1"/>
  <c r="E432" i="8" s="1"/>
  <c r="C433" i="8"/>
  <c r="D433" i="8" s="1"/>
  <c r="E433" i="8" s="1"/>
  <c r="C434" i="8"/>
  <c r="D434" i="8" s="1"/>
  <c r="E434" i="8" s="1"/>
  <c r="C435" i="8"/>
  <c r="D435" i="8" s="1"/>
  <c r="E435" i="8" s="1"/>
  <c r="C436" i="8"/>
  <c r="D436" i="8" s="1"/>
  <c r="E436" i="8" s="1"/>
  <c r="C437" i="8"/>
  <c r="D437" i="8" s="1"/>
  <c r="E437" i="8" s="1"/>
  <c r="C438" i="8"/>
  <c r="D438" i="8" s="1"/>
  <c r="E438" i="8" s="1"/>
  <c r="C439" i="8"/>
  <c r="D439" i="8" s="1"/>
  <c r="E439" i="8" s="1"/>
  <c r="C440" i="8"/>
  <c r="D440" i="8" s="1"/>
  <c r="E440" i="8" s="1"/>
  <c r="C441" i="8"/>
  <c r="D441" i="8" s="1"/>
  <c r="E441" i="8" s="1"/>
  <c r="C442" i="8"/>
  <c r="D442" i="8" s="1"/>
  <c r="E442" i="8" s="1"/>
  <c r="C443" i="8"/>
  <c r="D443" i="8" s="1"/>
  <c r="E443" i="8" s="1"/>
  <c r="C444" i="8"/>
  <c r="D444" i="8" s="1"/>
  <c r="E444" i="8" s="1"/>
  <c r="C445" i="8"/>
  <c r="D445" i="8" s="1"/>
  <c r="E445" i="8" s="1"/>
  <c r="C446" i="8"/>
  <c r="D446" i="8" s="1"/>
  <c r="E446" i="8" s="1"/>
  <c r="C447" i="8"/>
  <c r="D447" i="8" s="1"/>
  <c r="E447" i="8" s="1"/>
  <c r="C448" i="8"/>
  <c r="D448" i="8" s="1"/>
  <c r="E448" i="8" s="1"/>
  <c r="C449" i="8"/>
  <c r="D449" i="8" s="1"/>
  <c r="E449" i="8" s="1"/>
  <c r="C450" i="8"/>
  <c r="D450" i="8" s="1"/>
  <c r="E450" i="8" s="1"/>
  <c r="C451" i="8"/>
  <c r="D451" i="8" s="1"/>
  <c r="E451" i="8" s="1"/>
  <c r="C452" i="8"/>
  <c r="D452" i="8" s="1"/>
  <c r="E452" i="8" s="1"/>
  <c r="C453" i="8"/>
  <c r="D453" i="8" s="1"/>
  <c r="E453" i="8" s="1"/>
  <c r="C454" i="8"/>
  <c r="D454" i="8" s="1"/>
  <c r="E454" i="8" s="1"/>
  <c r="C455" i="8"/>
  <c r="D455" i="8" s="1"/>
  <c r="E455" i="8" s="1"/>
  <c r="C456" i="8"/>
  <c r="D456" i="8" s="1"/>
  <c r="E456" i="8" s="1"/>
  <c r="C457" i="8"/>
  <c r="D457" i="8" s="1"/>
  <c r="E457" i="8" s="1"/>
  <c r="C458" i="8"/>
  <c r="D458" i="8" s="1"/>
  <c r="E458" i="8" s="1"/>
  <c r="C459" i="8"/>
  <c r="D459" i="8" s="1"/>
  <c r="E459" i="8" s="1"/>
  <c r="C460" i="8"/>
  <c r="D460" i="8" s="1"/>
  <c r="E460" i="8" s="1"/>
  <c r="C461" i="8"/>
  <c r="D461" i="8" s="1"/>
  <c r="E461" i="8" s="1"/>
  <c r="C462" i="8"/>
  <c r="D462" i="8" s="1"/>
  <c r="E462" i="8" s="1"/>
  <c r="C463" i="8"/>
  <c r="D463" i="8" s="1"/>
  <c r="E463" i="8" s="1"/>
  <c r="C464" i="8"/>
  <c r="D464" i="8" s="1"/>
  <c r="E464" i="8" s="1"/>
  <c r="C465" i="8"/>
  <c r="D465" i="8" s="1"/>
  <c r="E465" i="8" s="1"/>
  <c r="C466" i="8"/>
  <c r="D466" i="8" s="1"/>
  <c r="E466" i="8" s="1"/>
  <c r="C467" i="8"/>
  <c r="D467" i="8" s="1"/>
  <c r="E467" i="8" s="1"/>
  <c r="C468" i="8"/>
  <c r="D468" i="8" s="1"/>
  <c r="E468" i="8" s="1"/>
  <c r="C469" i="8"/>
  <c r="D469" i="8" s="1"/>
  <c r="E469" i="8" s="1"/>
  <c r="C470" i="8"/>
  <c r="D470" i="8" s="1"/>
  <c r="E470" i="8" s="1"/>
  <c r="C471" i="8"/>
  <c r="D471" i="8" s="1"/>
  <c r="E471" i="8" s="1"/>
  <c r="C472" i="8"/>
  <c r="D472" i="8" s="1"/>
  <c r="E472" i="8" s="1"/>
  <c r="C473" i="8"/>
  <c r="D473" i="8" s="1"/>
  <c r="E473" i="8" s="1"/>
  <c r="C474" i="8"/>
  <c r="D474" i="8" s="1"/>
  <c r="E474" i="8" s="1"/>
  <c r="C475" i="8"/>
  <c r="D475" i="8" s="1"/>
  <c r="E475" i="8" s="1"/>
  <c r="C476" i="8"/>
  <c r="D476" i="8" s="1"/>
  <c r="E476" i="8" s="1"/>
  <c r="C477" i="8"/>
  <c r="D477" i="8" s="1"/>
  <c r="E477" i="8" s="1"/>
  <c r="C478" i="8"/>
  <c r="D478" i="8" s="1"/>
  <c r="E478" i="8" s="1"/>
  <c r="C479" i="8"/>
  <c r="D479" i="8" s="1"/>
  <c r="E479" i="8" s="1"/>
  <c r="C480" i="8"/>
  <c r="D480" i="8" s="1"/>
  <c r="E480" i="8" s="1"/>
  <c r="C481" i="8"/>
  <c r="D481" i="8" s="1"/>
  <c r="E481" i="8" s="1"/>
  <c r="C482" i="8"/>
  <c r="D482" i="8" s="1"/>
  <c r="E482" i="8" s="1"/>
  <c r="C483" i="8"/>
  <c r="D483" i="8" s="1"/>
  <c r="E483" i="8" s="1"/>
  <c r="C484" i="8"/>
  <c r="D484" i="8" s="1"/>
  <c r="E484" i="8" s="1"/>
  <c r="C485" i="8"/>
  <c r="D485" i="8" s="1"/>
  <c r="E485" i="8" s="1"/>
  <c r="C486" i="8"/>
  <c r="D486" i="8" s="1"/>
  <c r="E486" i="8" s="1"/>
  <c r="C487" i="8"/>
  <c r="D487" i="8" s="1"/>
  <c r="E487" i="8" s="1"/>
  <c r="C488" i="8"/>
  <c r="D488" i="8" s="1"/>
  <c r="E488" i="8" s="1"/>
  <c r="C489" i="8"/>
  <c r="D489" i="8" s="1"/>
  <c r="E489" i="8" s="1"/>
  <c r="C490" i="8"/>
  <c r="D490" i="8" s="1"/>
  <c r="E490" i="8" s="1"/>
  <c r="C491" i="8"/>
  <c r="D491" i="8" s="1"/>
  <c r="E491" i="8" s="1"/>
  <c r="C492" i="8"/>
  <c r="D492" i="8" s="1"/>
  <c r="E492" i="8" s="1"/>
  <c r="C493" i="8"/>
  <c r="D493" i="8" s="1"/>
  <c r="E493" i="8" s="1"/>
  <c r="C494" i="8"/>
  <c r="D494" i="8" s="1"/>
  <c r="E494" i="8" s="1"/>
  <c r="C495" i="8"/>
  <c r="D495" i="8" s="1"/>
  <c r="E495" i="8" s="1"/>
  <c r="C496" i="8"/>
  <c r="D496" i="8" s="1"/>
  <c r="E496" i="8" s="1"/>
  <c r="C497" i="8"/>
  <c r="D497" i="8" s="1"/>
  <c r="E497" i="8" s="1"/>
  <c r="C498" i="8"/>
  <c r="D498" i="8" s="1"/>
  <c r="E498" i="8" s="1"/>
  <c r="C499" i="8"/>
  <c r="D499" i="8" s="1"/>
  <c r="E499" i="8" s="1"/>
  <c r="C500" i="8"/>
  <c r="D500" i="8" s="1"/>
  <c r="E500" i="8" s="1"/>
  <c r="C501" i="8"/>
  <c r="D501" i="8" s="1"/>
  <c r="E501" i="8" s="1"/>
  <c r="C502" i="8"/>
  <c r="D502" i="8" s="1"/>
  <c r="E502" i="8" s="1"/>
  <c r="C503" i="8"/>
  <c r="D503" i="8" s="1"/>
  <c r="E503" i="8" s="1"/>
  <c r="C504" i="8"/>
  <c r="D504" i="8" s="1"/>
  <c r="E504" i="8" s="1"/>
  <c r="C505" i="8"/>
  <c r="D505" i="8" s="1"/>
  <c r="E505" i="8" s="1"/>
  <c r="C506" i="8"/>
  <c r="D506" i="8" s="1"/>
  <c r="E506" i="8" s="1"/>
  <c r="C507" i="8"/>
  <c r="D507" i="8" s="1"/>
  <c r="E507" i="8" s="1"/>
  <c r="C508" i="8"/>
  <c r="D508" i="8" s="1"/>
  <c r="E508" i="8" s="1"/>
  <c r="C509" i="8"/>
  <c r="D509" i="8" s="1"/>
  <c r="E509" i="8" s="1"/>
  <c r="C510" i="8"/>
  <c r="D510" i="8" s="1"/>
  <c r="E510" i="8" s="1"/>
  <c r="C511" i="8"/>
  <c r="D511" i="8" s="1"/>
  <c r="E511" i="8" s="1"/>
  <c r="C512" i="8"/>
  <c r="D512" i="8" s="1"/>
  <c r="E512" i="8" s="1"/>
  <c r="C513" i="8"/>
  <c r="D513" i="8" s="1"/>
  <c r="E513" i="8" s="1"/>
  <c r="C514" i="8"/>
  <c r="D514" i="8" s="1"/>
  <c r="E514" i="8" s="1"/>
  <c r="C515" i="8"/>
  <c r="D515" i="8" s="1"/>
  <c r="E515" i="8" s="1"/>
  <c r="C516" i="8"/>
  <c r="D516" i="8" s="1"/>
  <c r="E516" i="8" s="1"/>
  <c r="C517" i="8"/>
  <c r="D517" i="8" s="1"/>
  <c r="E517" i="8" s="1"/>
  <c r="C518" i="8"/>
  <c r="D518" i="8" s="1"/>
  <c r="E518" i="8" s="1"/>
  <c r="C519" i="8"/>
  <c r="D519" i="8" s="1"/>
  <c r="E519" i="8" s="1"/>
  <c r="C520" i="8"/>
  <c r="D520" i="8" s="1"/>
  <c r="E520" i="8" s="1"/>
  <c r="C521" i="8"/>
  <c r="D521" i="8" s="1"/>
  <c r="E521" i="8" s="1"/>
  <c r="C522" i="8"/>
  <c r="D522" i="8" s="1"/>
  <c r="E522" i="8" s="1"/>
  <c r="C523" i="8"/>
  <c r="D523" i="8" s="1"/>
  <c r="E523" i="8" s="1"/>
  <c r="C524" i="8"/>
  <c r="D524" i="8" s="1"/>
  <c r="E524" i="8" s="1"/>
  <c r="C525" i="8"/>
  <c r="D525" i="8" s="1"/>
  <c r="E525" i="8" s="1"/>
  <c r="C526" i="8"/>
  <c r="D526" i="8" s="1"/>
  <c r="E526" i="8" s="1"/>
  <c r="C527" i="8"/>
  <c r="D527" i="8" s="1"/>
  <c r="E527" i="8" s="1"/>
  <c r="C528" i="8"/>
  <c r="D528" i="8" s="1"/>
  <c r="E528" i="8" s="1"/>
  <c r="C529" i="8"/>
  <c r="D529" i="8" s="1"/>
  <c r="E529" i="8" s="1"/>
  <c r="C530" i="8"/>
  <c r="D530" i="8" s="1"/>
  <c r="E530" i="8" s="1"/>
  <c r="C531" i="8"/>
  <c r="D531" i="8" s="1"/>
  <c r="E531" i="8" s="1"/>
  <c r="C532" i="8"/>
  <c r="D532" i="8" s="1"/>
  <c r="E532" i="8" s="1"/>
  <c r="C533" i="8"/>
  <c r="D533" i="8" s="1"/>
  <c r="E533" i="8" s="1"/>
  <c r="C534" i="8"/>
  <c r="D534" i="8" s="1"/>
  <c r="E534" i="8" s="1"/>
  <c r="C535" i="8"/>
  <c r="D535" i="8" s="1"/>
  <c r="E535" i="8" s="1"/>
  <c r="C536" i="8"/>
  <c r="D536" i="8" s="1"/>
  <c r="E536" i="8" s="1"/>
  <c r="C537" i="8"/>
  <c r="D537" i="8" s="1"/>
  <c r="E537" i="8" s="1"/>
  <c r="C538" i="8"/>
  <c r="D538" i="8" s="1"/>
  <c r="E538" i="8" s="1"/>
  <c r="C539" i="8"/>
  <c r="D539" i="8" s="1"/>
  <c r="E539" i="8" s="1"/>
  <c r="C540" i="8"/>
  <c r="D540" i="8" s="1"/>
  <c r="E540" i="8" s="1"/>
  <c r="C541" i="8"/>
  <c r="D541" i="8" s="1"/>
  <c r="E541" i="8" s="1"/>
  <c r="C542" i="8"/>
  <c r="D542" i="8" s="1"/>
  <c r="E542" i="8" s="1"/>
  <c r="C543" i="8"/>
  <c r="D543" i="8" s="1"/>
  <c r="E543" i="8" s="1"/>
  <c r="C544" i="8"/>
  <c r="D544" i="8" s="1"/>
  <c r="E544" i="8" s="1"/>
  <c r="C545" i="8"/>
  <c r="D545" i="8" s="1"/>
  <c r="E545" i="8" s="1"/>
  <c r="C546" i="8"/>
  <c r="D546" i="8" s="1"/>
  <c r="E546" i="8" s="1"/>
  <c r="C547" i="8"/>
  <c r="D547" i="8" s="1"/>
  <c r="E547" i="8" s="1"/>
  <c r="C548" i="8"/>
  <c r="D548" i="8" s="1"/>
  <c r="E548" i="8" s="1"/>
  <c r="C549" i="8"/>
  <c r="D549" i="8" s="1"/>
  <c r="E549" i="8" s="1"/>
  <c r="C550" i="8"/>
  <c r="D550" i="8" s="1"/>
  <c r="E550" i="8" s="1"/>
  <c r="C551" i="8"/>
  <c r="D551" i="8" s="1"/>
  <c r="E551" i="8" s="1"/>
  <c r="C552" i="8"/>
  <c r="D552" i="8" s="1"/>
  <c r="E552" i="8" s="1"/>
  <c r="C553" i="8"/>
  <c r="D553" i="8" s="1"/>
  <c r="E553" i="8" s="1"/>
  <c r="C554" i="8"/>
  <c r="D554" i="8" s="1"/>
  <c r="E554" i="8" s="1"/>
  <c r="C555" i="8"/>
  <c r="D555" i="8" s="1"/>
  <c r="E555" i="8" s="1"/>
  <c r="C556" i="8"/>
  <c r="D556" i="8" s="1"/>
  <c r="E556" i="8" s="1"/>
  <c r="C557" i="8"/>
  <c r="D557" i="8" s="1"/>
  <c r="E557" i="8" s="1"/>
  <c r="C558" i="8"/>
  <c r="D558" i="8" s="1"/>
  <c r="E558" i="8" s="1"/>
  <c r="C559" i="8"/>
  <c r="D559" i="8" s="1"/>
  <c r="E559" i="8" s="1"/>
  <c r="C560" i="8"/>
  <c r="D560" i="8" s="1"/>
  <c r="E560" i="8" s="1"/>
  <c r="C561" i="8"/>
  <c r="D561" i="8" s="1"/>
  <c r="E561" i="8" s="1"/>
  <c r="C562" i="8"/>
  <c r="D562" i="8" s="1"/>
  <c r="E562" i="8" s="1"/>
  <c r="C563" i="8"/>
  <c r="D563" i="8" s="1"/>
  <c r="E563" i="8" s="1"/>
  <c r="C564" i="8"/>
  <c r="D564" i="8" s="1"/>
  <c r="E564" i="8" s="1"/>
  <c r="C565" i="8"/>
  <c r="D565" i="8" s="1"/>
  <c r="E565" i="8" s="1"/>
  <c r="C566" i="8"/>
  <c r="D566" i="8" s="1"/>
  <c r="E566" i="8" s="1"/>
  <c r="C567" i="8"/>
  <c r="D567" i="8" s="1"/>
  <c r="E567" i="8" s="1"/>
  <c r="C568" i="8"/>
  <c r="D568" i="8" s="1"/>
  <c r="E568" i="8" s="1"/>
  <c r="C569" i="8"/>
  <c r="D569" i="8" s="1"/>
  <c r="E569" i="8" s="1"/>
  <c r="C570" i="8"/>
  <c r="D570" i="8" s="1"/>
  <c r="E570" i="8" s="1"/>
  <c r="C571" i="8"/>
  <c r="D571" i="8" s="1"/>
  <c r="E571" i="8" s="1"/>
  <c r="C572" i="8"/>
  <c r="D572" i="8" s="1"/>
  <c r="E572" i="8" s="1"/>
  <c r="C573" i="8"/>
  <c r="D573" i="8" s="1"/>
  <c r="E573" i="8" s="1"/>
  <c r="C574" i="8"/>
  <c r="D574" i="8" s="1"/>
  <c r="E574" i="8" s="1"/>
  <c r="C575" i="8"/>
  <c r="D575" i="8" s="1"/>
  <c r="E575" i="8" s="1"/>
  <c r="C576" i="8"/>
  <c r="D576" i="8" s="1"/>
  <c r="E576" i="8" s="1"/>
  <c r="C577" i="8"/>
  <c r="D577" i="8" s="1"/>
  <c r="E577" i="8" s="1"/>
  <c r="C578" i="8"/>
  <c r="D578" i="8" s="1"/>
  <c r="E578" i="8" s="1"/>
  <c r="C579" i="8"/>
  <c r="D579" i="8" s="1"/>
  <c r="E579" i="8" s="1"/>
  <c r="C580" i="8"/>
  <c r="D580" i="8" s="1"/>
  <c r="E580" i="8" s="1"/>
  <c r="C581" i="8"/>
  <c r="D581" i="8" s="1"/>
  <c r="E581" i="8" s="1"/>
  <c r="C582" i="8"/>
  <c r="D582" i="8" s="1"/>
  <c r="E582" i="8" s="1"/>
  <c r="C583" i="8"/>
  <c r="D583" i="8" s="1"/>
  <c r="E583" i="8" s="1"/>
  <c r="C584" i="8"/>
  <c r="D584" i="8" s="1"/>
  <c r="E584" i="8" s="1"/>
  <c r="C585" i="8"/>
  <c r="D585" i="8" s="1"/>
  <c r="E585" i="8" s="1"/>
  <c r="C586" i="8"/>
  <c r="D586" i="8" s="1"/>
  <c r="E586" i="8" s="1"/>
  <c r="C587" i="8"/>
  <c r="D587" i="8" s="1"/>
  <c r="E587" i="8" s="1"/>
  <c r="C588" i="8"/>
  <c r="D588" i="8" s="1"/>
  <c r="E588" i="8" s="1"/>
  <c r="C589" i="8"/>
  <c r="D589" i="8" s="1"/>
  <c r="E589" i="8" s="1"/>
  <c r="C590" i="8"/>
  <c r="D590" i="8" s="1"/>
  <c r="E590" i="8" s="1"/>
  <c r="C591" i="8"/>
  <c r="D591" i="8" s="1"/>
  <c r="E591" i="8" s="1"/>
  <c r="C592" i="8"/>
  <c r="D592" i="8" s="1"/>
  <c r="E592" i="8" s="1"/>
  <c r="C593" i="8"/>
  <c r="D593" i="8" s="1"/>
  <c r="E593" i="8" s="1"/>
  <c r="C594" i="8"/>
  <c r="D594" i="8" s="1"/>
  <c r="E594" i="8" s="1"/>
  <c r="C595" i="8"/>
  <c r="D595" i="8" s="1"/>
  <c r="E595" i="8" s="1"/>
  <c r="C596" i="8"/>
  <c r="D596" i="8" s="1"/>
  <c r="E596" i="8" s="1"/>
  <c r="C597" i="8"/>
  <c r="D597" i="8" s="1"/>
  <c r="E597" i="8" s="1"/>
  <c r="C598" i="8"/>
  <c r="D598" i="8" s="1"/>
  <c r="E598" i="8" s="1"/>
  <c r="C599" i="8"/>
  <c r="D599" i="8" s="1"/>
  <c r="E599" i="8" s="1"/>
  <c r="C600" i="8"/>
  <c r="D600" i="8" s="1"/>
  <c r="E600" i="8" s="1"/>
  <c r="C601" i="8"/>
  <c r="D601" i="8" s="1"/>
  <c r="E601" i="8" s="1"/>
  <c r="C602" i="8"/>
  <c r="D602" i="8" s="1"/>
  <c r="E602" i="8" s="1"/>
  <c r="C603" i="8"/>
  <c r="D603" i="8" s="1"/>
  <c r="E603" i="8" s="1"/>
  <c r="C604" i="8"/>
  <c r="D604" i="8" s="1"/>
  <c r="E604" i="8" s="1"/>
  <c r="C605" i="8"/>
  <c r="D605" i="8" s="1"/>
  <c r="E605" i="8" s="1"/>
  <c r="C606" i="8"/>
  <c r="D606" i="8" s="1"/>
  <c r="E606" i="8" s="1"/>
  <c r="C607" i="8"/>
  <c r="D607" i="8" s="1"/>
  <c r="E607" i="8" s="1"/>
  <c r="C608" i="8"/>
  <c r="D608" i="8" s="1"/>
  <c r="E608" i="8" s="1"/>
  <c r="C609" i="8"/>
  <c r="D609" i="8" s="1"/>
  <c r="E609" i="8" s="1"/>
  <c r="C610" i="8"/>
  <c r="D610" i="8" s="1"/>
  <c r="E610" i="8" s="1"/>
  <c r="C611" i="8"/>
  <c r="D611" i="8" s="1"/>
  <c r="E611" i="8" s="1"/>
  <c r="C612" i="8"/>
  <c r="D612" i="8" s="1"/>
  <c r="E612" i="8" s="1"/>
  <c r="C613" i="8"/>
  <c r="D613" i="8" s="1"/>
  <c r="E613" i="8" s="1"/>
  <c r="C614" i="8"/>
  <c r="D614" i="8" s="1"/>
  <c r="E614" i="8" s="1"/>
  <c r="C615" i="8"/>
  <c r="D615" i="8" s="1"/>
  <c r="E615" i="8" s="1"/>
  <c r="C616" i="8"/>
  <c r="D616" i="8" s="1"/>
  <c r="E616" i="8" s="1"/>
  <c r="C617" i="8"/>
  <c r="D617" i="8" s="1"/>
  <c r="E617" i="8" s="1"/>
  <c r="C618" i="8"/>
  <c r="D618" i="8" s="1"/>
  <c r="E618" i="8" s="1"/>
  <c r="C619" i="8"/>
  <c r="D619" i="8" s="1"/>
  <c r="E619" i="8" s="1"/>
  <c r="C620" i="8"/>
  <c r="D620" i="8" s="1"/>
  <c r="E620" i="8" s="1"/>
  <c r="C621" i="8"/>
  <c r="D621" i="8" s="1"/>
  <c r="E621" i="8" s="1"/>
  <c r="C622" i="8"/>
  <c r="D622" i="8" s="1"/>
  <c r="E622" i="8" s="1"/>
  <c r="C623" i="8"/>
  <c r="D623" i="8" s="1"/>
  <c r="E623" i="8" s="1"/>
  <c r="C624" i="8"/>
  <c r="D624" i="8" s="1"/>
  <c r="E624" i="8" s="1"/>
  <c r="C625" i="8"/>
  <c r="D625" i="8" s="1"/>
  <c r="E625" i="8" s="1"/>
  <c r="C626" i="8"/>
  <c r="D626" i="8" s="1"/>
  <c r="E626" i="8" s="1"/>
  <c r="C627" i="8"/>
  <c r="D627" i="8" s="1"/>
  <c r="E627" i="8" s="1"/>
  <c r="C628" i="8"/>
  <c r="D628" i="8" s="1"/>
  <c r="E628" i="8" s="1"/>
  <c r="C629" i="8"/>
  <c r="D629" i="8" s="1"/>
  <c r="E629" i="8" s="1"/>
  <c r="C630" i="8"/>
  <c r="D630" i="8" s="1"/>
  <c r="E630" i="8" s="1"/>
  <c r="C631" i="8"/>
  <c r="D631" i="8" s="1"/>
  <c r="E631" i="8" s="1"/>
  <c r="C632" i="8"/>
  <c r="D632" i="8" s="1"/>
  <c r="E632" i="8" s="1"/>
  <c r="C633" i="8"/>
  <c r="D633" i="8" s="1"/>
  <c r="E633" i="8" s="1"/>
  <c r="C634" i="8"/>
  <c r="D634" i="8" s="1"/>
  <c r="E634" i="8" s="1"/>
  <c r="C635" i="8"/>
  <c r="D635" i="8" s="1"/>
  <c r="E635" i="8" s="1"/>
  <c r="C636" i="8"/>
  <c r="D636" i="8" s="1"/>
  <c r="E636" i="8" s="1"/>
  <c r="C637" i="8"/>
  <c r="D637" i="8" s="1"/>
  <c r="E637" i="8" s="1"/>
  <c r="C638" i="8"/>
  <c r="D638" i="8" s="1"/>
  <c r="E638" i="8" s="1"/>
  <c r="C639" i="8"/>
  <c r="D639" i="8" s="1"/>
  <c r="E639" i="8" s="1"/>
  <c r="C640" i="8"/>
  <c r="D640" i="8" s="1"/>
  <c r="E640" i="8" s="1"/>
  <c r="C641" i="8"/>
  <c r="D641" i="8" s="1"/>
  <c r="E641" i="8" s="1"/>
  <c r="C642" i="8"/>
  <c r="D642" i="8" s="1"/>
  <c r="E642" i="8" s="1"/>
  <c r="C643" i="8"/>
  <c r="D643" i="8" s="1"/>
  <c r="E643" i="8" s="1"/>
  <c r="C644" i="8"/>
  <c r="D644" i="8" s="1"/>
  <c r="E644" i="8" s="1"/>
  <c r="C645" i="8"/>
  <c r="D645" i="8" s="1"/>
  <c r="E645" i="8" s="1"/>
  <c r="C646" i="8"/>
  <c r="D646" i="8" s="1"/>
  <c r="E646" i="8" s="1"/>
  <c r="C647" i="8"/>
  <c r="D647" i="8" s="1"/>
  <c r="E647" i="8" s="1"/>
  <c r="C648" i="8"/>
  <c r="D648" i="8" s="1"/>
  <c r="E648" i="8" s="1"/>
  <c r="C649" i="8"/>
  <c r="D649" i="8" s="1"/>
  <c r="E649" i="8" s="1"/>
  <c r="C650" i="8"/>
  <c r="D650" i="8" s="1"/>
  <c r="E650" i="8" s="1"/>
  <c r="C651" i="8"/>
  <c r="D651" i="8" s="1"/>
  <c r="E651" i="8" s="1"/>
  <c r="C652" i="8"/>
  <c r="D652" i="8" s="1"/>
  <c r="E652" i="8" s="1"/>
  <c r="C653" i="8"/>
  <c r="D653" i="8" s="1"/>
  <c r="E653" i="8" s="1"/>
  <c r="C654" i="8"/>
  <c r="D654" i="8" s="1"/>
  <c r="E654" i="8" s="1"/>
  <c r="C655" i="8"/>
  <c r="D655" i="8" s="1"/>
  <c r="E655" i="8" s="1"/>
  <c r="C656" i="8"/>
  <c r="D656" i="8" s="1"/>
  <c r="E656" i="8" s="1"/>
  <c r="C657" i="8"/>
  <c r="D657" i="8" s="1"/>
  <c r="E657" i="8" s="1"/>
  <c r="C658" i="8"/>
  <c r="D658" i="8" s="1"/>
  <c r="E658" i="8" s="1"/>
  <c r="C659" i="8"/>
  <c r="D659" i="8" s="1"/>
  <c r="E659" i="8" s="1"/>
  <c r="C660" i="8"/>
  <c r="D660" i="8" s="1"/>
  <c r="E660" i="8" s="1"/>
  <c r="C661" i="8"/>
  <c r="D661" i="8" s="1"/>
  <c r="E661" i="8" s="1"/>
  <c r="C662" i="8"/>
  <c r="D662" i="8" s="1"/>
  <c r="E662" i="8" s="1"/>
  <c r="C663" i="8"/>
  <c r="D663" i="8" s="1"/>
  <c r="E663" i="8" s="1"/>
  <c r="C664" i="8"/>
  <c r="D664" i="8" s="1"/>
  <c r="E664" i="8" s="1"/>
  <c r="C665" i="8"/>
  <c r="D665" i="8" s="1"/>
  <c r="E665" i="8" s="1"/>
  <c r="C666" i="8"/>
  <c r="D666" i="8" s="1"/>
  <c r="E666" i="8" s="1"/>
  <c r="C667" i="8"/>
  <c r="D667" i="8" s="1"/>
  <c r="E667" i="8" s="1"/>
  <c r="C668" i="8"/>
  <c r="D668" i="8" s="1"/>
  <c r="E668" i="8" s="1"/>
  <c r="C669" i="8"/>
  <c r="D669" i="8" s="1"/>
  <c r="E669" i="8" s="1"/>
  <c r="C670" i="8"/>
  <c r="D670" i="8" s="1"/>
  <c r="E670" i="8" s="1"/>
  <c r="C671" i="8"/>
  <c r="D671" i="8" s="1"/>
  <c r="E671" i="8" s="1"/>
  <c r="C672" i="8"/>
  <c r="D672" i="8" s="1"/>
  <c r="E672" i="8" s="1"/>
  <c r="C673" i="8"/>
  <c r="D673" i="8" s="1"/>
  <c r="E673" i="8" s="1"/>
  <c r="C674" i="8"/>
  <c r="D674" i="8" s="1"/>
  <c r="E674" i="8" s="1"/>
  <c r="C675" i="8"/>
  <c r="D675" i="8" s="1"/>
  <c r="E675" i="8" s="1"/>
  <c r="C676" i="8"/>
  <c r="D676" i="8" s="1"/>
  <c r="E676" i="8" s="1"/>
  <c r="C677" i="8"/>
  <c r="D677" i="8" s="1"/>
  <c r="E677" i="8" s="1"/>
  <c r="C678" i="8"/>
  <c r="D678" i="8" s="1"/>
  <c r="E678" i="8" s="1"/>
  <c r="C679" i="8"/>
  <c r="D679" i="8" s="1"/>
  <c r="E679" i="8" s="1"/>
  <c r="C680" i="8"/>
  <c r="D680" i="8" s="1"/>
  <c r="E680" i="8" s="1"/>
  <c r="C681" i="8"/>
  <c r="D681" i="8" s="1"/>
  <c r="E681" i="8" s="1"/>
  <c r="C682" i="8"/>
  <c r="D682" i="8" s="1"/>
  <c r="E682" i="8" s="1"/>
  <c r="C683" i="8"/>
  <c r="D683" i="8" s="1"/>
  <c r="E683" i="8" s="1"/>
  <c r="C684" i="8"/>
  <c r="D684" i="8" s="1"/>
  <c r="E684" i="8" s="1"/>
  <c r="C685" i="8"/>
  <c r="D685" i="8" s="1"/>
  <c r="E685" i="8" s="1"/>
  <c r="C686" i="8"/>
  <c r="D686" i="8" s="1"/>
  <c r="E686" i="8" s="1"/>
  <c r="C687" i="8"/>
  <c r="D687" i="8" s="1"/>
  <c r="E687" i="8" s="1"/>
  <c r="C688" i="8"/>
  <c r="D688" i="8" s="1"/>
  <c r="E688" i="8" s="1"/>
  <c r="C689" i="8"/>
  <c r="D689" i="8" s="1"/>
  <c r="E689" i="8" s="1"/>
  <c r="C690" i="8"/>
  <c r="D690" i="8" s="1"/>
  <c r="E690" i="8" s="1"/>
  <c r="C691" i="8"/>
  <c r="D691" i="8" s="1"/>
  <c r="E691" i="8" s="1"/>
  <c r="C692" i="8"/>
  <c r="D692" i="8" s="1"/>
  <c r="E692" i="8" s="1"/>
  <c r="C693" i="8"/>
  <c r="D693" i="8" s="1"/>
  <c r="E693" i="8" s="1"/>
  <c r="C694" i="8"/>
  <c r="D694" i="8" s="1"/>
  <c r="E694" i="8" s="1"/>
  <c r="C695" i="8"/>
  <c r="D695" i="8" s="1"/>
  <c r="E695" i="8" s="1"/>
  <c r="C696" i="8"/>
  <c r="D696" i="8" s="1"/>
  <c r="E696" i="8" s="1"/>
  <c r="C697" i="8"/>
  <c r="D697" i="8" s="1"/>
  <c r="E697" i="8" s="1"/>
  <c r="C698" i="8"/>
  <c r="D698" i="8" s="1"/>
  <c r="E698" i="8" s="1"/>
  <c r="C699" i="8"/>
  <c r="D699" i="8" s="1"/>
  <c r="E699" i="8" s="1"/>
  <c r="C700" i="8"/>
  <c r="D700" i="8" s="1"/>
  <c r="E700" i="8" s="1"/>
  <c r="C701" i="8"/>
  <c r="D701" i="8" s="1"/>
  <c r="E701" i="8" s="1"/>
  <c r="C702" i="8"/>
  <c r="D702" i="8" s="1"/>
  <c r="E702" i="8" s="1"/>
  <c r="C703" i="8"/>
  <c r="D703" i="8" s="1"/>
  <c r="E703" i="8" s="1"/>
  <c r="C704" i="8"/>
  <c r="D704" i="8" s="1"/>
  <c r="E704" i="8" s="1"/>
  <c r="C705" i="8"/>
  <c r="D705" i="8" s="1"/>
  <c r="E705" i="8" s="1"/>
  <c r="C706" i="8"/>
  <c r="D706" i="8" s="1"/>
  <c r="E706" i="8" s="1"/>
  <c r="C707" i="8"/>
  <c r="D707" i="8" s="1"/>
  <c r="E707" i="8" s="1"/>
  <c r="C708" i="8"/>
  <c r="D708" i="8" s="1"/>
  <c r="E708" i="8" s="1"/>
  <c r="C709" i="8"/>
  <c r="D709" i="8" s="1"/>
  <c r="E709" i="8" s="1"/>
  <c r="C710" i="8"/>
  <c r="D710" i="8" s="1"/>
  <c r="E710" i="8" s="1"/>
  <c r="C711" i="8"/>
  <c r="D711" i="8" s="1"/>
  <c r="E711" i="8" s="1"/>
  <c r="C712" i="8"/>
  <c r="D712" i="8" s="1"/>
  <c r="E712" i="8" s="1"/>
  <c r="C713" i="8"/>
  <c r="D713" i="8" s="1"/>
  <c r="E713" i="8" s="1"/>
  <c r="C714" i="8"/>
  <c r="D714" i="8" s="1"/>
  <c r="E714" i="8" s="1"/>
  <c r="C715" i="8"/>
  <c r="D715" i="8" s="1"/>
  <c r="E715" i="8" s="1"/>
  <c r="C716" i="8"/>
  <c r="D716" i="8" s="1"/>
  <c r="E716" i="8" s="1"/>
  <c r="C717" i="8"/>
  <c r="D717" i="8" s="1"/>
  <c r="E717" i="8" s="1"/>
  <c r="C718" i="8"/>
  <c r="D718" i="8" s="1"/>
  <c r="E718" i="8" s="1"/>
  <c r="C719" i="8"/>
  <c r="D719" i="8" s="1"/>
  <c r="E719" i="8" s="1"/>
  <c r="C720" i="8"/>
  <c r="D720" i="8" s="1"/>
  <c r="E720" i="8" s="1"/>
  <c r="C721" i="8"/>
  <c r="D721" i="8" s="1"/>
  <c r="E721" i="8" s="1"/>
  <c r="C722" i="8"/>
  <c r="D722" i="8" s="1"/>
  <c r="E722" i="8" s="1"/>
  <c r="C723" i="8"/>
  <c r="D723" i="8" s="1"/>
  <c r="E723" i="8" s="1"/>
  <c r="C724" i="8"/>
  <c r="D724" i="8" s="1"/>
  <c r="E724" i="8" s="1"/>
  <c r="C725" i="8"/>
  <c r="D725" i="8" s="1"/>
  <c r="E725" i="8" s="1"/>
  <c r="C726" i="8"/>
  <c r="D726" i="8" s="1"/>
  <c r="E726" i="8" s="1"/>
  <c r="C727" i="8"/>
  <c r="D727" i="8" s="1"/>
  <c r="E727" i="8" s="1"/>
  <c r="C728" i="8"/>
  <c r="D728" i="8" s="1"/>
  <c r="E728" i="8" s="1"/>
  <c r="C729" i="8"/>
  <c r="D729" i="8" s="1"/>
  <c r="E729" i="8" s="1"/>
  <c r="C730" i="8"/>
  <c r="D730" i="8" s="1"/>
  <c r="E730" i="8" s="1"/>
  <c r="C731" i="8"/>
  <c r="D731" i="8" s="1"/>
  <c r="E731" i="8" s="1"/>
  <c r="C732" i="8"/>
  <c r="D732" i="8" s="1"/>
  <c r="E732" i="8" s="1"/>
  <c r="C733" i="8"/>
  <c r="D733" i="8" s="1"/>
  <c r="E733" i="8" s="1"/>
  <c r="C734" i="8"/>
  <c r="D734" i="8" s="1"/>
  <c r="E734" i="8" s="1"/>
  <c r="C735" i="8"/>
  <c r="D735" i="8" s="1"/>
  <c r="E735" i="8" s="1"/>
  <c r="C736" i="8"/>
  <c r="D736" i="8" s="1"/>
  <c r="E736" i="8" s="1"/>
  <c r="C737" i="8"/>
  <c r="D737" i="8" s="1"/>
  <c r="E737" i="8" s="1"/>
  <c r="C738" i="8"/>
  <c r="D738" i="8" s="1"/>
  <c r="E738" i="8" s="1"/>
  <c r="C739" i="8"/>
  <c r="D739" i="8" s="1"/>
  <c r="E739" i="8" s="1"/>
  <c r="C740" i="8"/>
  <c r="D740" i="8" s="1"/>
  <c r="E740" i="8" s="1"/>
  <c r="C741" i="8"/>
  <c r="D741" i="8" s="1"/>
  <c r="E741" i="8" s="1"/>
  <c r="C742" i="8"/>
  <c r="D742" i="8" s="1"/>
  <c r="E742" i="8" s="1"/>
  <c r="C743" i="8"/>
  <c r="D743" i="8" s="1"/>
  <c r="E743" i="8" s="1"/>
  <c r="C744" i="8"/>
  <c r="D744" i="8" s="1"/>
  <c r="E744" i="8" s="1"/>
  <c r="C745" i="8"/>
  <c r="D745" i="8" s="1"/>
  <c r="E745" i="8" s="1"/>
  <c r="C746" i="8"/>
  <c r="D746" i="8" s="1"/>
  <c r="E746" i="8" s="1"/>
  <c r="C747" i="8"/>
  <c r="D747" i="8" s="1"/>
  <c r="E747" i="8" s="1"/>
  <c r="C748" i="8"/>
  <c r="D748" i="8" s="1"/>
  <c r="E748" i="8" s="1"/>
  <c r="C749" i="8"/>
  <c r="D749" i="8" s="1"/>
  <c r="E749" i="8" s="1"/>
  <c r="C750" i="8"/>
  <c r="D750" i="8" s="1"/>
  <c r="E750" i="8" s="1"/>
  <c r="C751" i="8"/>
  <c r="D751" i="8" s="1"/>
  <c r="E751" i="8" s="1"/>
  <c r="C752" i="8"/>
  <c r="D752" i="8" s="1"/>
  <c r="E752" i="8" s="1"/>
  <c r="C753" i="8"/>
  <c r="D753" i="8" s="1"/>
  <c r="E753" i="8" s="1"/>
  <c r="C754" i="8"/>
  <c r="D754" i="8" s="1"/>
  <c r="E754" i="8" s="1"/>
  <c r="C755" i="8"/>
  <c r="D755" i="8" s="1"/>
  <c r="E755" i="8" s="1"/>
  <c r="C756" i="8"/>
  <c r="D756" i="8" s="1"/>
  <c r="E756" i="8" s="1"/>
  <c r="C757" i="8"/>
  <c r="D757" i="8" s="1"/>
  <c r="E757" i="8" s="1"/>
  <c r="C758" i="8"/>
  <c r="D758" i="8" s="1"/>
  <c r="E758" i="8" s="1"/>
  <c r="C759" i="8"/>
  <c r="D759" i="8" s="1"/>
  <c r="E759" i="8" s="1"/>
  <c r="C760" i="8"/>
  <c r="D760" i="8" s="1"/>
  <c r="E760" i="8" s="1"/>
  <c r="C761" i="8"/>
  <c r="D761" i="8" s="1"/>
  <c r="E761" i="8" s="1"/>
  <c r="C762" i="8"/>
  <c r="D762" i="8" s="1"/>
  <c r="E762" i="8" s="1"/>
  <c r="C763" i="8"/>
  <c r="D763" i="8" s="1"/>
  <c r="E763" i="8" s="1"/>
  <c r="C764" i="8"/>
  <c r="D764" i="8" s="1"/>
  <c r="E764" i="8" s="1"/>
  <c r="C765" i="8"/>
  <c r="D765" i="8" s="1"/>
  <c r="E765" i="8" s="1"/>
  <c r="C766" i="8"/>
  <c r="D766" i="8" s="1"/>
  <c r="E766" i="8" s="1"/>
  <c r="C767" i="8"/>
  <c r="D767" i="8" s="1"/>
  <c r="E767" i="8" s="1"/>
  <c r="C768" i="8"/>
  <c r="D768" i="8" s="1"/>
  <c r="E768" i="8" s="1"/>
  <c r="C769" i="8"/>
  <c r="D769" i="8" s="1"/>
  <c r="E769" i="8" s="1"/>
  <c r="C770" i="8"/>
  <c r="D770" i="8" s="1"/>
  <c r="E770" i="8" s="1"/>
  <c r="C771" i="8"/>
  <c r="D771" i="8" s="1"/>
  <c r="E771" i="8" s="1"/>
  <c r="C772" i="8"/>
  <c r="D772" i="8" s="1"/>
  <c r="E772" i="8" s="1"/>
  <c r="C773" i="8"/>
  <c r="D773" i="8" s="1"/>
  <c r="E773" i="8" s="1"/>
  <c r="C774" i="8"/>
  <c r="D774" i="8" s="1"/>
  <c r="E774" i="8" s="1"/>
  <c r="C775" i="8"/>
  <c r="D775" i="8" s="1"/>
  <c r="E775" i="8" s="1"/>
  <c r="C776" i="8"/>
  <c r="D776" i="8" s="1"/>
  <c r="E776" i="8" s="1"/>
  <c r="C777" i="8"/>
  <c r="D777" i="8" s="1"/>
  <c r="E777" i="8" s="1"/>
  <c r="C778" i="8"/>
  <c r="D778" i="8" s="1"/>
  <c r="E778" i="8" s="1"/>
  <c r="C779" i="8"/>
  <c r="D779" i="8" s="1"/>
  <c r="E779" i="8" s="1"/>
  <c r="C780" i="8"/>
  <c r="D780" i="8" s="1"/>
  <c r="E780" i="8" s="1"/>
  <c r="C781" i="8"/>
  <c r="D781" i="8" s="1"/>
  <c r="E781" i="8" s="1"/>
  <c r="C782" i="8"/>
  <c r="D782" i="8" s="1"/>
  <c r="E782" i="8" s="1"/>
  <c r="C783" i="8"/>
  <c r="D783" i="8" s="1"/>
  <c r="E783" i="8" s="1"/>
  <c r="C784" i="8"/>
  <c r="D784" i="8" s="1"/>
  <c r="E784" i="8" s="1"/>
  <c r="C785" i="8"/>
  <c r="D785" i="8" s="1"/>
  <c r="E785" i="8" s="1"/>
  <c r="C786" i="8"/>
  <c r="D786" i="8" s="1"/>
  <c r="E786" i="8" s="1"/>
  <c r="C787" i="8"/>
  <c r="D787" i="8" s="1"/>
  <c r="E787" i="8" s="1"/>
  <c r="C788" i="8"/>
  <c r="D788" i="8" s="1"/>
  <c r="E788" i="8" s="1"/>
  <c r="C789" i="8"/>
  <c r="D789" i="8" s="1"/>
  <c r="E789" i="8" s="1"/>
  <c r="C790" i="8"/>
  <c r="D790" i="8" s="1"/>
  <c r="E790" i="8" s="1"/>
  <c r="C791" i="8"/>
  <c r="D791" i="8" s="1"/>
  <c r="E791" i="8" s="1"/>
  <c r="C792" i="8"/>
  <c r="D792" i="8" s="1"/>
  <c r="E792" i="8" s="1"/>
  <c r="C793" i="8"/>
  <c r="D793" i="8" s="1"/>
  <c r="E793" i="8" s="1"/>
  <c r="C794" i="8"/>
  <c r="D794" i="8" s="1"/>
  <c r="E794" i="8" s="1"/>
  <c r="C795" i="8"/>
  <c r="D795" i="8" s="1"/>
  <c r="E795" i="8" s="1"/>
  <c r="C796" i="8"/>
  <c r="D796" i="8" s="1"/>
  <c r="E796" i="8" s="1"/>
  <c r="C797" i="8"/>
  <c r="D797" i="8" s="1"/>
  <c r="E797" i="8" s="1"/>
  <c r="C798" i="8"/>
  <c r="D798" i="8" s="1"/>
  <c r="E798" i="8" s="1"/>
  <c r="C799" i="8"/>
  <c r="D799" i="8" s="1"/>
  <c r="E799" i="8" s="1"/>
  <c r="C800" i="8"/>
  <c r="D800" i="8" s="1"/>
  <c r="E800" i="8" s="1"/>
  <c r="C801" i="8"/>
  <c r="D801" i="8" s="1"/>
  <c r="E801" i="8" s="1"/>
  <c r="C802" i="8"/>
  <c r="D802" i="8" s="1"/>
  <c r="E802" i="8" s="1"/>
  <c r="C803" i="8"/>
  <c r="D803" i="8" s="1"/>
  <c r="E803" i="8" s="1"/>
  <c r="C804" i="8"/>
  <c r="D804" i="8" s="1"/>
  <c r="E804" i="8" s="1"/>
  <c r="C805" i="8"/>
  <c r="D805" i="8" s="1"/>
  <c r="E805" i="8" s="1"/>
  <c r="C806" i="8"/>
  <c r="D806" i="8" s="1"/>
  <c r="E806" i="8" s="1"/>
  <c r="C807" i="8"/>
  <c r="D807" i="8" s="1"/>
  <c r="E807" i="8" s="1"/>
  <c r="C808" i="8"/>
  <c r="D808" i="8" s="1"/>
  <c r="E808" i="8" s="1"/>
  <c r="C809" i="8"/>
  <c r="D809" i="8" s="1"/>
  <c r="E809" i="8" s="1"/>
  <c r="C810" i="8"/>
  <c r="D810" i="8" s="1"/>
  <c r="E810" i="8" s="1"/>
  <c r="C811" i="8"/>
  <c r="D811" i="8" s="1"/>
  <c r="E811" i="8" s="1"/>
  <c r="C812" i="8"/>
  <c r="D812" i="8" s="1"/>
  <c r="E812" i="8" s="1"/>
  <c r="C813" i="8"/>
  <c r="D813" i="8" s="1"/>
  <c r="E813" i="8" s="1"/>
  <c r="C814" i="8"/>
  <c r="D814" i="8" s="1"/>
  <c r="E814" i="8" s="1"/>
  <c r="C815" i="8"/>
  <c r="D815" i="8" s="1"/>
  <c r="E815" i="8" s="1"/>
  <c r="C816" i="8"/>
  <c r="D816" i="8" s="1"/>
  <c r="E816" i="8" s="1"/>
  <c r="C817" i="8"/>
  <c r="D817" i="8" s="1"/>
  <c r="E817" i="8" s="1"/>
  <c r="C818" i="8"/>
  <c r="D818" i="8" s="1"/>
  <c r="E818" i="8" s="1"/>
  <c r="C819" i="8"/>
  <c r="D819" i="8" s="1"/>
  <c r="E819" i="8" s="1"/>
  <c r="C820" i="8"/>
  <c r="D820" i="8" s="1"/>
  <c r="E820" i="8" s="1"/>
  <c r="C821" i="8"/>
  <c r="D821" i="8" s="1"/>
  <c r="E821" i="8" s="1"/>
  <c r="C822" i="8"/>
  <c r="D822" i="8" s="1"/>
  <c r="E822" i="8" s="1"/>
  <c r="C823" i="8"/>
  <c r="D823" i="8" s="1"/>
  <c r="E823" i="8" s="1"/>
  <c r="C824" i="8"/>
  <c r="D824" i="8" s="1"/>
  <c r="E824" i="8" s="1"/>
  <c r="C825" i="8"/>
  <c r="D825" i="8" s="1"/>
  <c r="E825" i="8" s="1"/>
  <c r="C826" i="8"/>
  <c r="D826" i="8" s="1"/>
  <c r="E826" i="8" s="1"/>
  <c r="C827" i="8"/>
  <c r="D827" i="8" s="1"/>
  <c r="E827" i="8" s="1"/>
  <c r="C828" i="8"/>
  <c r="D828" i="8" s="1"/>
  <c r="E828" i="8" s="1"/>
  <c r="C829" i="8"/>
  <c r="D829" i="8" s="1"/>
  <c r="E829" i="8" s="1"/>
  <c r="C830" i="8"/>
  <c r="D830" i="8" s="1"/>
  <c r="E830" i="8" s="1"/>
  <c r="C831" i="8"/>
  <c r="D831" i="8" s="1"/>
  <c r="E831" i="8" s="1"/>
  <c r="C832" i="8"/>
  <c r="D832" i="8" s="1"/>
  <c r="E832" i="8" s="1"/>
  <c r="C833" i="8"/>
  <c r="D833" i="8" s="1"/>
  <c r="E833" i="8" s="1"/>
  <c r="C834" i="8"/>
  <c r="D834" i="8" s="1"/>
  <c r="E834" i="8" s="1"/>
  <c r="C835" i="8"/>
  <c r="D835" i="8" s="1"/>
  <c r="E835" i="8" s="1"/>
  <c r="C836" i="8"/>
  <c r="D836" i="8" s="1"/>
  <c r="E836" i="8" s="1"/>
  <c r="C837" i="8"/>
  <c r="D837" i="8" s="1"/>
  <c r="E837" i="8" s="1"/>
  <c r="C838" i="8"/>
  <c r="D838" i="8" s="1"/>
  <c r="E838" i="8" s="1"/>
  <c r="C839" i="8"/>
  <c r="D839" i="8" s="1"/>
  <c r="E839" i="8" s="1"/>
  <c r="C840" i="8"/>
  <c r="D840" i="8" s="1"/>
  <c r="E840" i="8" s="1"/>
  <c r="C841" i="8"/>
  <c r="D841" i="8" s="1"/>
  <c r="E841" i="8" s="1"/>
  <c r="C842" i="8"/>
  <c r="D842" i="8" s="1"/>
  <c r="E842" i="8" s="1"/>
  <c r="C843" i="8"/>
  <c r="D843" i="8" s="1"/>
  <c r="E843" i="8" s="1"/>
  <c r="C844" i="8"/>
  <c r="D844" i="8" s="1"/>
  <c r="E844" i="8" s="1"/>
  <c r="C845" i="8"/>
  <c r="D845" i="8" s="1"/>
  <c r="E845" i="8" s="1"/>
  <c r="C846" i="8"/>
  <c r="D846" i="8" s="1"/>
  <c r="E846" i="8" s="1"/>
  <c r="C847" i="8"/>
  <c r="D847" i="8" s="1"/>
  <c r="E847" i="8" s="1"/>
  <c r="C848" i="8"/>
  <c r="D848" i="8" s="1"/>
  <c r="E848" i="8" s="1"/>
  <c r="C849" i="8"/>
  <c r="D849" i="8" s="1"/>
  <c r="E849" i="8" s="1"/>
  <c r="C850" i="8"/>
  <c r="D850" i="8" s="1"/>
  <c r="E850" i="8" s="1"/>
  <c r="C851" i="8"/>
  <c r="D851" i="8" s="1"/>
  <c r="E851" i="8" s="1"/>
  <c r="C852" i="8"/>
  <c r="D852" i="8" s="1"/>
  <c r="E852" i="8" s="1"/>
  <c r="C853" i="8"/>
  <c r="D853" i="8" s="1"/>
  <c r="E853" i="8" s="1"/>
  <c r="C854" i="8"/>
  <c r="D854" i="8" s="1"/>
  <c r="E854" i="8" s="1"/>
  <c r="C855" i="8"/>
  <c r="D855" i="8" s="1"/>
  <c r="E855" i="8" s="1"/>
  <c r="C856" i="8"/>
  <c r="D856" i="8" s="1"/>
  <c r="E856" i="8" s="1"/>
  <c r="C857" i="8"/>
  <c r="D857" i="8" s="1"/>
  <c r="E857" i="8" s="1"/>
  <c r="C858" i="8"/>
  <c r="D858" i="8" s="1"/>
  <c r="E858" i="8" s="1"/>
  <c r="C859" i="8"/>
  <c r="D859" i="8" s="1"/>
  <c r="E859" i="8" s="1"/>
  <c r="C860" i="8"/>
  <c r="D860" i="8" s="1"/>
  <c r="E860" i="8" s="1"/>
  <c r="C861" i="8"/>
  <c r="D861" i="8" s="1"/>
  <c r="E861" i="8" s="1"/>
  <c r="C862" i="8"/>
  <c r="D862" i="8" s="1"/>
  <c r="E862" i="8" s="1"/>
  <c r="C863" i="8"/>
  <c r="D863" i="8" s="1"/>
  <c r="E863" i="8" s="1"/>
  <c r="C864" i="8"/>
  <c r="D864" i="8" s="1"/>
  <c r="E864" i="8" s="1"/>
  <c r="C865" i="8"/>
  <c r="D865" i="8" s="1"/>
  <c r="E865" i="8" s="1"/>
  <c r="C866" i="8"/>
  <c r="D866" i="8" s="1"/>
  <c r="E866" i="8" s="1"/>
  <c r="C867" i="8"/>
  <c r="D867" i="8" s="1"/>
  <c r="E867" i="8" s="1"/>
  <c r="C868" i="8"/>
  <c r="D868" i="8" s="1"/>
  <c r="E868" i="8" s="1"/>
  <c r="C869" i="8"/>
  <c r="D869" i="8" s="1"/>
  <c r="E869" i="8" s="1"/>
  <c r="C870" i="8"/>
  <c r="D870" i="8" s="1"/>
  <c r="E870" i="8" s="1"/>
  <c r="C871" i="8"/>
  <c r="D871" i="8" s="1"/>
  <c r="E871" i="8" s="1"/>
  <c r="C872" i="8"/>
  <c r="D872" i="8" s="1"/>
  <c r="E872" i="8" s="1"/>
  <c r="C873" i="8"/>
  <c r="D873" i="8" s="1"/>
  <c r="E873" i="8" s="1"/>
  <c r="C874" i="8"/>
  <c r="D874" i="8" s="1"/>
  <c r="E874" i="8" s="1"/>
  <c r="C875" i="8"/>
  <c r="D875" i="8" s="1"/>
  <c r="E875" i="8" s="1"/>
  <c r="C876" i="8"/>
  <c r="D876" i="8" s="1"/>
  <c r="E876" i="8" s="1"/>
  <c r="C877" i="8"/>
  <c r="D877" i="8" s="1"/>
  <c r="E877" i="8" s="1"/>
  <c r="C878" i="8"/>
  <c r="D878" i="8" s="1"/>
  <c r="E878" i="8" s="1"/>
  <c r="C879" i="8"/>
  <c r="D879" i="8" s="1"/>
  <c r="E879" i="8" s="1"/>
  <c r="C880" i="8"/>
  <c r="D880" i="8" s="1"/>
  <c r="E880" i="8" s="1"/>
  <c r="C881" i="8"/>
  <c r="D881" i="8" s="1"/>
  <c r="E881" i="8" s="1"/>
  <c r="C882" i="8"/>
  <c r="D882" i="8" s="1"/>
  <c r="E882" i="8" s="1"/>
  <c r="C883" i="8"/>
  <c r="D883" i="8" s="1"/>
  <c r="E883" i="8" s="1"/>
  <c r="C884" i="8"/>
  <c r="D884" i="8" s="1"/>
  <c r="E884" i="8" s="1"/>
  <c r="C885" i="8"/>
  <c r="D885" i="8" s="1"/>
  <c r="E885" i="8" s="1"/>
  <c r="C886" i="8"/>
  <c r="D886" i="8" s="1"/>
  <c r="E886" i="8" s="1"/>
  <c r="C887" i="8"/>
  <c r="D887" i="8" s="1"/>
  <c r="E887" i="8" s="1"/>
  <c r="C888" i="8"/>
  <c r="D888" i="8" s="1"/>
  <c r="E888" i="8" s="1"/>
  <c r="C889" i="8"/>
  <c r="D889" i="8" s="1"/>
  <c r="E889" i="8" s="1"/>
  <c r="C890" i="8"/>
  <c r="D890" i="8" s="1"/>
  <c r="E890" i="8" s="1"/>
  <c r="C891" i="8"/>
  <c r="D891" i="8" s="1"/>
  <c r="E891" i="8" s="1"/>
  <c r="C892" i="8"/>
  <c r="D892" i="8" s="1"/>
  <c r="E892" i="8" s="1"/>
  <c r="C893" i="8"/>
  <c r="D893" i="8" s="1"/>
  <c r="E893" i="8" s="1"/>
  <c r="C894" i="8"/>
  <c r="D894" i="8" s="1"/>
  <c r="E894" i="8" s="1"/>
  <c r="C895" i="8"/>
  <c r="D895" i="8" s="1"/>
  <c r="E895" i="8" s="1"/>
  <c r="C896" i="8"/>
  <c r="D896" i="8" s="1"/>
  <c r="E896" i="8" s="1"/>
  <c r="C897" i="8"/>
  <c r="D897" i="8" s="1"/>
  <c r="E897" i="8" s="1"/>
  <c r="C898" i="8"/>
  <c r="D898" i="8" s="1"/>
  <c r="E898" i="8" s="1"/>
  <c r="C899" i="8"/>
  <c r="D899" i="8" s="1"/>
  <c r="E899" i="8" s="1"/>
  <c r="C900" i="8"/>
  <c r="D900" i="8" s="1"/>
  <c r="E900" i="8" s="1"/>
  <c r="C901" i="8"/>
  <c r="D901" i="8" s="1"/>
  <c r="E901" i="8" s="1"/>
  <c r="C902" i="8"/>
  <c r="D902" i="8" s="1"/>
  <c r="E902" i="8" s="1"/>
  <c r="C903" i="8"/>
  <c r="D903" i="8" s="1"/>
  <c r="E903" i="8" s="1"/>
  <c r="C904" i="8"/>
  <c r="D904" i="8" s="1"/>
  <c r="E904" i="8" s="1"/>
  <c r="C905" i="8"/>
  <c r="D905" i="8" s="1"/>
  <c r="E905" i="8" s="1"/>
  <c r="C906" i="8"/>
  <c r="D906" i="8" s="1"/>
  <c r="E906" i="8" s="1"/>
  <c r="C907" i="8"/>
  <c r="D907" i="8" s="1"/>
  <c r="E907" i="8" s="1"/>
  <c r="C908" i="8"/>
  <c r="D908" i="8" s="1"/>
  <c r="E908" i="8" s="1"/>
  <c r="C909" i="8"/>
  <c r="D909" i="8" s="1"/>
  <c r="E909" i="8" s="1"/>
  <c r="C910" i="8"/>
  <c r="D910" i="8" s="1"/>
  <c r="E910" i="8" s="1"/>
  <c r="C911" i="8"/>
  <c r="D911" i="8" s="1"/>
  <c r="E911" i="8" s="1"/>
  <c r="C912" i="8"/>
  <c r="D912" i="8" s="1"/>
  <c r="E912" i="8" s="1"/>
  <c r="C913" i="8"/>
  <c r="D913" i="8" s="1"/>
  <c r="E913" i="8" s="1"/>
  <c r="C914" i="8"/>
  <c r="D914" i="8" s="1"/>
  <c r="E914" i="8" s="1"/>
  <c r="C915" i="8"/>
  <c r="D915" i="8" s="1"/>
  <c r="E915" i="8" s="1"/>
  <c r="C916" i="8"/>
  <c r="D916" i="8" s="1"/>
  <c r="E916" i="8" s="1"/>
  <c r="C917" i="8"/>
  <c r="D917" i="8" s="1"/>
  <c r="E917" i="8" s="1"/>
  <c r="C918" i="8"/>
  <c r="D918" i="8" s="1"/>
  <c r="E918" i="8" s="1"/>
  <c r="C919" i="8"/>
  <c r="D919" i="8" s="1"/>
  <c r="E919" i="8" s="1"/>
  <c r="C920" i="8"/>
  <c r="D920" i="8" s="1"/>
  <c r="E920" i="8" s="1"/>
  <c r="C921" i="8"/>
  <c r="D921" i="8" s="1"/>
  <c r="E921" i="8" s="1"/>
  <c r="C922" i="8"/>
  <c r="D922" i="8" s="1"/>
  <c r="E922" i="8" s="1"/>
  <c r="C923" i="8"/>
  <c r="D923" i="8" s="1"/>
  <c r="E923" i="8" s="1"/>
  <c r="C924" i="8"/>
  <c r="D924" i="8" s="1"/>
  <c r="E924" i="8" s="1"/>
  <c r="C925" i="8"/>
  <c r="D925" i="8" s="1"/>
  <c r="E925" i="8" s="1"/>
  <c r="C926" i="8"/>
  <c r="D926" i="8" s="1"/>
  <c r="E926" i="8" s="1"/>
  <c r="C927" i="8"/>
  <c r="D927" i="8" s="1"/>
  <c r="E927" i="8" s="1"/>
  <c r="C928" i="8"/>
  <c r="D928" i="8" s="1"/>
  <c r="E928" i="8" s="1"/>
  <c r="C929" i="8"/>
  <c r="D929" i="8" s="1"/>
  <c r="E929" i="8" s="1"/>
  <c r="C930" i="8"/>
  <c r="D930" i="8" s="1"/>
  <c r="E930" i="8" s="1"/>
  <c r="C931" i="8"/>
  <c r="D931" i="8" s="1"/>
  <c r="E931" i="8" s="1"/>
  <c r="C932" i="8"/>
  <c r="D932" i="8" s="1"/>
  <c r="E932" i="8" s="1"/>
  <c r="C933" i="8"/>
  <c r="D933" i="8" s="1"/>
  <c r="E933" i="8" s="1"/>
  <c r="C934" i="8"/>
  <c r="D934" i="8" s="1"/>
  <c r="E934" i="8" s="1"/>
  <c r="C935" i="8"/>
  <c r="D935" i="8" s="1"/>
  <c r="E935" i="8" s="1"/>
  <c r="C936" i="8"/>
  <c r="D936" i="8" s="1"/>
  <c r="E936" i="8" s="1"/>
  <c r="C937" i="8"/>
  <c r="D937" i="8" s="1"/>
  <c r="E937" i="8" s="1"/>
  <c r="C938" i="8"/>
  <c r="D938" i="8" s="1"/>
  <c r="E938" i="8" s="1"/>
  <c r="C939" i="8"/>
  <c r="D939" i="8" s="1"/>
  <c r="E939" i="8" s="1"/>
  <c r="C940" i="8"/>
  <c r="D940" i="8" s="1"/>
  <c r="E940" i="8" s="1"/>
  <c r="C941" i="8"/>
  <c r="D941" i="8" s="1"/>
  <c r="E941" i="8" s="1"/>
  <c r="C942" i="8"/>
  <c r="D942" i="8" s="1"/>
  <c r="E942" i="8" s="1"/>
  <c r="C943" i="8"/>
  <c r="D943" i="8" s="1"/>
  <c r="E943" i="8" s="1"/>
  <c r="C944" i="8"/>
  <c r="D944" i="8" s="1"/>
  <c r="E944" i="8" s="1"/>
  <c r="C945" i="8"/>
  <c r="D945" i="8" s="1"/>
  <c r="E945" i="8" s="1"/>
  <c r="C946" i="8"/>
  <c r="D946" i="8" s="1"/>
  <c r="E946" i="8" s="1"/>
  <c r="C947" i="8"/>
  <c r="D947" i="8" s="1"/>
  <c r="E947" i="8" s="1"/>
  <c r="C948" i="8"/>
  <c r="D948" i="8" s="1"/>
  <c r="E948" i="8" s="1"/>
  <c r="C949" i="8"/>
  <c r="D949" i="8" s="1"/>
  <c r="E949" i="8" s="1"/>
  <c r="C950" i="8"/>
  <c r="D950" i="8" s="1"/>
  <c r="E950" i="8" s="1"/>
  <c r="C951" i="8"/>
  <c r="D951" i="8" s="1"/>
  <c r="E951" i="8" s="1"/>
  <c r="C952" i="8"/>
  <c r="D952" i="8" s="1"/>
  <c r="E952" i="8" s="1"/>
  <c r="C953" i="8"/>
  <c r="D953" i="8" s="1"/>
  <c r="E953" i="8" s="1"/>
  <c r="C954" i="8"/>
  <c r="D954" i="8" s="1"/>
  <c r="E954" i="8" s="1"/>
  <c r="C955" i="8"/>
  <c r="D955" i="8" s="1"/>
  <c r="E955" i="8" s="1"/>
  <c r="C956" i="8"/>
  <c r="D956" i="8" s="1"/>
  <c r="E956" i="8" s="1"/>
  <c r="C957" i="8"/>
  <c r="D957" i="8" s="1"/>
  <c r="E957" i="8" s="1"/>
  <c r="C958" i="8"/>
  <c r="D958" i="8" s="1"/>
  <c r="E958" i="8" s="1"/>
  <c r="C959" i="8"/>
  <c r="D959" i="8" s="1"/>
  <c r="E959" i="8" s="1"/>
  <c r="C960" i="8"/>
  <c r="D960" i="8" s="1"/>
  <c r="E960" i="8" s="1"/>
  <c r="C961" i="8"/>
  <c r="D961" i="8" s="1"/>
  <c r="E961" i="8" s="1"/>
  <c r="C962" i="8"/>
  <c r="D962" i="8" s="1"/>
  <c r="E962" i="8" s="1"/>
  <c r="C963" i="8"/>
  <c r="D963" i="8" s="1"/>
  <c r="E963" i="8" s="1"/>
  <c r="C964" i="8"/>
  <c r="D964" i="8" s="1"/>
  <c r="E964" i="8" s="1"/>
  <c r="C965" i="8"/>
  <c r="D965" i="8" s="1"/>
  <c r="E965" i="8" s="1"/>
  <c r="C966" i="8"/>
  <c r="D966" i="8" s="1"/>
  <c r="E966" i="8" s="1"/>
  <c r="C967" i="8"/>
  <c r="D967" i="8" s="1"/>
  <c r="E967" i="8" s="1"/>
  <c r="C968" i="8"/>
  <c r="D968" i="8" s="1"/>
  <c r="E968" i="8" s="1"/>
  <c r="C969" i="8"/>
  <c r="D969" i="8" s="1"/>
  <c r="E969" i="8" s="1"/>
  <c r="C970" i="8"/>
  <c r="D970" i="8" s="1"/>
  <c r="E970" i="8" s="1"/>
  <c r="C971" i="8"/>
  <c r="D971" i="8" s="1"/>
  <c r="E971" i="8" s="1"/>
  <c r="C972" i="8"/>
  <c r="D972" i="8" s="1"/>
  <c r="E972" i="8" s="1"/>
  <c r="C973" i="8"/>
  <c r="D973" i="8" s="1"/>
  <c r="E973" i="8" s="1"/>
  <c r="C974" i="8"/>
  <c r="D974" i="8" s="1"/>
  <c r="E974" i="8" s="1"/>
  <c r="C975" i="8"/>
  <c r="D975" i="8" s="1"/>
  <c r="E975" i="8" s="1"/>
  <c r="C976" i="8"/>
  <c r="D976" i="8" s="1"/>
  <c r="E976" i="8" s="1"/>
  <c r="C977" i="8"/>
  <c r="D977" i="8" s="1"/>
  <c r="E977" i="8" s="1"/>
  <c r="C978" i="8"/>
  <c r="D978" i="8" s="1"/>
  <c r="E978" i="8" s="1"/>
  <c r="C979" i="8"/>
  <c r="D979" i="8" s="1"/>
  <c r="E979" i="8" s="1"/>
  <c r="C980" i="8"/>
  <c r="D980" i="8" s="1"/>
  <c r="E980" i="8" s="1"/>
  <c r="C981" i="8"/>
  <c r="D981" i="8" s="1"/>
  <c r="E981" i="8" s="1"/>
  <c r="C982" i="8"/>
  <c r="D982" i="8" s="1"/>
  <c r="E982" i="8" s="1"/>
  <c r="C983" i="8"/>
  <c r="D983" i="8" s="1"/>
  <c r="E983" i="8" s="1"/>
  <c r="C984" i="8"/>
  <c r="D984" i="8" s="1"/>
  <c r="E984" i="8" s="1"/>
  <c r="C985" i="8"/>
  <c r="D985" i="8" s="1"/>
  <c r="E985" i="8" s="1"/>
  <c r="C986" i="8"/>
  <c r="D986" i="8" s="1"/>
  <c r="E986" i="8" s="1"/>
  <c r="C987" i="8"/>
  <c r="D987" i="8" s="1"/>
  <c r="E987" i="8" s="1"/>
  <c r="C988" i="8"/>
  <c r="D988" i="8" s="1"/>
  <c r="E988" i="8" s="1"/>
  <c r="C989" i="8"/>
  <c r="D989" i="8" s="1"/>
  <c r="E989" i="8" s="1"/>
  <c r="C990" i="8"/>
  <c r="D990" i="8" s="1"/>
  <c r="E990" i="8" s="1"/>
  <c r="C991" i="8"/>
  <c r="D991" i="8" s="1"/>
  <c r="E991" i="8" s="1"/>
  <c r="C992" i="8"/>
  <c r="D992" i="8" s="1"/>
  <c r="E992" i="8" s="1"/>
  <c r="C993" i="8"/>
  <c r="D993" i="8" s="1"/>
  <c r="E993" i="8" s="1"/>
  <c r="C994" i="8"/>
  <c r="D994" i="8" s="1"/>
  <c r="E994" i="8" s="1"/>
  <c r="C995" i="8"/>
  <c r="D995" i="8" s="1"/>
  <c r="E995" i="8" s="1"/>
  <c r="C996" i="8"/>
  <c r="D996" i="8" s="1"/>
  <c r="E996" i="8" s="1"/>
  <c r="C997" i="8"/>
  <c r="D997" i="8" s="1"/>
  <c r="E997" i="8" s="1"/>
  <c r="C998" i="8"/>
  <c r="D998" i="8" s="1"/>
  <c r="E998" i="8" s="1"/>
  <c r="C999" i="8"/>
  <c r="D999" i="8" s="1"/>
  <c r="E999" i="8" s="1"/>
  <c r="C1000" i="8"/>
  <c r="D1000" i="8" s="1"/>
  <c r="E1000" i="8" s="1"/>
  <c r="C1001" i="8"/>
  <c r="D1001" i="8" s="1"/>
  <c r="E1001" i="8" s="1"/>
  <c r="C1002" i="8"/>
  <c r="D1002" i="8" s="1"/>
  <c r="E1002" i="8" s="1"/>
  <c r="C1003" i="8"/>
  <c r="D1003" i="8" s="1"/>
  <c r="E1003" i="8" s="1"/>
  <c r="C1004" i="8"/>
  <c r="D1004" i="8" s="1"/>
  <c r="E1004" i="8" s="1"/>
  <c r="C1005" i="8"/>
  <c r="D1005" i="8" s="1"/>
  <c r="E1005" i="8" s="1"/>
  <c r="C1006" i="8"/>
  <c r="D1006" i="8" s="1"/>
  <c r="E1006" i="8" s="1"/>
  <c r="C1007" i="8"/>
  <c r="D1007" i="8" s="1"/>
  <c r="E1007" i="8" s="1"/>
  <c r="C1008" i="8"/>
  <c r="D1008" i="8" s="1"/>
  <c r="E1008" i="8" s="1"/>
  <c r="C1009" i="8"/>
  <c r="D1009" i="8" s="1"/>
  <c r="E1009" i="8" s="1"/>
  <c r="C1010" i="8"/>
  <c r="D1010" i="8" s="1"/>
  <c r="E1010" i="8" s="1"/>
  <c r="C1011" i="8"/>
  <c r="D1011" i="8" s="1"/>
  <c r="E1011" i="8" s="1"/>
  <c r="C1012" i="8"/>
  <c r="D1012" i="8" s="1"/>
  <c r="E1012" i="8" s="1"/>
  <c r="C1013" i="8"/>
  <c r="D1013" i="8" s="1"/>
  <c r="E1013" i="8" s="1"/>
  <c r="C1014" i="8"/>
  <c r="D1014" i="8" s="1"/>
  <c r="E1014" i="8" s="1"/>
  <c r="C1015" i="8"/>
  <c r="D1015" i="8" s="1"/>
  <c r="E1015" i="8" s="1"/>
  <c r="C1016" i="8"/>
  <c r="D1016" i="8" s="1"/>
  <c r="E1016" i="8" s="1"/>
  <c r="C1017" i="8"/>
  <c r="D1017" i="8" s="1"/>
  <c r="E1017" i="8" s="1"/>
  <c r="C1018" i="8"/>
  <c r="D1018" i="8" s="1"/>
  <c r="E1018" i="8" s="1"/>
  <c r="C1019" i="8"/>
  <c r="D1019" i="8" s="1"/>
  <c r="E1019" i="8" s="1"/>
  <c r="C1020" i="8"/>
  <c r="D1020" i="8" s="1"/>
  <c r="E1020" i="8" s="1"/>
  <c r="C1021" i="8"/>
  <c r="D1021" i="8" s="1"/>
  <c r="E1021" i="8" s="1"/>
  <c r="C1022" i="8"/>
  <c r="D1022" i="8" s="1"/>
  <c r="E1022" i="8" s="1"/>
  <c r="C1023" i="8"/>
  <c r="D1023" i="8" s="1"/>
  <c r="E1023" i="8" s="1"/>
  <c r="C1024" i="8"/>
  <c r="D1024" i="8" s="1"/>
  <c r="E1024" i="8" s="1"/>
  <c r="C1025" i="8"/>
  <c r="D1025" i="8" s="1"/>
  <c r="E1025" i="8" s="1"/>
  <c r="C1026" i="8"/>
  <c r="D1026" i="8" s="1"/>
  <c r="E1026" i="8" s="1"/>
  <c r="C1027" i="8"/>
  <c r="D1027" i="8" s="1"/>
  <c r="E1027" i="8" s="1"/>
  <c r="C1028" i="8"/>
  <c r="D1028" i="8" s="1"/>
  <c r="E1028" i="8" s="1"/>
  <c r="C1029" i="8"/>
  <c r="D1029" i="8" s="1"/>
  <c r="E1029" i="8" s="1"/>
  <c r="C1030" i="8"/>
  <c r="D1030" i="8" s="1"/>
  <c r="E1030" i="8" s="1"/>
  <c r="C1031" i="8"/>
  <c r="D1031" i="8" s="1"/>
  <c r="E1031" i="8" s="1"/>
  <c r="C1032" i="8"/>
  <c r="D1032" i="8" s="1"/>
  <c r="E1032" i="8" s="1"/>
  <c r="C1033" i="8"/>
  <c r="D1033" i="8" s="1"/>
  <c r="E1033" i="8" s="1"/>
  <c r="C1034" i="8"/>
  <c r="D1034" i="8" s="1"/>
  <c r="E1034" i="8" s="1"/>
  <c r="C1035" i="8"/>
  <c r="D1035" i="8" s="1"/>
  <c r="E1035" i="8" s="1"/>
  <c r="C1036" i="8"/>
  <c r="D1036" i="8" s="1"/>
  <c r="E1036" i="8" s="1"/>
  <c r="C1037" i="8"/>
  <c r="D1037" i="8" s="1"/>
  <c r="E1037" i="8" s="1"/>
  <c r="C1038" i="8"/>
  <c r="D1038" i="8" s="1"/>
  <c r="E1038" i="8" s="1"/>
  <c r="C1039" i="8"/>
  <c r="D1039" i="8" s="1"/>
  <c r="E1039" i="8" s="1"/>
  <c r="C1040" i="8"/>
  <c r="D1040" i="8" s="1"/>
  <c r="E1040" i="8" s="1"/>
  <c r="C1041" i="8"/>
  <c r="D1041" i="8" s="1"/>
  <c r="E1041" i="8" s="1"/>
  <c r="C1042" i="8"/>
  <c r="D1042" i="8" s="1"/>
  <c r="E1042" i="8" s="1"/>
  <c r="C1043" i="8"/>
  <c r="D1043" i="8" s="1"/>
  <c r="E1043" i="8" s="1"/>
  <c r="C1044" i="8"/>
  <c r="D1044" i="8" s="1"/>
  <c r="E1044" i="8" s="1"/>
  <c r="C1045" i="8"/>
  <c r="D1045" i="8" s="1"/>
  <c r="E1045" i="8" s="1"/>
  <c r="C1046" i="8"/>
  <c r="D1046" i="8" s="1"/>
  <c r="E1046" i="8" s="1"/>
  <c r="C1047" i="8"/>
  <c r="D1047" i="8" s="1"/>
  <c r="E1047" i="8" s="1"/>
  <c r="C1048" i="8"/>
  <c r="D1048" i="8" s="1"/>
  <c r="E1048" i="8" s="1"/>
  <c r="C1049" i="8"/>
  <c r="D1049" i="8" s="1"/>
  <c r="E1049" i="8" s="1"/>
  <c r="C1050" i="8"/>
  <c r="D1050" i="8" s="1"/>
  <c r="E1050" i="8" s="1"/>
  <c r="C1051" i="8"/>
  <c r="D1051" i="8" s="1"/>
  <c r="E1051" i="8" s="1"/>
  <c r="C1052" i="8"/>
  <c r="D1052" i="8" s="1"/>
  <c r="E1052" i="8" s="1"/>
  <c r="C1053" i="8"/>
  <c r="D1053" i="8" s="1"/>
  <c r="E1053" i="8" s="1"/>
  <c r="C1054" i="8"/>
  <c r="D1054" i="8" s="1"/>
  <c r="E1054" i="8" s="1"/>
  <c r="C1055" i="8"/>
  <c r="D1055" i="8" s="1"/>
  <c r="E1055" i="8" s="1"/>
  <c r="C1056" i="8"/>
  <c r="D1056" i="8" s="1"/>
  <c r="E1056" i="8" s="1"/>
  <c r="C1057" i="8"/>
  <c r="D1057" i="8" s="1"/>
  <c r="E1057" i="8" s="1"/>
  <c r="C1058" i="8"/>
  <c r="D1058" i="8" s="1"/>
  <c r="E1058" i="8" s="1"/>
  <c r="C1059" i="8"/>
  <c r="D1059" i="8" s="1"/>
  <c r="E1059" i="8" s="1"/>
  <c r="C1060" i="8"/>
  <c r="D1060" i="8" s="1"/>
  <c r="E1060" i="8" s="1"/>
  <c r="C1061" i="8"/>
  <c r="D1061" i="8" s="1"/>
  <c r="E1061" i="8" s="1"/>
  <c r="C1062" i="8"/>
  <c r="D1062" i="8" s="1"/>
  <c r="E1062" i="8" s="1"/>
  <c r="C1063" i="8"/>
  <c r="D1063" i="8" s="1"/>
  <c r="E1063" i="8" s="1"/>
  <c r="C1064" i="8"/>
  <c r="D1064" i="8" s="1"/>
  <c r="E1064" i="8" s="1"/>
  <c r="C1065" i="8"/>
  <c r="D1065" i="8" s="1"/>
  <c r="E1065" i="8" s="1"/>
  <c r="C1066" i="8"/>
  <c r="D1066" i="8" s="1"/>
  <c r="E1066" i="8" s="1"/>
  <c r="C1067" i="8"/>
  <c r="D1067" i="8" s="1"/>
  <c r="E1067" i="8" s="1"/>
  <c r="C1068" i="8"/>
  <c r="D1068" i="8" s="1"/>
  <c r="E1068" i="8" s="1"/>
  <c r="C1069" i="8"/>
  <c r="D1069" i="8" s="1"/>
  <c r="E1069" i="8" s="1"/>
  <c r="C1070" i="8"/>
  <c r="D1070" i="8" s="1"/>
  <c r="E1070" i="8" s="1"/>
  <c r="C1071" i="8"/>
  <c r="D1071" i="8" s="1"/>
  <c r="E1071" i="8" s="1"/>
  <c r="C1072" i="8"/>
  <c r="D1072" i="8" s="1"/>
  <c r="E1072" i="8" s="1"/>
  <c r="C1073" i="8"/>
  <c r="D1073" i="8" s="1"/>
  <c r="E1073" i="8" s="1"/>
  <c r="C1074" i="8"/>
  <c r="D1074" i="8" s="1"/>
  <c r="E1074" i="8" s="1"/>
  <c r="C1075" i="8"/>
  <c r="D1075" i="8" s="1"/>
  <c r="E1075" i="8" s="1"/>
  <c r="C1076" i="8"/>
  <c r="D1076" i="8" s="1"/>
  <c r="E1076" i="8" s="1"/>
  <c r="C1077" i="8"/>
  <c r="D1077" i="8" s="1"/>
  <c r="E1077" i="8" s="1"/>
  <c r="C1078" i="8"/>
  <c r="D1078" i="8" s="1"/>
  <c r="E1078" i="8" s="1"/>
  <c r="C1079" i="8"/>
  <c r="D1079" i="8" s="1"/>
  <c r="E1079" i="8" s="1"/>
  <c r="C1080" i="8"/>
  <c r="D1080" i="8" s="1"/>
  <c r="E1080" i="8" s="1"/>
  <c r="C1081" i="8"/>
  <c r="D1081" i="8" s="1"/>
  <c r="E1081" i="8" s="1"/>
  <c r="C1082" i="8"/>
  <c r="D1082" i="8" s="1"/>
  <c r="E1082" i="8" s="1"/>
  <c r="C1083" i="8"/>
  <c r="D1083" i="8" s="1"/>
  <c r="E1083" i="8" s="1"/>
  <c r="C1084" i="8"/>
  <c r="D1084" i="8" s="1"/>
  <c r="E1084" i="8" s="1"/>
  <c r="C1085" i="8"/>
  <c r="D1085" i="8" s="1"/>
  <c r="E1085" i="8" s="1"/>
  <c r="C1086" i="8"/>
  <c r="D1086" i="8" s="1"/>
  <c r="E1086" i="8" s="1"/>
  <c r="C1087" i="8"/>
  <c r="D1087" i="8" s="1"/>
  <c r="E1087" i="8" s="1"/>
  <c r="C1088" i="8"/>
  <c r="D1088" i="8" s="1"/>
  <c r="E1088" i="8" s="1"/>
  <c r="C1089" i="8"/>
  <c r="D1089" i="8" s="1"/>
  <c r="E1089" i="8" s="1"/>
  <c r="C1090" i="8"/>
  <c r="D1090" i="8" s="1"/>
  <c r="E1090" i="8" s="1"/>
  <c r="C1091" i="8"/>
  <c r="D1091" i="8" s="1"/>
  <c r="E1091" i="8" s="1"/>
  <c r="C1092" i="8"/>
  <c r="D1092" i="8" s="1"/>
  <c r="E1092" i="8" s="1"/>
  <c r="C1093" i="8"/>
  <c r="D1093" i="8" s="1"/>
  <c r="E1093" i="8" s="1"/>
  <c r="C1094" i="8"/>
  <c r="D1094" i="8" s="1"/>
  <c r="E1094" i="8" s="1"/>
  <c r="C1095" i="8"/>
  <c r="D1095" i="8" s="1"/>
  <c r="E1095" i="8" s="1"/>
  <c r="C1096" i="8"/>
  <c r="D1096" i="8" s="1"/>
  <c r="E1096" i="8" s="1"/>
  <c r="C1097" i="8"/>
  <c r="D1097" i="8" s="1"/>
  <c r="E1097" i="8" s="1"/>
  <c r="C1098" i="8"/>
  <c r="D1098" i="8" s="1"/>
  <c r="E1098" i="8" s="1"/>
  <c r="C1099" i="8"/>
  <c r="D1099" i="8" s="1"/>
  <c r="E1099" i="8" s="1"/>
  <c r="C1100" i="8"/>
  <c r="D1100" i="8" s="1"/>
  <c r="E1100" i="8" s="1"/>
  <c r="C1101" i="8"/>
  <c r="D1101" i="8" s="1"/>
  <c r="E1101" i="8" s="1"/>
  <c r="C1102" i="8"/>
  <c r="D1102" i="8" s="1"/>
  <c r="E1102" i="8" s="1"/>
  <c r="C1103" i="8"/>
  <c r="D1103" i="8" s="1"/>
  <c r="E1103" i="8" s="1"/>
  <c r="C1104" i="8"/>
  <c r="D1104" i="8" s="1"/>
  <c r="E1104" i="8" s="1"/>
  <c r="C1105" i="8"/>
  <c r="D1105" i="8" s="1"/>
  <c r="E1105" i="8" s="1"/>
  <c r="C1106" i="8"/>
  <c r="D1106" i="8" s="1"/>
  <c r="E1106" i="8" s="1"/>
  <c r="C1107" i="8"/>
  <c r="D1107" i="8" s="1"/>
  <c r="E1107" i="8" s="1"/>
  <c r="C1108" i="8"/>
  <c r="D1108" i="8" s="1"/>
  <c r="E1108" i="8" s="1"/>
  <c r="C1109" i="8"/>
  <c r="D1109" i="8" s="1"/>
  <c r="E1109" i="8" s="1"/>
  <c r="C1110" i="8"/>
  <c r="D1110" i="8" s="1"/>
  <c r="E1110" i="8" s="1"/>
  <c r="C1111" i="8"/>
  <c r="D1111" i="8" s="1"/>
  <c r="E1111" i="8" s="1"/>
  <c r="C1112" i="8"/>
  <c r="D1112" i="8" s="1"/>
  <c r="E1112" i="8" s="1"/>
  <c r="C1113" i="8"/>
  <c r="D1113" i="8" s="1"/>
  <c r="E1113" i="8" s="1"/>
  <c r="C1114" i="8"/>
  <c r="D1114" i="8" s="1"/>
  <c r="E1114" i="8" s="1"/>
  <c r="C1115" i="8"/>
  <c r="D1115" i="8" s="1"/>
  <c r="E1115" i="8" s="1"/>
  <c r="C1116" i="8"/>
  <c r="D1116" i="8" s="1"/>
  <c r="E1116" i="8" s="1"/>
  <c r="C1117" i="8"/>
  <c r="D1117" i="8" s="1"/>
  <c r="E1117" i="8" s="1"/>
  <c r="C1118" i="8"/>
  <c r="D1118" i="8" s="1"/>
  <c r="E1118" i="8" s="1"/>
  <c r="C1119" i="8"/>
  <c r="D1119" i="8" s="1"/>
  <c r="E1119" i="8" s="1"/>
  <c r="C1120" i="8"/>
  <c r="D1120" i="8" s="1"/>
  <c r="E1120" i="8" s="1"/>
  <c r="C1121" i="8"/>
  <c r="D1121" i="8" s="1"/>
  <c r="E1121" i="8" s="1"/>
  <c r="C1122" i="8"/>
  <c r="D1122" i="8" s="1"/>
  <c r="E1122" i="8" s="1"/>
  <c r="C1123" i="8"/>
  <c r="D1123" i="8" s="1"/>
  <c r="E1123" i="8" s="1"/>
  <c r="C1124" i="8"/>
  <c r="D1124" i="8" s="1"/>
  <c r="E1124" i="8" s="1"/>
  <c r="C1125" i="8"/>
  <c r="D1125" i="8" s="1"/>
  <c r="E1125" i="8" s="1"/>
  <c r="C1126" i="8"/>
  <c r="D1126" i="8" s="1"/>
  <c r="E1126" i="8" s="1"/>
  <c r="C1127" i="8"/>
  <c r="D1127" i="8" s="1"/>
  <c r="E1127" i="8" s="1"/>
  <c r="C1128" i="8"/>
  <c r="D1128" i="8" s="1"/>
  <c r="E1128" i="8" s="1"/>
  <c r="C1129" i="8"/>
  <c r="D1129" i="8" s="1"/>
  <c r="E1129" i="8" s="1"/>
  <c r="C1130" i="8"/>
  <c r="D1130" i="8" s="1"/>
  <c r="E1130" i="8" s="1"/>
  <c r="C1131" i="8"/>
  <c r="D1131" i="8" s="1"/>
  <c r="E1131" i="8" s="1"/>
  <c r="C1132" i="8"/>
  <c r="D1132" i="8" s="1"/>
  <c r="E1132" i="8" s="1"/>
  <c r="C1133" i="8"/>
  <c r="D1133" i="8" s="1"/>
  <c r="E1133" i="8" s="1"/>
  <c r="C1134" i="8"/>
  <c r="D1134" i="8" s="1"/>
  <c r="E1134" i="8" s="1"/>
  <c r="C1135" i="8"/>
  <c r="D1135" i="8" s="1"/>
  <c r="E1135" i="8" s="1"/>
  <c r="C1136" i="8"/>
  <c r="D1136" i="8" s="1"/>
  <c r="E1136" i="8" s="1"/>
  <c r="C1137" i="8"/>
  <c r="D1137" i="8" s="1"/>
  <c r="E1137" i="8" s="1"/>
  <c r="C1138" i="8"/>
  <c r="D1138" i="8" s="1"/>
  <c r="E1138" i="8" s="1"/>
  <c r="C1139" i="8"/>
  <c r="D1139" i="8" s="1"/>
  <c r="E1139" i="8" s="1"/>
  <c r="C1140" i="8"/>
  <c r="D1140" i="8" s="1"/>
  <c r="E1140" i="8" s="1"/>
  <c r="C1141" i="8"/>
  <c r="D1141" i="8" s="1"/>
  <c r="E1141" i="8" s="1"/>
  <c r="C1142" i="8"/>
  <c r="D1142" i="8" s="1"/>
  <c r="E1142" i="8" s="1"/>
  <c r="C1143" i="8"/>
  <c r="D1143" i="8" s="1"/>
  <c r="E1143" i="8" s="1"/>
  <c r="C1144" i="8"/>
  <c r="D1144" i="8" s="1"/>
  <c r="E1144" i="8" s="1"/>
  <c r="C1145" i="8"/>
  <c r="D1145" i="8" s="1"/>
  <c r="E1145" i="8" s="1"/>
  <c r="C1146" i="8"/>
  <c r="D1146" i="8" s="1"/>
  <c r="E1146" i="8" s="1"/>
  <c r="C1147" i="8"/>
  <c r="D1147" i="8" s="1"/>
  <c r="E1147" i="8" s="1"/>
  <c r="C1148" i="8"/>
  <c r="D1148" i="8" s="1"/>
  <c r="E1148" i="8" s="1"/>
  <c r="C1149" i="8"/>
  <c r="D1149" i="8" s="1"/>
  <c r="E1149" i="8" s="1"/>
  <c r="C1150" i="8"/>
  <c r="D1150" i="8" s="1"/>
  <c r="E1150" i="8" s="1"/>
  <c r="C1151" i="8"/>
  <c r="D1151" i="8" s="1"/>
  <c r="E1151" i="8" s="1"/>
  <c r="C1152" i="8"/>
  <c r="D1152" i="8" s="1"/>
  <c r="E1152" i="8" s="1"/>
  <c r="C1153" i="8"/>
  <c r="D1153" i="8" s="1"/>
  <c r="E1153" i="8" s="1"/>
  <c r="C1154" i="8"/>
  <c r="D1154" i="8" s="1"/>
  <c r="E1154" i="8" s="1"/>
  <c r="C1155" i="8"/>
  <c r="D1155" i="8" s="1"/>
  <c r="E1155" i="8" s="1"/>
  <c r="C1156" i="8"/>
  <c r="D1156" i="8" s="1"/>
  <c r="E1156" i="8" s="1"/>
  <c r="C1157" i="8"/>
  <c r="D1157" i="8" s="1"/>
  <c r="E1157" i="8" s="1"/>
  <c r="C1158" i="8"/>
  <c r="D1158" i="8" s="1"/>
  <c r="E1158" i="8" s="1"/>
  <c r="C1159" i="8"/>
  <c r="D1159" i="8" s="1"/>
  <c r="E1159" i="8" s="1"/>
  <c r="C1160" i="8"/>
  <c r="D1160" i="8" s="1"/>
  <c r="E1160" i="8" s="1"/>
  <c r="C1161" i="8"/>
  <c r="D1161" i="8" s="1"/>
  <c r="E1161" i="8" s="1"/>
  <c r="C1162" i="8"/>
  <c r="D1162" i="8" s="1"/>
  <c r="E1162" i="8" s="1"/>
  <c r="C1163" i="8"/>
  <c r="D1163" i="8" s="1"/>
  <c r="E1163" i="8" s="1"/>
  <c r="C1164" i="8"/>
  <c r="D1164" i="8" s="1"/>
  <c r="E1164" i="8" s="1"/>
  <c r="C1165" i="8"/>
  <c r="D1165" i="8" s="1"/>
  <c r="E1165" i="8" s="1"/>
  <c r="C1166" i="8"/>
  <c r="D1166" i="8" s="1"/>
  <c r="E1166" i="8" s="1"/>
  <c r="C1167" i="8"/>
  <c r="D1167" i="8" s="1"/>
  <c r="E1167" i="8" s="1"/>
  <c r="C1168" i="8"/>
  <c r="D1168" i="8" s="1"/>
  <c r="E1168" i="8" s="1"/>
  <c r="C1169" i="8"/>
  <c r="D1169" i="8" s="1"/>
  <c r="E1169" i="8" s="1"/>
  <c r="C1170" i="8"/>
  <c r="D1170" i="8" s="1"/>
  <c r="E1170" i="8" s="1"/>
  <c r="C1171" i="8"/>
  <c r="D1171" i="8" s="1"/>
  <c r="E1171" i="8" s="1"/>
  <c r="C1172" i="8"/>
  <c r="D1172" i="8" s="1"/>
  <c r="E1172" i="8" s="1"/>
  <c r="C1173" i="8"/>
  <c r="D1173" i="8" s="1"/>
  <c r="E1173" i="8" s="1"/>
  <c r="C1174" i="8"/>
  <c r="D1174" i="8" s="1"/>
  <c r="E1174" i="8" s="1"/>
  <c r="C1175" i="8"/>
  <c r="D1175" i="8" s="1"/>
  <c r="E1175" i="8" s="1"/>
  <c r="C1176" i="8"/>
  <c r="D1176" i="8" s="1"/>
  <c r="E1176" i="8" s="1"/>
  <c r="C1177" i="8"/>
  <c r="D1177" i="8" s="1"/>
  <c r="E1177" i="8" s="1"/>
  <c r="C1178" i="8"/>
  <c r="D1178" i="8" s="1"/>
  <c r="E1178" i="8" s="1"/>
  <c r="C1179" i="8"/>
  <c r="D1179" i="8" s="1"/>
  <c r="E1179" i="8" s="1"/>
  <c r="C1180" i="8"/>
  <c r="D1180" i="8" s="1"/>
  <c r="E1180" i="8" s="1"/>
  <c r="C1181" i="8"/>
  <c r="D1181" i="8" s="1"/>
  <c r="E1181" i="8" s="1"/>
  <c r="C1182" i="8"/>
  <c r="D1182" i="8" s="1"/>
  <c r="E1182" i="8" s="1"/>
  <c r="C1183" i="8"/>
  <c r="D1183" i="8" s="1"/>
  <c r="E1183" i="8" s="1"/>
  <c r="C1184" i="8"/>
  <c r="D1184" i="8" s="1"/>
  <c r="E1184" i="8" s="1"/>
  <c r="C1185" i="8"/>
  <c r="D1185" i="8" s="1"/>
  <c r="E1185" i="8" s="1"/>
  <c r="C1186" i="8"/>
  <c r="D1186" i="8" s="1"/>
  <c r="E1186" i="8" s="1"/>
  <c r="C1187" i="8"/>
  <c r="D1187" i="8" s="1"/>
  <c r="E1187" i="8" s="1"/>
  <c r="C1188" i="8"/>
  <c r="D1188" i="8" s="1"/>
  <c r="E1188" i="8" s="1"/>
  <c r="C1189" i="8"/>
  <c r="D1189" i="8" s="1"/>
  <c r="E1189" i="8" s="1"/>
  <c r="C1190" i="8"/>
  <c r="D1190" i="8" s="1"/>
  <c r="E1190" i="8" s="1"/>
  <c r="C1191" i="8"/>
  <c r="D1191" i="8" s="1"/>
  <c r="E1191" i="8" s="1"/>
  <c r="C1192" i="8"/>
  <c r="D1192" i="8" s="1"/>
  <c r="E1192" i="8" s="1"/>
  <c r="C1193" i="8"/>
  <c r="D1193" i="8" s="1"/>
  <c r="E1193" i="8" s="1"/>
  <c r="C1194" i="8"/>
  <c r="D1194" i="8" s="1"/>
  <c r="E1194" i="8" s="1"/>
  <c r="C1195" i="8"/>
  <c r="D1195" i="8" s="1"/>
  <c r="E1195" i="8" s="1"/>
  <c r="C1196" i="8"/>
  <c r="D1196" i="8" s="1"/>
  <c r="E1196" i="8" s="1"/>
  <c r="C1197" i="8"/>
  <c r="D1197" i="8" s="1"/>
  <c r="E1197" i="8" s="1"/>
  <c r="C1198" i="8"/>
  <c r="D1198" i="8" s="1"/>
  <c r="E1198" i="8" s="1"/>
  <c r="C1199" i="8"/>
  <c r="D1199" i="8" s="1"/>
  <c r="E1199" i="8" s="1"/>
  <c r="C1200" i="8"/>
  <c r="D1200" i="8" s="1"/>
  <c r="E1200" i="8" s="1"/>
  <c r="C1201" i="8"/>
  <c r="D1201" i="8" s="1"/>
  <c r="E1201" i="8" s="1"/>
  <c r="C1202" i="8"/>
  <c r="D1202" i="8" s="1"/>
  <c r="E1202" i="8" s="1"/>
  <c r="C1203" i="8"/>
  <c r="D1203" i="8" s="1"/>
  <c r="E1203" i="8" s="1"/>
  <c r="C1204" i="8"/>
  <c r="D1204" i="8" s="1"/>
  <c r="E1204" i="8" s="1"/>
  <c r="C1205" i="8"/>
  <c r="D1205" i="8" s="1"/>
  <c r="E1205" i="8" s="1"/>
  <c r="C1206" i="8"/>
  <c r="D1206" i="8" s="1"/>
  <c r="E1206" i="8" s="1"/>
  <c r="C1207" i="8"/>
  <c r="D1207" i="8" s="1"/>
  <c r="E1207" i="8" s="1"/>
  <c r="C1208" i="8"/>
  <c r="D1208" i="8" s="1"/>
  <c r="E1208" i="8" s="1"/>
  <c r="C1209" i="8"/>
  <c r="D1209" i="8" s="1"/>
  <c r="E1209" i="8" s="1"/>
  <c r="C1210" i="8"/>
  <c r="D1210" i="8" s="1"/>
  <c r="E1210" i="8" s="1"/>
  <c r="C1211" i="8"/>
  <c r="D1211" i="8" s="1"/>
  <c r="E1211" i="8" s="1"/>
  <c r="C1212" i="8"/>
  <c r="D1212" i="8" s="1"/>
  <c r="E1212" i="8" s="1"/>
  <c r="C1213" i="8"/>
  <c r="D1213" i="8" s="1"/>
  <c r="E1213" i="8" s="1"/>
  <c r="C1214" i="8"/>
  <c r="D1214" i="8" s="1"/>
  <c r="E1214" i="8" s="1"/>
  <c r="C1215" i="8"/>
  <c r="D1215" i="8" s="1"/>
  <c r="E1215" i="8" s="1"/>
  <c r="C1216" i="8"/>
  <c r="D1216" i="8" s="1"/>
  <c r="E1216" i="8" s="1"/>
  <c r="C1217" i="8"/>
  <c r="D1217" i="8" s="1"/>
  <c r="E1217" i="8" s="1"/>
  <c r="C1218" i="8"/>
  <c r="D1218" i="8" s="1"/>
  <c r="E1218" i="8" s="1"/>
  <c r="C1219" i="8"/>
  <c r="D1219" i="8" s="1"/>
  <c r="E1219" i="8" s="1"/>
  <c r="C1220" i="8"/>
  <c r="D1220" i="8" s="1"/>
  <c r="E1220" i="8" s="1"/>
  <c r="C1221" i="8"/>
  <c r="D1221" i="8" s="1"/>
  <c r="E1221" i="8" s="1"/>
  <c r="C1222" i="8"/>
  <c r="D1222" i="8" s="1"/>
  <c r="E1222" i="8" s="1"/>
  <c r="C1223" i="8"/>
  <c r="D1223" i="8" s="1"/>
  <c r="E1223" i="8" s="1"/>
  <c r="C1224" i="8"/>
  <c r="D1224" i="8" s="1"/>
  <c r="E1224" i="8" s="1"/>
  <c r="C1225" i="8"/>
  <c r="D1225" i="8" s="1"/>
  <c r="E1225" i="8" s="1"/>
  <c r="C1226" i="8"/>
  <c r="D1226" i="8" s="1"/>
  <c r="E1226" i="8" s="1"/>
  <c r="C1227" i="8"/>
  <c r="D1227" i="8" s="1"/>
  <c r="E1227" i="8" s="1"/>
  <c r="C1228" i="8"/>
  <c r="D1228" i="8" s="1"/>
  <c r="E1228" i="8" s="1"/>
  <c r="C1229" i="8"/>
  <c r="D1229" i="8" s="1"/>
  <c r="E1229" i="8" s="1"/>
  <c r="C1230" i="8"/>
  <c r="D1230" i="8" s="1"/>
  <c r="E1230" i="8" s="1"/>
  <c r="C1231" i="8"/>
  <c r="D1231" i="8" s="1"/>
  <c r="E1231" i="8" s="1"/>
  <c r="C1232" i="8"/>
  <c r="D1232" i="8" s="1"/>
  <c r="E1232" i="8" s="1"/>
  <c r="C1233" i="8"/>
  <c r="D1233" i="8" s="1"/>
  <c r="E1233" i="8" s="1"/>
  <c r="C1234" i="8"/>
  <c r="D1234" i="8" s="1"/>
  <c r="E1234" i="8" s="1"/>
  <c r="C1235" i="8"/>
  <c r="D1235" i="8" s="1"/>
  <c r="E1235" i="8" s="1"/>
  <c r="C1236" i="8"/>
  <c r="D1236" i="8" s="1"/>
  <c r="E1236" i="8" s="1"/>
  <c r="C1237" i="8"/>
  <c r="D1237" i="8" s="1"/>
  <c r="E1237" i="8" s="1"/>
  <c r="C1238" i="8"/>
  <c r="D1238" i="8" s="1"/>
  <c r="E1238" i="8" s="1"/>
  <c r="C1239" i="8"/>
  <c r="D1239" i="8" s="1"/>
  <c r="E1239" i="8" s="1"/>
  <c r="C1240" i="8"/>
  <c r="D1240" i="8" s="1"/>
  <c r="E1240" i="8" s="1"/>
  <c r="C1241" i="8"/>
  <c r="D1241" i="8" s="1"/>
  <c r="E1241" i="8" s="1"/>
  <c r="C1242" i="8"/>
  <c r="D1242" i="8" s="1"/>
  <c r="E1242" i="8" s="1"/>
  <c r="C1243" i="8"/>
  <c r="D1243" i="8" s="1"/>
  <c r="E1243" i="8" s="1"/>
  <c r="C1244" i="8"/>
  <c r="D1244" i="8" s="1"/>
  <c r="E1244" i="8" s="1"/>
  <c r="C1245" i="8"/>
  <c r="D1245" i="8" s="1"/>
  <c r="E1245" i="8" s="1"/>
  <c r="C1246" i="8"/>
  <c r="D1246" i="8" s="1"/>
  <c r="E1246" i="8" s="1"/>
  <c r="C1247" i="8"/>
  <c r="D1247" i="8" s="1"/>
  <c r="E1247" i="8" s="1"/>
  <c r="C1248" i="8"/>
  <c r="D1248" i="8" s="1"/>
  <c r="E1248" i="8" s="1"/>
  <c r="C1249" i="8"/>
  <c r="D1249" i="8" s="1"/>
  <c r="E1249" i="8" s="1"/>
  <c r="C1250" i="8"/>
  <c r="D1250" i="8" s="1"/>
  <c r="E1250" i="8" s="1"/>
  <c r="C1251" i="8"/>
  <c r="D1251" i="8" s="1"/>
  <c r="E1251" i="8" s="1"/>
  <c r="C1252" i="8"/>
  <c r="D1252" i="8" s="1"/>
  <c r="E1252" i="8" s="1"/>
  <c r="C1253" i="8"/>
  <c r="D1253" i="8" s="1"/>
  <c r="E1253" i="8" s="1"/>
  <c r="C1254" i="8"/>
  <c r="D1254" i="8" s="1"/>
  <c r="E1254" i="8" s="1"/>
  <c r="C1255" i="8"/>
  <c r="D1255" i="8" s="1"/>
  <c r="E1255" i="8" s="1"/>
  <c r="C1256" i="8"/>
  <c r="D1256" i="8" s="1"/>
  <c r="E1256" i="8" s="1"/>
  <c r="C1257" i="8"/>
  <c r="D1257" i="8" s="1"/>
  <c r="E1257" i="8" s="1"/>
  <c r="C1258" i="8"/>
  <c r="D1258" i="8" s="1"/>
  <c r="E1258" i="8" s="1"/>
  <c r="C1259" i="8"/>
  <c r="D1259" i="8" s="1"/>
  <c r="E1259" i="8" s="1"/>
  <c r="C1260" i="8"/>
  <c r="D1260" i="8" s="1"/>
  <c r="E1260" i="8" s="1"/>
  <c r="C1261" i="8"/>
  <c r="D1261" i="8" s="1"/>
  <c r="E1261" i="8" s="1"/>
  <c r="C1262" i="8"/>
  <c r="D1262" i="8" s="1"/>
  <c r="E1262" i="8" s="1"/>
  <c r="C1263" i="8"/>
  <c r="D1263" i="8" s="1"/>
  <c r="E1263" i="8" s="1"/>
  <c r="C1264" i="8"/>
  <c r="D1264" i="8" s="1"/>
  <c r="E1264" i="8" s="1"/>
  <c r="C1265" i="8"/>
  <c r="D1265" i="8" s="1"/>
  <c r="E1265" i="8" s="1"/>
  <c r="C1266" i="8"/>
  <c r="D1266" i="8" s="1"/>
  <c r="E1266" i="8" s="1"/>
  <c r="C1267" i="8"/>
  <c r="D1267" i="8" s="1"/>
  <c r="E1267" i="8" s="1"/>
  <c r="C1268" i="8"/>
  <c r="D1268" i="8" s="1"/>
  <c r="E1268" i="8" s="1"/>
  <c r="C1269" i="8"/>
  <c r="D1269" i="8" s="1"/>
  <c r="E1269" i="8" s="1"/>
  <c r="C1270" i="8"/>
  <c r="D1270" i="8" s="1"/>
  <c r="E1270" i="8" s="1"/>
  <c r="C1271" i="8"/>
  <c r="D1271" i="8" s="1"/>
  <c r="E1271" i="8" s="1"/>
  <c r="C1272" i="8"/>
  <c r="D1272" i="8" s="1"/>
  <c r="E1272" i="8" s="1"/>
  <c r="C1273" i="8"/>
  <c r="D1273" i="8" s="1"/>
  <c r="E1273" i="8" s="1"/>
  <c r="C1274" i="8"/>
  <c r="D1274" i="8" s="1"/>
  <c r="E1274" i="8" s="1"/>
  <c r="C1275" i="8"/>
  <c r="D1275" i="8" s="1"/>
  <c r="E1275" i="8" s="1"/>
  <c r="C1276" i="8"/>
  <c r="D1276" i="8" s="1"/>
  <c r="E1276" i="8" s="1"/>
  <c r="C1277" i="8"/>
  <c r="D1277" i="8" s="1"/>
  <c r="E1277" i="8" s="1"/>
  <c r="C1278" i="8"/>
  <c r="D1278" i="8" s="1"/>
  <c r="E1278" i="8" s="1"/>
  <c r="C1279" i="8"/>
  <c r="D1279" i="8" s="1"/>
  <c r="E1279" i="8" s="1"/>
  <c r="C1280" i="8"/>
  <c r="D1280" i="8" s="1"/>
  <c r="E1280" i="8" s="1"/>
  <c r="C1281" i="8"/>
  <c r="D1281" i="8" s="1"/>
  <c r="E1281" i="8" s="1"/>
  <c r="C1282" i="8"/>
  <c r="D1282" i="8" s="1"/>
  <c r="E1282" i="8" s="1"/>
  <c r="C1283" i="8"/>
  <c r="D1283" i="8" s="1"/>
  <c r="E1283" i="8" s="1"/>
  <c r="C1284" i="8"/>
  <c r="D1284" i="8" s="1"/>
  <c r="E1284" i="8" s="1"/>
  <c r="C1285" i="8"/>
  <c r="D1285" i="8" s="1"/>
  <c r="E1285" i="8" s="1"/>
  <c r="C1286" i="8"/>
  <c r="D1286" i="8" s="1"/>
  <c r="E1286" i="8" s="1"/>
  <c r="C1287" i="8"/>
  <c r="D1287" i="8" s="1"/>
  <c r="E1287" i="8" s="1"/>
  <c r="C1288" i="8"/>
  <c r="D1288" i="8" s="1"/>
  <c r="E1288" i="8" s="1"/>
  <c r="C1289" i="8"/>
  <c r="D1289" i="8" s="1"/>
  <c r="E1289" i="8" s="1"/>
  <c r="C1290" i="8"/>
  <c r="D1290" i="8" s="1"/>
  <c r="E1290" i="8" s="1"/>
  <c r="C1291" i="8"/>
  <c r="D1291" i="8" s="1"/>
  <c r="E1291" i="8" s="1"/>
  <c r="C1292" i="8"/>
  <c r="D1292" i="8" s="1"/>
  <c r="E1292" i="8" s="1"/>
  <c r="C1293" i="8"/>
  <c r="D1293" i="8" s="1"/>
  <c r="E1293" i="8" s="1"/>
  <c r="C1294" i="8"/>
  <c r="D1294" i="8" s="1"/>
  <c r="E1294" i="8" s="1"/>
  <c r="C1295" i="8"/>
  <c r="D1295" i="8" s="1"/>
  <c r="E1295" i="8" s="1"/>
  <c r="C1296" i="8"/>
  <c r="D1296" i="8" s="1"/>
  <c r="E1296" i="8" s="1"/>
  <c r="C1297" i="8"/>
  <c r="D1297" i="8" s="1"/>
  <c r="E1297" i="8" s="1"/>
  <c r="C1298" i="8"/>
  <c r="D1298" i="8" s="1"/>
  <c r="E1298" i="8" s="1"/>
  <c r="C1299" i="8"/>
  <c r="D1299" i="8" s="1"/>
  <c r="E1299" i="8" s="1"/>
  <c r="C1300" i="8"/>
  <c r="D1300" i="8" s="1"/>
  <c r="E1300" i="8" s="1"/>
  <c r="C1301" i="8"/>
  <c r="D1301" i="8" s="1"/>
  <c r="E1301" i="8" s="1"/>
  <c r="C1302" i="8"/>
  <c r="D1302" i="8" s="1"/>
  <c r="E1302" i="8" s="1"/>
  <c r="C1303" i="8"/>
  <c r="D1303" i="8" s="1"/>
  <c r="E1303" i="8" s="1"/>
  <c r="C1304" i="8"/>
  <c r="D1304" i="8" s="1"/>
  <c r="E1304" i="8" s="1"/>
  <c r="C1305" i="8"/>
  <c r="D1305" i="8" s="1"/>
  <c r="E1305" i="8" s="1"/>
  <c r="C1306" i="8"/>
  <c r="D1306" i="8" s="1"/>
  <c r="E1306" i="8" s="1"/>
  <c r="C1307" i="8"/>
  <c r="D1307" i="8" s="1"/>
  <c r="E1307" i="8" s="1"/>
  <c r="C1308" i="8"/>
  <c r="D1308" i="8" s="1"/>
  <c r="E1308" i="8" s="1"/>
  <c r="C1309" i="8"/>
  <c r="D1309" i="8" s="1"/>
  <c r="E1309" i="8" s="1"/>
  <c r="C1310" i="8"/>
  <c r="D1310" i="8" s="1"/>
  <c r="E1310" i="8" s="1"/>
  <c r="C1311" i="8"/>
  <c r="D1311" i="8" s="1"/>
  <c r="E1311" i="8" s="1"/>
  <c r="C1312" i="8"/>
  <c r="D1312" i="8" s="1"/>
  <c r="E1312" i="8" s="1"/>
  <c r="C1313" i="8"/>
  <c r="D1313" i="8" s="1"/>
  <c r="E1313" i="8" s="1"/>
  <c r="C1314" i="8"/>
  <c r="D1314" i="8" s="1"/>
  <c r="E1314" i="8" s="1"/>
  <c r="C1315" i="8"/>
  <c r="D1315" i="8" s="1"/>
  <c r="E1315" i="8" s="1"/>
  <c r="C1316" i="8"/>
  <c r="D1316" i="8" s="1"/>
  <c r="E1316" i="8" s="1"/>
  <c r="C1317" i="8"/>
  <c r="D1317" i="8" s="1"/>
  <c r="E1317" i="8" s="1"/>
  <c r="C1318" i="8"/>
  <c r="D1318" i="8" s="1"/>
  <c r="E1318" i="8" s="1"/>
  <c r="C1319" i="8"/>
  <c r="D1319" i="8" s="1"/>
  <c r="E1319" i="8" s="1"/>
  <c r="C1320" i="8"/>
  <c r="D1320" i="8" s="1"/>
  <c r="E1320" i="8" s="1"/>
  <c r="C1321" i="8"/>
  <c r="D1321" i="8" s="1"/>
  <c r="E1321" i="8" s="1"/>
  <c r="C1322" i="8"/>
  <c r="D1322" i="8" s="1"/>
  <c r="E1322" i="8" s="1"/>
  <c r="C1323" i="8"/>
  <c r="D1323" i="8" s="1"/>
  <c r="E1323" i="8" s="1"/>
  <c r="C1324" i="8"/>
  <c r="D1324" i="8" s="1"/>
  <c r="E1324" i="8" s="1"/>
  <c r="C1325" i="8"/>
  <c r="D1325" i="8" s="1"/>
  <c r="E1325" i="8" s="1"/>
  <c r="C1326" i="8"/>
  <c r="D1326" i="8" s="1"/>
  <c r="E1326" i="8" s="1"/>
  <c r="C1327" i="8"/>
  <c r="D1327" i="8" s="1"/>
  <c r="E1327" i="8" s="1"/>
  <c r="C1328" i="8"/>
  <c r="D1328" i="8" s="1"/>
  <c r="E1328" i="8" s="1"/>
  <c r="C1329" i="8"/>
  <c r="D1329" i="8" s="1"/>
  <c r="E1329" i="8" s="1"/>
  <c r="C1330" i="8"/>
  <c r="D1330" i="8" s="1"/>
  <c r="E1330" i="8" s="1"/>
  <c r="C1331" i="8"/>
  <c r="D1331" i="8" s="1"/>
  <c r="E1331" i="8" s="1"/>
  <c r="C1332" i="8"/>
  <c r="D1332" i="8" s="1"/>
  <c r="E1332" i="8" s="1"/>
  <c r="C1333" i="8"/>
  <c r="D1333" i="8" s="1"/>
  <c r="E1333" i="8" s="1"/>
  <c r="C1334" i="8"/>
  <c r="D1334" i="8" s="1"/>
  <c r="E1334" i="8" s="1"/>
  <c r="C1335" i="8"/>
  <c r="D1335" i="8" s="1"/>
  <c r="E1335" i="8" s="1"/>
  <c r="C1336" i="8"/>
  <c r="D1336" i="8" s="1"/>
  <c r="E1336" i="8" s="1"/>
  <c r="C1337" i="8"/>
  <c r="D1337" i="8" s="1"/>
  <c r="E1337" i="8" s="1"/>
  <c r="C1338" i="8"/>
  <c r="D1338" i="8" s="1"/>
  <c r="E1338" i="8" s="1"/>
  <c r="C1339" i="8"/>
  <c r="D1339" i="8" s="1"/>
  <c r="E1339" i="8" s="1"/>
  <c r="C1340" i="8"/>
  <c r="D1340" i="8" s="1"/>
  <c r="E1340" i="8" s="1"/>
  <c r="C1341" i="8"/>
  <c r="D1341" i="8" s="1"/>
  <c r="E1341" i="8" s="1"/>
  <c r="C1342" i="8"/>
  <c r="D1342" i="8" s="1"/>
  <c r="E1342" i="8" s="1"/>
  <c r="C1343" i="8"/>
  <c r="D1343" i="8" s="1"/>
  <c r="E1343" i="8" s="1"/>
  <c r="C1344" i="8"/>
  <c r="D1344" i="8" s="1"/>
  <c r="E1344" i="8" s="1"/>
  <c r="C1345" i="8"/>
  <c r="D1345" i="8" s="1"/>
  <c r="E1345" i="8" s="1"/>
  <c r="C1346" i="8"/>
  <c r="D1346" i="8" s="1"/>
  <c r="E1346" i="8" s="1"/>
  <c r="C1347" i="8"/>
  <c r="D1347" i="8" s="1"/>
  <c r="E1347" i="8" s="1"/>
  <c r="C1348" i="8"/>
  <c r="D1348" i="8" s="1"/>
  <c r="E1348" i="8" s="1"/>
  <c r="C1349" i="8"/>
  <c r="D1349" i="8" s="1"/>
  <c r="E1349" i="8" s="1"/>
  <c r="C1350" i="8"/>
  <c r="D1350" i="8" s="1"/>
  <c r="E1350" i="8" s="1"/>
  <c r="C1351" i="8"/>
  <c r="D1351" i="8" s="1"/>
  <c r="E1351" i="8" s="1"/>
  <c r="C1352" i="8"/>
  <c r="D1352" i="8" s="1"/>
  <c r="E1352" i="8" s="1"/>
  <c r="C1353" i="8"/>
  <c r="D1353" i="8" s="1"/>
  <c r="E1353" i="8" s="1"/>
  <c r="C1354" i="8"/>
  <c r="D1354" i="8" s="1"/>
  <c r="E1354" i="8" s="1"/>
  <c r="C1355" i="8"/>
  <c r="D1355" i="8" s="1"/>
  <c r="E1355" i="8" s="1"/>
  <c r="C1356" i="8"/>
  <c r="D1356" i="8" s="1"/>
  <c r="E1356" i="8" s="1"/>
  <c r="C1357" i="8"/>
  <c r="D1357" i="8" s="1"/>
  <c r="E1357" i="8" s="1"/>
  <c r="C1358" i="8"/>
  <c r="D1358" i="8" s="1"/>
  <c r="E1358" i="8" s="1"/>
  <c r="C1359" i="8"/>
  <c r="D1359" i="8" s="1"/>
  <c r="E1359" i="8" s="1"/>
  <c r="C1360" i="8"/>
  <c r="D1360" i="8" s="1"/>
  <c r="E1360" i="8" s="1"/>
  <c r="C1361" i="8"/>
  <c r="D1361" i="8" s="1"/>
  <c r="E1361" i="8" s="1"/>
  <c r="C1362" i="8"/>
  <c r="D1362" i="8" s="1"/>
  <c r="E1362" i="8" s="1"/>
  <c r="C1363" i="8"/>
  <c r="D1363" i="8" s="1"/>
  <c r="E1363" i="8" s="1"/>
  <c r="C1364" i="8"/>
  <c r="D1364" i="8" s="1"/>
  <c r="E1364" i="8" s="1"/>
  <c r="C1365" i="8"/>
  <c r="D1365" i="8" s="1"/>
  <c r="E1365" i="8" s="1"/>
  <c r="C1366" i="8"/>
  <c r="D1366" i="8" s="1"/>
  <c r="E1366" i="8" s="1"/>
  <c r="C1367" i="8"/>
  <c r="D1367" i="8" s="1"/>
  <c r="E1367" i="8" s="1"/>
  <c r="C1368" i="8"/>
  <c r="D1368" i="8" s="1"/>
  <c r="E1368" i="8" s="1"/>
  <c r="C1369" i="8"/>
  <c r="D1369" i="8" s="1"/>
  <c r="E1369" i="8" s="1"/>
  <c r="C1370" i="8"/>
  <c r="D1370" i="8" s="1"/>
  <c r="E1370" i="8" s="1"/>
  <c r="C1371" i="8"/>
  <c r="D1371" i="8" s="1"/>
  <c r="E1371" i="8" s="1"/>
  <c r="C1372" i="8"/>
  <c r="D1372" i="8" s="1"/>
  <c r="E1372" i="8" s="1"/>
  <c r="C1373" i="8"/>
  <c r="D1373" i="8" s="1"/>
  <c r="E1373" i="8" s="1"/>
  <c r="C1374" i="8"/>
  <c r="D1374" i="8" s="1"/>
  <c r="E1374" i="8" s="1"/>
  <c r="C1375" i="8"/>
  <c r="D1375" i="8" s="1"/>
  <c r="E1375" i="8" s="1"/>
  <c r="C1376" i="8"/>
  <c r="D1376" i="8" s="1"/>
  <c r="E1376" i="8" s="1"/>
  <c r="C1377" i="8"/>
  <c r="D1377" i="8" s="1"/>
  <c r="E1377" i="8" s="1"/>
  <c r="C1378" i="8"/>
  <c r="D1378" i="8" s="1"/>
  <c r="E1378" i="8" s="1"/>
  <c r="C1379" i="8"/>
  <c r="D1379" i="8" s="1"/>
  <c r="E1379" i="8" s="1"/>
  <c r="C1380" i="8"/>
  <c r="D1380" i="8" s="1"/>
  <c r="E1380" i="8" s="1"/>
  <c r="C1381" i="8"/>
  <c r="D1381" i="8" s="1"/>
  <c r="E1381" i="8" s="1"/>
  <c r="C1382" i="8"/>
  <c r="D1382" i="8" s="1"/>
  <c r="E1382" i="8" s="1"/>
  <c r="C1383" i="8"/>
  <c r="D1383" i="8" s="1"/>
  <c r="E1383" i="8" s="1"/>
  <c r="C1384" i="8"/>
  <c r="D1384" i="8" s="1"/>
  <c r="E1384" i="8" s="1"/>
  <c r="C1385" i="8"/>
  <c r="D1385" i="8" s="1"/>
  <c r="E1385" i="8" s="1"/>
  <c r="C1386" i="8"/>
  <c r="D1386" i="8" s="1"/>
  <c r="E1386" i="8" s="1"/>
  <c r="C1387" i="8"/>
  <c r="D1387" i="8" s="1"/>
  <c r="E1387" i="8" s="1"/>
  <c r="C1388" i="8"/>
  <c r="D1388" i="8" s="1"/>
  <c r="E1388" i="8" s="1"/>
  <c r="C1389" i="8"/>
  <c r="D1389" i="8" s="1"/>
  <c r="E1389" i="8" s="1"/>
  <c r="C1390" i="8"/>
  <c r="D1390" i="8" s="1"/>
  <c r="E1390" i="8" s="1"/>
  <c r="C1391" i="8"/>
  <c r="D1391" i="8" s="1"/>
  <c r="E1391" i="8" s="1"/>
  <c r="C1392" i="8"/>
  <c r="D1392" i="8" s="1"/>
  <c r="E1392" i="8" s="1"/>
  <c r="C1393" i="8"/>
  <c r="D1393" i="8" s="1"/>
  <c r="E1393" i="8" s="1"/>
  <c r="C1394" i="8"/>
  <c r="D1394" i="8" s="1"/>
  <c r="E1394" i="8" s="1"/>
  <c r="C1395" i="8"/>
  <c r="D1395" i="8" s="1"/>
  <c r="E1395" i="8" s="1"/>
  <c r="C1396" i="8"/>
  <c r="D1396" i="8" s="1"/>
  <c r="E1396" i="8" s="1"/>
  <c r="C1397" i="8"/>
  <c r="D1397" i="8" s="1"/>
  <c r="E1397" i="8" s="1"/>
  <c r="C1398" i="8"/>
  <c r="D1398" i="8" s="1"/>
  <c r="E1398" i="8" s="1"/>
  <c r="C1399" i="8"/>
  <c r="D1399" i="8" s="1"/>
  <c r="E1399" i="8" s="1"/>
  <c r="C1400" i="8"/>
  <c r="D1400" i="8" s="1"/>
  <c r="E1400" i="8" s="1"/>
  <c r="C1401" i="8"/>
  <c r="D1401" i="8" s="1"/>
  <c r="E1401" i="8" s="1"/>
  <c r="C1402" i="8"/>
  <c r="D1402" i="8" s="1"/>
  <c r="E1402" i="8" s="1"/>
  <c r="C1403" i="8"/>
  <c r="D1403" i="8" s="1"/>
  <c r="E1403" i="8" s="1"/>
  <c r="C1404" i="8"/>
  <c r="D1404" i="8" s="1"/>
  <c r="E1404" i="8" s="1"/>
  <c r="C1405" i="8"/>
  <c r="D1405" i="8" s="1"/>
  <c r="E1405" i="8" s="1"/>
  <c r="C1406" i="8"/>
  <c r="D1406" i="8" s="1"/>
  <c r="E1406" i="8" s="1"/>
  <c r="C1407" i="8"/>
  <c r="D1407" i="8" s="1"/>
  <c r="E1407" i="8" s="1"/>
  <c r="C1408" i="8"/>
  <c r="D1408" i="8" s="1"/>
  <c r="E1408" i="8" s="1"/>
  <c r="C1409" i="8"/>
  <c r="D1409" i="8" s="1"/>
  <c r="E1409" i="8" s="1"/>
  <c r="C1410" i="8"/>
  <c r="D1410" i="8" s="1"/>
  <c r="E1410" i="8" s="1"/>
  <c r="C1411" i="8"/>
  <c r="D1411" i="8" s="1"/>
  <c r="E1411" i="8" s="1"/>
  <c r="C1412" i="8"/>
  <c r="D1412" i="8" s="1"/>
  <c r="E1412" i="8" s="1"/>
  <c r="C1413" i="8"/>
  <c r="D1413" i="8" s="1"/>
  <c r="E1413" i="8" s="1"/>
  <c r="C1414" i="8"/>
  <c r="D1414" i="8" s="1"/>
  <c r="E1414" i="8" s="1"/>
  <c r="C1415" i="8"/>
  <c r="D1415" i="8" s="1"/>
  <c r="E1415" i="8" s="1"/>
  <c r="C1416" i="8"/>
  <c r="D1416" i="8" s="1"/>
  <c r="E1416" i="8" s="1"/>
  <c r="C1417" i="8"/>
  <c r="D1417" i="8" s="1"/>
  <c r="E1417" i="8" s="1"/>
  <c r="C1418" i="8"/>
  <c r="D1418" i="8" s="1"/>
  <c r="E1418" i="8" s="1"/>
  <c r="C1419" i="8"/>
  <c r="D1419" i="8" s="1"/>
  <c r="E1419" i="8" s="1"/>
  <c r="C1420" i="8"/>
  <c r="D1420" i="8" s="1"/>
  <c r="E1420" i="8" s="1"/>
  <c r="C1421" i="8"/>
  <c r="D1421" i="8" s="1"/>
  <c r="E1421" i="8" s="1"/>
  <c r="C1422" i="8"/>
  <c r="D1422" i="8" s="1"/>
  <c r="E1422" i="8" s="1"/>
  <c r="C1423" i="8"/>
  <c r="D1423" i="8" s="1"/>
  <c r="E1423" i="8" s="1"/>
  <c r="C1424" i="8"/>
  <c r="D1424" i="8" s="1"/>
  <c r="E1424" i="8" s="1"/>
  <c r="C1425" i="8"/>
  <c r="D1425" i="8" s="1"/>
  <c r="E1425" i="8" s="1"/>
  <c r="C1426" i="8"/>
  <c r="D1426" i="8" s="1"/>
  <c r="E1426" i="8" s="1"/>
  <c r="C1427" i="8"/>
  <c r="D1427" i="8" s="1"/>
  <c r="E1427" i="8" s="1"/>
  <c r="C1428" i="8"/>
  <c r="D1428" i="8" s="1"/>
  <c r="E1428" i="8" s="1"/>
  <c r="C1429" i="8"/>
  <c r="D1429" i="8" s="1"/>
  <c r="E1429" i="8" s="1"/>
  <c r="C1430" i="8"/>
  <c r="D1430" i="8" s="1"/>
  <c r="E1430" i="8" s="1"/>
  <c r="C1431" i="8"/>
  <c r="D1431" i="8" s="1"/>
  <c r="E1431" i="8" s="1"/>
  <c r="C1432" i="8"/>
  <c r="D1432" i="8" s="1"/>
  <c r="E1432" i="8" s="1"/>
  <c r="C1433" i="8"/>
  <c r="D1433" i="8" s="1"/>
  <c r="E1433" i="8" s="1"/>
  <c r="C1434" i="8"/>
  <c r="D1434" i="8" s="1"/>
  <c r="E1434" i="8" s="1"/>
  <c r="C1435" i="8"/>
  <c r="D1435" i="8" s="1"/>
  <c r="E1435" i="8" s="1"/>
  <c r="C1436" i="8"/>
  <c r="D1436" i="8" s="1"/>
  <c r="E1436" i="8" s="1"/>
  <c r="C1437" i="8"/>
  <c r="D1437" i="8" s="1"/>
  <c r="E1437" i="8" s="1"/>
  <c r="C1438" i="8"/>
  <c r="D1438" i="8" s="1"/>
  <c r="E1438" i="8" s="1"/>
  <c r="C1439" i="8"/>
  <c r="D1439" i="8" s="1"/>
  <c r="E1439" i="8" s="1"/>
  <c r="C1440" i="8"/>
  <c r="D1440" i="8" s="1"/>
  <c r="E1440" i="8" s="1"/>
  <c r="C1441" i="8"/>
  <c r="D1441" i="8" s="1"/>
  <c r="E1441" i="8" s="1"/>
  <c r="C1442" i="8"/>
  <c r="D1442" i="8" s="1"/>
  <c r="E1442" i="8" s="1"/>
  <c r="C1443" i="8"/>
  <c r="D1443" i="8" s="1"/>
  <c r="E1443" i="8" s="1"/>
  <c r="C1444" i="8"/>
  <c r="D1444" i="8" s="1"/>
  <c r="E1444" i="8" s="1"/>
  <c r="C1445" i="8"/>
  <c r="D1445" i="8" s="1"/>
  <c r="E1445" i="8" s="1"/>
  <c r="C1446" i="8"/>
  <c r="D1446" i="8" s="1"/>
  <c r="E1446" i="8" s="1"/>
  <c r="C1447" i="8"/>
  <c r="D1447" i="8" s="1"/>
  <c r="E1447" i="8" s="1"/>
  <c r="C1448" i="8"/>
  <c r="D1448" i="8" s="1"/>
  <c r="E1448" i="8" s="1"/>
  <c r="C1449" i="8"/>
  <c r="D1449" i="8" s="1"/>
  <c r="E1449" i="8" s="1"/>
  <c r="C1450" i="8"/>
  <c r="D1450" i="8" s="1"/>
  <c r="E1450" i="8" s="1"/>
  <c r="C1451" i="8"/>
  <c r="D1451" i="8" s="1"/>
  <c r="E1451" i="8" s="1"/>
  <c r="C1452" i="8"/>
  <c r="D1452" i="8" s="1"/>
  <c r="E1452" i="8" s="1"/>
  <c r="C1453" i="8"/>
  <c r="D1453" i="8" s="1"/>
  <c r="E1453" i="8" s="1"/>
  <c r="C1454" i="8"/>
  <c r="D1454" i="8" s="1"/>
  <c r="E1454" i="8" s="1"/>
  <c r="C1455" i="8"/>
  <c r="D1455" i="8" s="1"/>
  <c r="E1455" i="8" s="1"/>
  <c r="C1456" i="8"/>
  <c r="D1456" i="8" s="1"/>
  <c r="E1456" i="8" s="1"/>
  <c r="C1457" i="8"/>
  <c r="D1457" i="8" s="1"/>
  <c r="E1457" i="8" s="1"/>
  <c r="C1458" i="8"/>
  <c r="D1458" i="8" s="1"/>
  <c r="E1458" i="8" s="1"/>
  <c r="C1459" i="8"/>
  <c r="D1459" i="8" s="1"/>
  <c r="E1459" i="8" s="1"/>
  <c r="C1460" i="8"/>
  <c r="D1460" i="8" s="1"/>
  <c r="E1460" i="8" s="1"/>
  <c r="C1461" i="8"/>
  <c r="D1461" i="8" s="1"/>
  <c r="E1461" i="8" s="1"/>
  <c r="C1462" i="8"/>
  <c r="D1462" i="8" s="1"/>
  <c r="E1462" i="8" s="1"/>
  <c r="C1463" i="8"/>
  <c r="D1463" i="8" s="1"/>
  <c r="E1463" i="8" s="1"/>
  <c r="C1464" i="8"/>
  <c r="D1464" i="8" s="1"/>
  <c r="E1464" i="8" s="1"/>
  <c r="C1465" i="8"/>
  <c r="D1465" i="8" s="1"/>
  <c r="E1465" i="8" s="1"/>
  <c r="C1466" i="8"/>
  <c r="D1466" i="8" s="1"/>
  <c r="E1466" i="8" s="1"/>
  <c r="C1467" i="8"/>
  <c r="D1467" i="8" s="1"/>
  <c r="E1467" i="8" s="1"/>
  <c r="C1468" i="8"/>
  <c r="D1468" i="8" s="1"/>
  <c r="E1468" i="8" s="1"/>
  <c r="C1469" i="8"/>
  <c r="D1469" i="8" s="1"/>
  <c r="E1469" i="8" s="1"/>
  <c r="C1470" i="8"/>
  <c r="D1470" i="8" s="1"/>
  <c r="E1470" i="8" s="1"/>
  <c r="C1471" i="8"/>
  <c r="D1471" i="8" s="1"/>
  <c r="E1471" i="8" s="1"/>
  <c r="C1472" i="8"/>
  <c r="D1472" i="8" s="1"/>
  <c r="E1472" i="8" s="1"/>
  <c r="C1473" i="8"/>
  <c r="D1473" i="8" s="1"/>
  <c r="E1473" i="8" s="1"/>
  <c r="C1474" i="8"/>
  <c r="D1474" i="8" s="1"/>
  <c r="E1474" i="8" s="1"/>
  <c r="C1475" i="8"/>
  <c r="D1475" i="8" s="1"/>
  <c r="E1475" i="8" s="1"/>
  <c r="C1476" i="8"/>
  <c r="D1476" i="8" s="1"/>
  <c r="E1476" i="8" s="1"/>
  <c r="C1477" i="8"/>
  <c r="D1477" i="8" s="1"/>
  <c r="E1477" i="8" s="1"/>
  <c r="C1478" i="8"/>
  <c r="D1478" i="8" s="1"/>
  <c r="E1478" i="8" s="1"/>
  <c r="C1479" i="8"/>
  <c r="D1479" i="8" s="1"/>
  <c r="E1479" i="8" s="1"/>
  <c r="C1480" i="8"/>
  <c r="D1480" i="8" s="1"/>
  <c r="E1480" i="8" s="1"/>
  <c r="C1481" i="8"/>
  <c r="D1481" i="8" s="1"/>
  <c r="E1481" i="8" s="1"/>
  <c r="C1482" i="8"/>
  <c r="D1482" i="8" s="1"/>
  <c r="E1482" i="8" s="1"/>
  <c r="C1483" i="8"/>
  <c r="D1483" i="8" s="1"/>
  <c r="E1483" i="8" s="1"/>
  <c r="C1484" i="8"/>
  <c r="D1484" i="8" s="1"/>
  <c r="E1484" i="8" s="1"/>
  <c r="C1485" i="8"/>
  <c r="D1485" i="8" s="1"/>
  <c r="E1485" i="8" s="1"/>
  <c r="C1486" i="8"/>
  <c r="D1486" i="8" s="1"/>
  <c r="E1486" i="8" s="1"/>
  <c r="C1487" i="8"/>
  <c r="D1487" i="8" s="1"/>
  <c r="E1487" i="8" s="1"/>
  <c r="C1488" i="8"/>
  <c r="D1488" i="8" s="1"/>
  <c r="E1488" i="8" s="1"/>
  <c r="C1489" i="8"/>
  <c r="D1489" i="8" s="1"/>
  <c r="E1489" i="8" s="1"/>
  <c r="C1490" i="8"/>
  <c r="D1490" i="8" s="1"/>
  <c r="E1490" i="8" s="1"/>
  <c r="C1491" i="8"/>
  <c r="D1491" i="8" s="1"/>
  <c r="E1491" i="8" s="1"/>
  <c r="C1492" i="8"/>
  <c r="D1492" i="8" s="1"/>
  <c r="E1492" i="8" s="1"/>
  <c r="C1493" i="8"/>
  <c r="D1493" i="8" s="1"/>
  <c r="E1493" i="8" s="1"/>
  <c r="C1494" i="8"/>
  <c r="D1494" i="8" s="1"/>
  <c r="E1494" i="8" s="1"/>
  <c r="C1495" i="8"/>
  <c r="D1495" i="8" s="1"/>
  <c r="E1495" i="8" s="1"/>
  <c r="C1496" i="8"/>
  <c r="D1496" i="8" s="1"/>
  <c r="E1496" i="8" s="1"/>
  <c r="C1497" i="8"/>
  <c r="D1497" i="8" s="1"/>
  <c r="E1497" i="8" s="1"/>
  <c r="C1498" i="8"/>
  <c r="D1498" i="8" s="1"/>
  <c r="E1498" i="8" s="1"/>
  <c r="C1499" i="8"/>
  <c r="D1499" i="8" s="1"/>
  <c r="E1499" i="8" s="1"/>
  <c r="C1500" i="8"/>
  <c r="D1500" i="8" s="1"/>
  <c r="E1500" i="8" s="1"/>
  <c r="C1501" i="8"/>
  <c r="D1501" i="8" s="1"/>
  <c r="E1501" i="8" s="1"/>
  <c r="C1502" i="8"/>
  <c r="D1502" i="8" s="1"/>
  <c r="E1502" i="8" s="1"/>
  <c r="C1503" i="8"/>
  <c r="D1503" i="8" s="1"/>
  <c r="E1503" i="8" s="1"/>
  <c r="C1504" i="8"/>
  <c r="D1504" i="8" s="1"/>
  <c r="E1504" i="8" s="1"/>
  <c r="C1505" i="8"/>
  <c r="D1505" i="8" s="1"/>
  <c r="E1505" i="8" s="1"/>
  <c r="C1506" i="8"/>
  <c r="D1506" i="8" s="1"/>
  <c r="E1506" i="8" s="1"/>
  <c r="C1507" i="8"/>
  <c r="D1507" i="8" s="1"/>
  <c r="E1507" i="8" s="1"/>
  <c r="C1508" i="8"/>
  <c r="D1508" i="8" s="1"/>
  <c r="E1508" i="8" s="1"/>
  <c r="C1509" i="8"/>
  <c r="D1509" i="8" s="1"/>
  <c r="E1509" i="8" s="1"/>
  <c r="C1510" i="8"/>
  <c r="D1510" i="8" s="1"/>
  <c r="E1510" i="8" s="1"/>
  <c r="C1511" i="8"/>
  <c r="D1511" i="8" s="1"/>
  <c r="E1511" i="8" s="1"/>
  <c r="C1512" i="8"/>
  <c r="D1512" i="8" s="1"/>
  <c r="E1512" i="8" s="1"/>
  <c r="C1513" i="8"/>
  <c r="D1513" i="8" s="1"/>
  <c r="E1513" i="8" s="1"/>
  <c r="C1514" i="8"/>
  <c r="D1514" i="8" s="1"/>
  <c r="E1514" i="8" s="1"/>
  <c r="C1515" i="8"/>
  <c r="D1515" i="8" s="1"/>
  <c r="E1515" i="8" s="1"/>
  <c r="C1516" i="8"/>
  <c r="D1516" i="8" s="1"/>
  <c r="E1516" i="8" s="1"/>
  <c r="C1517" i="8"/>
  <c r="D1517" i="8" s="1"/>
  <c r="E1517" i="8" s="1"/>
  <c r="C1518" i="8"/>
  <c r="D1518" i="8" s="1"/>
  <c r="E1518" i="8" s="1"/>
  <c r="C1519" i="8"/>
  <c r="D1519" i="8" s="1"/>
  <c r="E1519" i="8" s="1"/>
  <c r="C1520" i="8"/>
  <c r="D1520" i="8" s="1"/>
  <c r="E1520" i="8" s="1"/>
  <c r="C1521" i="8"/>
  <c r="D1521" i="8" s="1"/>
  <c r="E1521" i="8" s="1"/>
  <c r="C1522" i="8"/>
  <c r="D1522" i="8" s="1"/>
  <c r="E1522" i="8" s="1"/>
  <c r="C1523" i="8"/>
  <c r="D1523" i="8" s="1"/>
  <c r="E1523" i="8" s="1"/>
  <c r="C1524" i="8"/>
  <c r="D1524" i="8" s="1"/>
  <c r="E1524" i="8" s="1"/>
  <c r="C1525" i="8"/>
  <c r="D1525" i="8" s="1"/>
  <c r="E1525" i="8" s="1"/>
  <c r="C1526" i="8"/>
  <c r="D1526" i="8" s="1"/>
  <c r="E1526" i="8" s="1"/>
  <c r="C1527" i="8"/>
  <c r="D1527" i="8" s="1"/>
  <c r="E1527" i="8" s="1"/>
  <c r="C1528" i="8"/>
  <c r="D1528" i="8" s="1"/>
  <c r="E1528" i="8" s="1"/>
  <c r="C1529" i="8"/>
  <c r="D1529" i="8" s="1"/>
  <c r="E1529" i="8" s="1"/>
  <c r="C1530" i="8"/>
  <c r="D1530" i="8" s="1"/>
  <c r="E1530" i="8" s="1"/>
  <c r="C1531" i="8"/>
  <c r="D1531" i="8" s="1"/>
  <c r="E1531" i="8" s="1"/>
  <c r="C1532" i="8"/>
  <c r="D1532" i="8" s="1"/>
  <c r="E1532" i="8" s="1"/>
  <c r="C1533" i="8"/>
  <c r="D1533" i="8" s="1"/>
  <c r="E1533" i="8" s="1"/>
  <c r="C1534" i="8"/>
  <c r="D1534" i="8" s="1"/>
  <c r="E1534" i="8" s="1"/>
  <c r="C1535" i="8"/>
  <c r="D1535" i="8" s="1"/>
  <c r="E1535" i="8" s="1"/>
  <c r="C1536" i="8"/>
  <c r="D1536" i="8" s="1"/>
  <c r="E1536" i="8" s="1"/>
  <c r="C1537" i="8"/>
  <c r="D1537" i="8" s="1"/>
  <c r="E1537" i="8" s="1"/>
  <c r="C1538" i="8"/>
  <c r="D1538" i="8" s="1"/>
  <c r="E1538" i="8" s="1"/>
  <c r="C1539" i="8"/>
  <c r="D1539" i="8" s="1"/>
  <c r="E1539" i="8" s="1"/>
  <c r="C1540" i="8"/>
  <c r="D1540" i="8" s="1"/>
  <c r="E1540" i="8" s="1"/>
  <c r="C1541" i="8"/>
  <c r="D1541" i="8" s="1"/>
  <c r="E1541" i="8" s="1"/>
  <c r="C1542" i="8"/>
  <c r="D1542" i="8" s="1"/>
  <c r="E1542" i="8" s="1"/>
  <c r="C1543" i="8"/>
  <c r="D1543" i="8" s="1"/>
  <c r="E1543" i="8" s="1"/>
  <c r="C1544" i="8"/>
  <c r="D1544" i="8" s="1"/>
  <c r="E1544" i="8" s="1"/>
  <c r="C1545" i="8"/>
  <c r="D1545" i="8" s="1"/>
  <c r="E1545" i="8" s="1"/>
  <c r="C1546" i="8"/>
  <c r="D1546" i="8" s="1"/>
  <c r="E1546" i="8" s="1"/>
  <c r="C1547" i="8"/>
  <c r="D1547" i="8" s="1"/>
  <c r="E1547" i="8" s="1"/>
  <c r="C1548" i="8"/>
  <c r="D1548" i="8" s="1"/>
  <c r="E1548" i="8" s="1"/>
  <c r="C1549" i="8"/>
  <c r="D1549" i="8" s="1"/>
  <c r="E1549" i="8" s="1"/>
  <c r="C1550" i="8"/>
  <c r="D1550" i="8" s="1"/>
  <c r="E1550" i="8" s="1"/>
  <c r="C1551" i="8"/>
  <c r="D1551" i="8" s="1"/>
  <c r="E1551" i="8" s="1"/>
  <c r="C1552" i="8"/>
  <c r="D1552" i="8" s="1"/>
  <c r="E1552" i="8" s="1"/>
  <c r="C1553" i="8"/>
  <c r="D1553" i="8" s="1"/>
  <c r="E1553" i="8" s="1"/>
  <c r="C1554" i="8"/>
  <c r="D1554" i="8" s="1"/>
  <c r="E1554" i="8" s="1"/>
  <c r="C1555" i="8"/>
  <c r="D1555" i="8" s="1"/>
  <c r="E1555" i="8" s="1"/>
  <c r="C1556" i="8"/>
  <c r="D1556" i="8" s="1"/>
  <c r="E1556" i="8" s="1"/>
  <c r="C1557" i="8"/>
  <c r="D1557" i="8" s="1"/>
  <c r="E1557" i="8" s="1"/>
  <c r="C1558" i="8"/>
  <c r="D1558" i="8" s="1"/>
  <c r="E1558" i="8" s="1"/>
  <c r="C1559" i="8"/>
  <c r="D1559" i="8" s="1"/>
  <c r="E1559" i="8" s="1"/>
  <c r="C1560" i="8"/>
  <c r="D1560" i="8" s="1"/>
  <c r="E1560" i="8" s="1"/>
  <c r="C1561" i="8"/>
  <c r="D1561" i="8" s="1"/>
  <c r="E1561" i="8" s="1"/>
  <c r="C1562" i="8"/>
  <c r="D1562" i="8" s="1"/>
  <c r="E1562" i="8" s="1"/>
  <c r="C1563" i="8"/>
  <c r="D1563" i="8" s="1"/>
  <c r="E1563" i="8" s="1"/>
  <c r="C1564" i="8"/>
  <c r="D1564" i="8" s="1"/>
  <c r="E1564" i="8" s="1"/>
  <c r="C1565" i="8"/>
  <c r="D1565" i="8" s="1"/>
  <c r="E1565" i="8" s="1"/>
  <c r="C1566" i="8"/>
  <c r="D1566" i="8" s="1"/>
  <c r="E1566" i="8" s="1"/>
  <c r="C1567" i="8"/>
  <c r="D1567" i="8" s="1"/>
  <c r="E1567" i="8" s="1"/>
  <c r="C1568" i="8"/>
  <c r="D1568" i="8" s="1"/>
  <c r="E1568" i="8" s="1"/>
  <c r="C1569" i="8"/>
  <c r="D1569" i="8" s="1"/>
  <c r="E1569" i="8" s="1"/>
  <c r="C1570" i="8"/>
  <c r="D1570" i="8" s="1"/>
  <c r="E1570" i="8" s="1"/>
  <c r="C1571" i="8"/>
  <c r="D1571" i="8" s="1"/>
  <c r="E1571" i="8" s="1"/>
  <c r="C1572" i="8"/>
  <c r="D1572" i="8" s="1"/>
  <c r="E1572" i="8" s="1"/>
  <c r="C1573" i="8"/>
  <c r="D1573" i="8" s="1"/>
  <c r="E1573" i="8" s="1"/>
  <c r="C1574" i="8"/>
  <c r="D1574" i="8" s="1"/>
  <c r="E1574" i="8" s="1"/>
  <c r="C1575" i="8"/>
  <c r="D1575" i="8" s="1"/>
  <c r="E1575" i="8" s="1"/>
  <c r="C1576" i="8"/>
  <c r="D1576" i="8" s="1"/>
  <c r="E1576" i="8" s="1"/>
  <c r="C1577" i="8"/>
  <c r="D1577" i="8" s="1"/>
  <c r="E1577" i="8" s="1"/>
  <c r="C1578" i="8"/>
  <c r="D1578" i="8" s="1"/>
  <c r="E1578" i="8" s="1"/>
  <c r="C1579" i="8"/>
  <c r="D1579" i="8" s="1"/>
  <c r="E1579" i="8" s="1"/>
  <c r="C1580" i="8"/>
  <c r="D1580" i="8" s="1"/>
  <c r="E1580" i="8" s="1"/>
  <c r="C1581" i="8"/>
  <c r="D1581" i="8" s="1"/>
  <c r="E1581" i="8" s="1"/>
  <c r="C1582" i="8"/>
  <c r="D1582" i="8" s="1"/>
  <c r="E1582" i="8" s="1"/>
  <c r="C1583" i="8"/>
  <c r="D1583" i="8" s="1"/>
  <c r="E1583" i="8" s="1"/>
  <c r="C1584" i="8"/>
  <c r="D1584" i="8" s="1"/>
  <c r="E1584" i="8" s="1"/>
  <c r="C1585" i="8"/>
  <c r="D1585" i="8" s="1"/>
  <c r="E1585" i="8" s="1"/>
  <c r="C1586" i="8"/>
  <c r="D1586" i="8" s="1"/>
  <c r="E1586" i="8" s="1"/>
  <c r="C1587" i="8"/>
  <c r="D1587" i="8" s="1"/>
  <c r="E1587" i="8" s="1"/>
  <c r="C1588" i="8"/>
  <c r="D1588" i="8" s="1"/>
  <c r="E1588" i="8" s="1"/>
  <c r="C1589" i="8"/>
  <c r="D1589" i="8" s="1"/>
  <c r="E1589" i="8" s="1"/>
  <c r="C1590" i="8"/>
  <c r="D1590" i="8" s="1"/>
  <c r="E1590" i="8" s="1"/>
  <c r="C1591" i="8"/>
  <c r="D1591" i="8" s="1"/>
  <c r="E1591" i="8" s="1"/>
  <c r="C1592" i="8"/>
  <c r="D1592" i="8" s="1"/>
  <c r="E1592" i="8" s="1"/>
  <c r="C1593" i="8"/>
  <c r="D1593" i="8" s="1"/>
  <c r="E1593" i="8" s="1"/>
  <c r="C1594" i="8"/>
  <c r="D1594" i="8" s="1"/>
  <c r="E1594" i="8" s="1"/>
  <c r="C1595" i="8"/>
  <c r="D1595" i="8" s="1"/>
  <c r="E1595" i="8" s="1"/>
  <c r="C1596" i="8"/>
  <c r="D1596" i="8" s="1"/>
  <c r="E1596" i="8" s="1"/>
  <c r="C1597" i="8"/>
  <c r="D1597" i="8" s="1"/>
  <c r="E1597" i="8" s="1"/>
  <c r="C1598" i="8"/>
  <c r="D1598" i="8" s="1"/>
  <c r="E1598" i="8" s="1"/>
  <c r="C1599" i="8"/>
  <c r="D1599" i="8" s="1"/>
  <c r="E1599" i="8" s="1"/>
  <c r="C1600" i="8"/>
  <c r="D1600" i="8" s="1"/>
  <c r="E1600" i="8" s="1"/>
  <c r="C1601" i="8"/>
  <c r="D1601" i="8" s="1"/>
  <c r="E1601" i="8" s="1"/>
  <c r="C1602" i="8"/>
  <c r="D1602" i="8" s="1"/>
  <c r="E1602" i="8" s="1"/>
  <c r="C1603" i="8"/>
  <c r="D1603" i="8" s="1"/>
  <c r="E1603" i="8" s="1"/>
  <c r="C1604" i="8"/>
  <c r="D1604" i="8" s="1"/>
  <c r="E1604" i="8" s="1"/>
  <c r="C1605" i="8"/>
  <c r="D1605" i="8" s="1"/>
  <c r="E1605" i="8" s="1"/>
  <c r="C1606" i="8"/>
  <c r="D1606" i="8" s="1"/>
  <c r="E1606" i="8" s="1"/>
  <c r="C1607" i="8"/>
  <c r="D1607" i="8" s="1"/>
  <c r="E1607" i="8" s="1"/>
  <c r="C1608" i="8"/>
  <c r="D1608" i="8" s="1"/>
  <c r="E1608" i="8" s="1"/>
  <c r="C1609" i="8"/>
  <c r="D1609" i="8" s="1"/>
  <c r="E1609" i="8" s="1"/>
  <c r="C1610" i="8"/>
  <c r="D1610" i="8" s="1"/>
  <c r="E1610" i="8" s="1"/>
  <c r="C1611" i="8"/>
  <c r="D1611" i="8" s="1"/>
  <c r="E1611" i="8" s="1"/>
  <c r="C1612" i="8"/>
  <c r="D1612" i="8" s="1"/>
  <c r="E1612" i="8" s="1"/>
  <c r="C1613" i="8"/>
  <c r="D1613" i="8" s="1"/>
  <c r="E1613" i="8" s="1"/>
  <c r="C1614" i="8"/>
  <c r="D1614" i="8" s="1"/>
  <c r="E1614" i="8" s="1"/>
  <c r="C1615" i="8"/>
  <c r="D1615" i="8" s="1"/>
  <c r="E1615" i="8" s="1"/>
  <c r="C1616" i="8"/>
  <c r="D1616" i="8" s="1"/>
  <c r="E1616" i="8" s="1"/>
  <c r="C1617" i="8"/>
  <c r="D1617" i="8" s="1"/>
  <c r="E1617" i="8" s="1"/>
  <c r="C1618" i="8"/>
  <c r="D1618" i="8" s="1"/>
  <c r="E1618" i="8" s="1"/>
  <c r="C1619" i="8"/>
  <c r="D1619" i="8" s="1"/>
  <c r="E1619" i="8" s="1"/>
  <c r="C1620" i="8"/>
  <c r="D1620" i="8" s="1"/>
  <c r="E1620" i="8" s="1"/>
  <c r="C1621" i="8"/>
  <c r="D1621" i="8" s="1"/>
  <c r="E1621" i="8" s="1"/>
  <c r="C1622" i="8"/>
  <c r="D1622" i="8" s="1"/>
  <c r="E1622" i="8" s="1"/>
  <c r="C1623" i="8"/>
  <c r="D1623" i="8" s="1"/>
  <c r="E1623" i="8" s="1"/>
  <c r="C1624" i="8"/>
  <c r="D1624" i="8" s="1"/>
  <c r="E1624" i="8" s="1"/>
  <c r="C1625" i="8"/>
  <c r="D1625" i="8" s="1"/>
  <c r="E1625" i="8" s="1"/>
  <c r="C1626" i="8"/>
  <c r="D1626" i="8" s="1"/>
  <c r="E1626" i="8" s="1"/>
  <c r="C1627" i="8"/>
  <c r="D1627" i="8" s="1"/>
  <c r="E1627" i="8" s="1"/>
  <c r="C1628" i="8"/>
  <c r="D1628" i="8" s="1"/>
  <c r="E1628" i="8" s="1"/>
  <c r="C1629" i="8"/>
  <c r="D1629" i="8" s="1"/>
  <c r="E1629" i="8" s="1"/>
  <c r="C1630" i="8"/>
  <c r="D1630" i="8" s="1"/>
  <c r="E1630" i="8" s="1"/>
  <c r="C1631" i="8"/>
  <c r="D1631" i="8" s="1"/>
  <c r="E1631" i="8" s="1"/>
  <c r="C1632" i="8"/>
  <c r="D1632" i="8" s="1"/>
  <c r="E1632" i="8" s="1"/>
  <c r="C1633" i="8"/>
  <c r="D1633" i="8" s="1"/>
  <c r="E1633" i="8" s="1"/>
  <c r="C1634" i="8"/>
  <c r="D1634" i="8" s="1"/>
  <c r="E1634" i="8" s="1"/>
  <c r="C1635" i="8"/>
  <c r="D1635" i="8" s="1"/>
  <c r="E1635" i="8" s="1"/>
  <c r="C1636" i="8"/>
  <c r="D1636" i="8" s="1"/>
  <c r="E1636" i="8" s="1"/>
  <c r="C1637" i="8"/>
  <c r="D1637" i="8" s="1"/>
  <c r="E1637" i="8" s="1"/>
  <c r="C1638" i="8"/>
  <c r="D1638" i="8" s="1"/>
  <c r="E1638" i="8" s="1"/>
  <c r="C1639" i="8"/>
  <c r="D1639" i="8" s="1"/>
  <c r="E1639" i="8" s="1"/>
  <c r="C1640" i="8"/>
  <c r="D1640" i="8" s="1"/>
  <c r="E1640" i="8" s="1"/>
  <c r="C1641" i="8"/>
  <c r="D1641" i="8" s="1"/>
  <c r="E1641" i="8" s="1"/>
  <c r="C1642" i="8"/>
  <c r="D1642" i="8" s="1"/>
  <c r="E1642" i="8" s="1"/>
  <c r="C1643" i="8"/>
  <c r="D1643" i="8" s="1"/>
  <c r="E1643" i="8" s="1"/>
  <c r="C1644" i="8"/>
  <c r="D1644" i="8" s="1"/>
  <c r="E1644" i="8" s="1"/>
  <c r="C1645" i="8"/>
  <c r="D1645" i="8" s="1"/>
  <c r="E1645" i="8" s="1"/>
  <c r="C1646" i="8"/>
  <c r="D1646" i="8" s="1"/>
  <c r="E1646" i="8" s="1"/>
  <c r="C1647" i="8"/>
  <c r="D1647" i="8" s="1"/>
  <c r="E1647" i="8" s="1"/>
  <c r="C1648" i="8"/>
  <c r="D1648" i="8" s="1"/>
  <c r="E1648" i="8" s="1"/>
  <c r="C1649" i="8"/>
  <c r="D1649" i="8" s="1"/>
  <c r="E1649" i="8" s="1"/>
  <c r="C1650" i="8"/>
  <c r="D1650" i="8" s="1"/>
  <c r="E1650" i="8" s="1"/>
  <c r="C1651" i="8"/>
  <c r="D1651" i="8" s="1"/>
  <c r="E1651" i="8" s="1"/>
  <c r="C1652" i="8"/>
  <c r="D1652" i="8" s="1"/>
  <c r="E1652" i="8" s="1"/>
  <c r="C1653" i="8"/>
  <c r="D1653" i="8" s="1"/>
  <c r="E1653" i="8" s="1"/>
  <c r="C1654" i="8"/>
  <c r="D1654" i="8" s="1"/>
  <c r="E1654" i="8" s="1"/>
  <c r="C1655" i="8"/>
  <c r="D1655" i="8" s="1"/>
  <c r="E1655" i="8" s="1"/>
  <c r="C1656" i="8"/>
  <c r="D1656" i="8" s="1"/>
  <c r="E1656" i="8" s="1"/>
  <c r="C1657" i="8"/>
  <c r="D1657" i="8" s="1"/>
  <c r="E1657" i="8" s="1"/>
  <c r="C1658" i="8"/>
  <c r="D1658" i="8" s="1"/>
  <c r="E1658" i="8" s="1"/>
  <c r="C1659" i="8"/>
  <c r="D1659" i="8" s="1"/>
  <c r="E1659" i="8" s="1"/>
  <c r="C1660" i="8"/>
  <c r="D1660" i="8" s="1"/>
  <c r="E1660" i="8" s="1"/>
  <c r="C1661" i="8"/>
  <c r="D1661" i="8" s="1"/>
  <c r="E1661" i="8" s="1"/>
  <c r="C1662" i="8"/>
  <c r="D1662" i="8" s="1"/>
  <c r="E1662" i="8" s="1"/>
  <c r="C1663" i="8"/>
  <c r="D1663" i="8" s="1"/>
  <c r="E1663" i="8" s="1"/>
  <c r="C1664" i="8"/>
  <c r="D1664" i="8" s="1"/>
  <c r="E1664" i="8" s="1"/>
  <c r="C1665" i="8"/>
  <c r="D1665" i="8" s="1"/>
  <c r="E1665" i="8" s="1"/>
  <c r="C1666" i="8"/>
  <c r="D1666" i="8" s="1"/>
  <c r="E1666" i="8" s="1"/>
  <c r="C1667" i="8"/>
  <c r="D1667" i="8" s="1"/>
  <c r="E1667" i="8" s="1"/>
  <c r="C1668" i="8"/>
  <c r="D1668" i="8" s="1"/>
  <c r="E1668" i="8" s="1"/>
  <c r="C1669" i="8"/>
  <c r="D1669" i="8" s="1"/>
  <c r="E1669" i="8" s="1"/>
  <c r="C1670" i="8"/>
  <c r="D1670" i="8" s="1"/>
  <c r="E1670" i="8" s="1"/>
  <c r="C1671" i="8"/>
  <c r="D1671" i="8" s="1"/>
  <c r="E1671" i="8" s="1"/>
  <c r="C1672" i="8"/>
  <c r="D1672" i="8" s="1"/>
  <c r="E1672" i="8" s="1"/>
  <c r="C1673" i="8"/>
  <c r="D1673" i="8" s="1"/>
  <c r="E1673" i="8" s="1"/>
  <c r="C1674" i="8"/>
  <c r="D1674" i="8" s="1"/>
  <c r="E1674" i="8" s="1"/>
  <c r="C1675" i="8"/>
  <c r="D1675" i="8" s="1"/>
  <c r="E1675" i="8" s="1"/>
  <c r="C1676" i="8"/>
  <c r="D1676" i="8" s="1"/>
  <c r="E1676" i="8" s="1"/>
  <c r="C1677" i="8"/>
  <c r="D1677" i="8" s="1"/>
  <c r="E1677" i="8" s="1"/>
  <c r="C1678" i="8"/>
  <c r="D1678" i="8" s="1"/>
  <c r="E1678" i="8" s="1"/>
  <c r="C1679" i="8"/>
  <c r="D1679" i="8" s="1"/>
  <c r="E1679" i="8" s="1"/>
  <c r="C1680" i="8"/>
  <c r="D1680" i="8" s="1"/>
  <c r="E1680" i="8" s="1"/>
  <c r="C1681" i="8"/>
  <c r="D1681" i="8" s="1"/>
  <c r="E1681" i="8" s="1"/>
  <c r="C1682" i="8"/>
  <c r="D1682" i="8" s="1"/>
  <c r="E1682" i="8" s="1"/>
  <c r="C1683" i="8"/>
  <c r="D1683" i="8" s="1"/>
  <c r="E1683" i="8" s="1"/>
  <c r="C1684" i="8"/>
  <c r="D1684" i="8" s="1"/>
  <c r="E1684" i="8" s="1"/>
  <c r="C1685" i="8"/>
  <c r="D1685" i="8" s="1"/>
  <c r="E1685" i="8" s="1"/>
  <c r="C1686" i="8"/>
  <c r="D1686" i="8" s="1"/>
  <c r="E1686" i="8" s="1"/>
  <c r="C1687" i="8"/>
  <c r="D1687" i="8" s="1"/>
  <c r="E1687" i="8" s="1"/>
  <c r="C1688" i="8"/>
  <c r="D1688" i="8" s="1"/>
  <c r="E1688" i="8" s="1"/>
  <c r="C1689" i="8"/>
  <c r="D1689" i="8" s="1"/>
  <c r="E1689" i="8" s="1"/>
  <c r="C1690" i="8"/>
  <c r="D1690" i="8" s="1"/>
  <c r="E1690" i="8" s="1"/>
  <c r="C1691" i="8"/>
  <c r="D1691" i="8" s="1"/>
  <c r="E1691" i="8" s="1"/>
  <c r="C1692" i="8"/>
  <c r="D1692" i="8" s="1"/>
  <c r="E1692" i="8" s="1"/>
  <c r="C1693" i="8"/>
  <c r="D1693" i="8" s="1"/>
  <c r="E1693" i="8" s="1"/>
  <c r="C1694" i="8"/>
  <c r="D1694" i="8" s="1"/>
  <c r="E1694" i="8" s="1"/>
  <c r="C1695" i="8"/>
  <c r="D1695" i="8" s="1"/>
  <c r="E1695" i="8" s="1"/>
  <c r="C1696" i="8"/>
  <c r="D1696" i="8" s="1"/>
  <c r="E1696" i="8" s="1"/>
  <c r="C1697" i="8"/>
  <c r="D1697" i="8" s="1"/>
  <c r="E1697" i="8" s="1"/>
  <c r="C1698" i="8"/>
  <c r="D1698" i="8" s="1"/>
  <c r="E1698" i="8" s="1"/>
  <c r="C1699" i="8"/>
  <c r="D1699" i="8" s="1"/>
  <c r="E1699" i="8" s="1"/>
  <c r="C1700" i="8"/>
  <c r="D1700" i="8" s="1"/>
  <c r="E1700" i="8" s="1"/>
  <c r="C1701" i="8"/>
  <c r="D1701" i="8" s="1"/>
  <c r="E1701" i="8" s="1"/>
  <c r="C1702" i="8"/>
  <c r="D1702" i="8" s="1"/>
  <c r="E1702" i="8" s="1"/>
  <c r="C1703" i="8"/>
  <c r="D1703" i="8" s="1"/>
  <c r="E1703" i="8" s="1"/>
  <c r="C1704" i="8"/>
  <c r="D1704" i="8" s="1"/>
  <c r="E1704" i="8" s="1"/>
  <c r="C1705" i="8"/>
  <c r="D1705" i="8" s="1"/>
  <c r="E1705" i="8" s="1"/>
  <c r="C1706" i="8"/>
  <c r="D1706" i="8" s="1"/>
  <c r="E1706" i="8" s="1"/>
  <c r="C1707" i="8"/>
  <c r="D1707" i="8" s="1"/>
  <c r="E1707" i="8" s="1"/>
  <c r="C1708" i="8"/>
  <c r="D1708" i="8" s="1"/>
  <c r="E1708" i="8" s="1"/>
  <c r="C1709" i="8"/>
  <c r="D1709" i="8" s="1"/>
  <c r="E1709" i="8" s="1"/>
  <c r="C1710" i="8"/>
  <c r="D1710" i="8" s="1"/>
  <c r="E1710" i="8" s="1"/>
  <c r="C1711" i="8"/>
  <c r="D1711" i="8" s="1"/>
  <c r="E1711" i="8" s="1"/>
  <c r="C1712" i="8"/>
  <c r="D1712" i="8" s="1"/>
  <c r="E1712" i="8" s="1"/>
  <c r="C1713" i="8"/>
  <c r="D1713" i="8" s="1"/>
  <c r="E1713" i="8" s="1"/>
  <c r="C1714" i="8"/>
  <c r="D1714" i="8" s="1"/>
  <c r="E1714" i="8" s="1"/>
  <c r="C1715" i="8"/>
  <c r="D1715" i="8" s="1"/>
  <c r="E1715" i="8" s="1"/>
  <c r="C1716" i="8"/>
  <c r="D1716" i="8" s="1"/>
  <c r="E1716" i="8" s="1"/>
  <c r="C1717" i="8"/>
  <c r="D1717" i="8" s="1"/>
  <c r="E1717" i="8" s="1"/>
  <c r="C1718" i="8"/>
  <c r="D1718" i="8" s="1"/>
  <c r="E1718" i="8" s="1"/>
  <c r="C1719" i="8"/>
  <c r="D1719" i="8" s="1"/>
  <c r="E1719" i="8" s="1"/>
  <c r="C1720" i="8"/>
  <c r="D1720" i="8" s="1"/>
  <c r="E1720" i="8" s="1"/>
  <c r="C1721" i="8"/>
  <c r="D1721" i="8" s="1"/>
  <c r="E1721" i="8" s="1"/>
  <c r="C1722" i="8"/>
  <c r="D1722" i="8" s="1"/>
  <c r="E1722" i="8" s="1"/>
  <c r="C1723" i="8"/>
  <c r="D1723" i="8" s="1"/>
  <c r="E1723" i="8" s="1"/>
  <c r="C1724" i="8"/>
  <c r="D1724" i="8" s="1"/>
  <c r="E1724" i="8" s="1"/>
  <c r="C1725" i="8"/>
  <c r="D1725" i="8" s="1"/>
  <c r="E1725" i="8" s="1"/>
  <c r="C1726" i="8"/>
  <c r="D1726" i="8" s="1"/>
  <c r="E1726" i="8" s="1"/>
  <c r="C1727" i="8"/>
  <c r="D1727" i="8" s="1"/>
  <c r="E1727" i="8" s="1"/>
  <c r="C1728" i="8"/>
  <c r="D1728" i="8" s="1"/>
  <c r="E1728" i="8" s="1"/>
  <c r="C1729" i="8"/>
  <c r="D1729" i="8" s="1"/>
  <c r="E1729" i="8" s="1"/>
  <c r="C1730" i="8"/>
  <c r="D1730" i="8" s="1"/>
  <c r="E1730" i="8" s="1"/>
  <c r="C1731" i="8"/>
  <c r="D1731" i="8" s="1"/>
  <c r="E1731" i="8" s="1"/>
  <c r="C1732" i="8"/>
  <c r="D1732" i="8" s="1"/>
  <c r="E1732" i="8" s="1"/>
  <c r="C1733" i="8"/>
  <c r="D1733" i="8" s="1"/>
  <c r="E1733" i="8" s="1"/>
  <c r="C1734" i="8"/>
  <c r="D1734" i="8" s="1"/>
  <c r="E1734" i="8" s="1"/>
  <c r="C1735" i="8"/>
  <c r="D1735" i="8" s="1"/>
  <c r="E1735" i="8" s="1"/>
  <c r="C1736" i="8"/>
  <c r="D1736" i="8" s="1"/>
  <c r="E1736" i="8" s="1"/>
  <c r="C1737" i="8"/>
  <c r="D1737" i="8" s="1"/>
  <c r="E1737" i="8" s="1"/>
  <c r="C1738" i="8"/>
  <c r="D1738" i="8" s="1"/>
  <c r="E1738" i="8" s="1"/>
  <c r="C1739" i="8"/>
  <c r="D1739" i="8" s="1"/>
  <c r="E1739" i="8" s="1"/>
  <c r="C1740" i="8"/>
  <c r="D1740" i="8" s="1"/>
  <c r="E1740" i="8" s="1"/>
  <c r="C1741" i="8"/>
  <c r="D1741" i="8" s="1"/>
  <c r="E1741" i="8" s="1"/>
  <c r="C1742" i="8"/>
  <c r="D1742" i="8" s="1"/>
  <c r="E1742" i="8" s="1"/>
  <c r="C1743" i="8"/>
  <c r="D1743" i="8" s="1"/>
  <c r="E1743" i="8" s="1"/>
  <c r="C1744" i="8"/>
  <c r="D1744" i="8" s="1"/>
  <c r="E1744" i="8" s="1"/>
  <c r="C1745" i="8"/>
  <c r="D1745" i="8" s="1"/>
  <c r="E1745" i="8" s="1"/>
  <c r="C1746" i="8"/>
  <c r="D1746" i="8" s="1"/>
  <c r="E1746" i="8" s="1"/>
  <c r="C1747" i="8"/>
  <c r="D1747" i="8" s="1"/>
  <c r="E1747" i="8" s="1"/>
  <c r="C1748" i="8"/>
  <c r="D1748" i="8" s="1"/>
  <c r="E1748" i="8" s="1"/>
  <c r="C1749" i="8"/>
  <c r="D1749" i="8" s="1"/>
  <c r="E1749" i="8" s="1"/>
  <c r="C1750" i="8"/>
  <c r="D1750" i="8" s="1"/>
  <c r="E1750" i="8" s="1"/>
  <c r="C1751" i="8"/>
  <c r="D1751" i="8" s="1"/>
  <c r="E1751" i="8" s="1"/>
  <c r="C1752" i="8"/>
  <c r="D1752" i="8" s="1"/>
  <c r="E1752" i="8" s="1"/>
  <c r="C1753" i="8"/>
  <c r="D1753" i="8" s="1"/>
  <c r="E1753" i="8" s="1"/>
  <c r="C1754" i="8"/>
  <c r="D1754" i="8" s="1"/>
  <c r="E1754" i="8" s="1"/>
  <c r="C1755" i="8"/>
  <c r="D1755" i="8" s="1"/>
  <c r="E1755" i="8" s="1"/>
  <c r="C1756" i="8"/>
  <c r="D1756" i="8" s="1"/>
  <c r="E1756" i="8" s="1"/>
  <c r="C1757" i="8"/>
  <c r="D1757" i="8" s="1"/>
  <c r="E1757" i="8" s="1"/>
  <c r="C1758" i="8"/>
  <c r="D1758" i="8" s="1"/>
  <c r="E1758" i="8" s="1"/>
  <c r="C1759" i="8"/>
  <c r="D1759" i="8" s="1"/>
  <c r="E1759" i="8" s="1"/>
  <c r="C1760" i="8"/>
  <c r="D1760" i="8" s="1"/>
  <c r="E1760" i="8" s="1"/>
  <c r="C1761" i="8"/>
  <c r="D1761" i="8" s="1"/>
  <c r="E1761" i="8" s="1"/>
  <c r="C1762" i="8"/>
  <c r="D1762" i="8" s="1"/>
  <c r="E1762" i="8" s="1"/>
  <c r="C1763" i="8"/>
  <c r="D1763" i="8" s="1"/>
  <c r="E1763" i="8" s="1"/>
  <c r="C1764" i="8"/>
  <c r="D1764" i="8" s="1"/>
  <c r="E1764" i="8" s="1"/>
  <c r="C1765" i="8"/>
  <c r="D1765" i="8" s="1"/>
  <c r="E1765" i="8" s="1"/>
  <c r="C1766" i="8"/>
  <c r="D1766" i="8" s="1"/>
  <c r="E1766" i="8" s="1"/>
  <c r="C1767" i="8"/>
  <c r="D1767" i="8" s="1"/>
  <c r="E1767" i="8" s="1"/>
  <c r="C1768" i="8"/>
  <c r="D1768" i="8" s="1"/>
  <c r="E1768" i="8" s="1"/>
  <c r="C1769" i="8"/>
  <c r="D1769" i="8" s="1"/>
  <c r="E1769" i="8" s="1"/>
  <c r="C1770" i="8"/>
  <c r="D1770" i="8" s="1"/>
  <c r="E1770" i="8" s="1"/>
  <c r="C1771" i="8"/>
  <c r="D1771" i="8" s="1"/>
  <c r="E1771" i="8" s="1"/>
  <c r="C1772" i="8"/>
  <c r="D1772" i="8" s="1"/>
  <c r="E1772" i="8" s="1"/>
  <c r="C1773" i="8"/>
  <c r="D1773" i="8" s="1"/>
  <c r="E1773" i="8" s="1"/>
  <c r="C1774" i="8"/>
  <c r="D1774" i="8" s="1"/>
  <c r="E1774" i="8" s="1"/>
  <c r="C1775" i="8"/>
  <c r="D1775" i="8" s="1"/>
  <c r="E1775" i="8" s="1"/>
  <c r="C1776" i="8"/>
  <c r="D1776" i="8" s="1"/>
  <c r="E1776" i="8" s="1"/>
  <c r="C1777" i="8"/>
  <c r="D1777" i="8" s="1"/>
  <c r="E1777" i="8" s="1"/>
  <c r="C1778" i="8"/>
  <c r="D1778" i="8" s="1"/>
  <c r="E1778" i="8" s="1"/>
  <c r="C1779" i="8"/>
  <c r="D1779" i="8" s="1"/>
  <c r="E1779" i="8" s="1"/>
  <c r="C1780" i="8"/>
  <c r="D1780" i="8" s="1"/>
  <c r="E1780" i="8" s="1"/>
  <c r="C1781" i="8"/>
  <c r="D1781" i="8" s="1"/>
  <c r="E1781" i="8" s="1"/>
  <c r="C1782" i="8"/>
  <c r="D1782" i="8" s="1"/>
  <c r="E1782" i="8" s="1"/>
  <c r="C1783" i="8"/>
  <c r="D1783" i="8" s="1"/>
  <c r="E1783" i="8" s="1"/>
  <c r="C1784" i="8"/>
  <c r="D1784" i="8" s="1"/>
  <c r="E1784" i="8" s="1"/>
  <c r="C1785" i="8"/>
  <c r="D1785" i="8" s="1"/>
  <c r="E1785" i="8" s="1"/>
  <c r="C1786" i="8"/>
  <c r="D1786" i="8" s="1"/>
  <c r="E1786" i="8" s="1"/>
  <c r="C1787" i="8"/>
  <c r="D1787" i="8" s="1"/>
  <c r="E1787" i="8" s="1"/>
  <c r="C1788" i="8"/>
  <c r="D1788" i="8" s="1"/>
  <c r="E1788" i="8" s="1"/>
  <c r="C1789" i="8"/>
  <c r="D1789" i="8" s="1"/>
  <c r="E1789" i="8" s="1"/>
  <c r="C1790" i="8"/>
  <c r="D1790" i="8" s="1"/>
  <c r="E1790" i="8" s="1"/>
  <c r="C1791" i="8"/>
  <c r="D1791" i="8" s="1"/>
  <c r="E1791" i="8" s="1"/>
  <c r="C1792" i="8"/>
  <c r="D1792" i="8" s="1"/>
  <c r="E1792" i="8" s="1"/>
  <c r="C1793" i="8"/>
  <c r="D1793" i="8" s="1"/>
  <c r="E1793" i="8" s="1"/>
  <c r="C1794" i="8"/>
  <c r="D1794" i="8" s="1"/>
  <c r="E1794" i="8" s="1"/>
  <c r="C1795" i="8"/>
  <c r="D1795" i="8" s="1"/>
  <c r="E1795" i="8" s="1"/>
  <c r="C1796" i="8"/>
  <c r="D1796" i="8" s="1"/>
  <c r="E1796" i="8" s="1"/>
  <c r="C1797" i="8"/>
  <c r="D1797" i="8" s="1"/>
  <c r="E1797" i="8" s="1"/>
  <c r="C1798" i="8"/>
  <c r="D1798" i="8" s="1"/>
  <c r="E1798" i="8" s="1"/>
  <c r="C1799" i="8"/>
  <c r="D1799" i="8" s="1"/>
  <c r="E1799" i="8" s="1"/>
  <c r="C1800" i="8"/>
  <c r="D1800" i="8" s="1"/>
  <c r="E1800" i="8" s="1"/>
  <c r="C1801" i="8"/>
  <c r="D1801" i="8" s="1"/>
  <c r="E1801" i="8" s="1"/>
  <c r="C1802" i="8"/>
  <c r="D1802" i="8" s="1"/>
  <c r="E1802" i="8" s="1"/>
  <c r="C1803" i="8"/>
  <c r="D1803" i="8" s="1"/>
  <c r="E1803" i="8" s="1"/>
  <c r="C1804" i="8"/>
  <c r="D1804" i="8" s="1"/>
  <c r="E1804" i="8" s="1"/>
  <c r="C1805" i="8"/>
  <c r="D1805" i="8" s="1"/>
  <c r="E1805" i="8" s="1"/>
  <c r="C1806" i="8"/>
  <c r="D1806" i="8" s="1"/>
  <c r="E1806" i="8" s="1"/>
  <c r="C1807" i="8"/>
  <c r="D1807" i="8" s="1"/>
  <c r="E1807" i="8" s="1"/>
  <c r="C1808" i="8"/>
  <c r="D1808" i="8" s="1"/>
  <c r="E1808" i="8" s="1"/>
  <c r="C1809" i="8"/>
  <c r="D1809" i="8" s="1"/>
  <c r="E1809" i="8" s="1"/>
  <c r="C1810" i="8"/>
  <c r="D1810" i="8" s="1"/>
  <c r="E1810" i="8" s="1"/>
  <c r="C1811" i="8"/>
  <c r="D1811" i="8" s="1"/>
  <c r="E1811" i="8" s="1"/>
  <c r="C1812" i="8"/>
  <c r="D1812" i="8" s="1"/>
  <c r="E1812" i="8" s="1"/>
  <c r="C1813" i="8"/>
  <c r="D1813" i="8" s="1"/>
  <c r="E1813" i="8" s="1"/>
  <c r="C1814" i="8"/>
  <c r="D1814" i="8" s="1"/>
  <c r="E1814" i="8" s="1"/>
  <c r="C1815" i="8"/>
  <c r="D1815" i="8" s="1"/>
  <c r="E1815" i="8" s="1"/>
  <c r="C1816" i="8"/>
  <c r="D1816" i="8" s="1"/>
  <c r="E1816" i="8" s="1"/>
  <c r="C1817" i="8"/>
  <c r="D1817" i="8" s="1"/>
  <c r="E1817" i="8" s="1"/>
  <c r="C1818" i="8"/>
  <c r="D1818" i="8" s="1"/>
  <c r="E1818" i="8" s="1"/>
  <c r="C1819" i="8"/>
  <c r="D1819" i="8" s="1"/>
  <c r="E1819" i="8" s="1"/>
  <c r="C1820" i="8"/>
  <c r="D1820" i="8" s="1"/>
  <c r="E1820" i="8" s="1"/>
  <c r="C1821" i="8"/>
  <c r="D1821" i="8" s="1"/>
  <c r="E1821" i="8" s="1"/>
  <c r="C1822" i="8"/>
  <c r="D1822" i="8" s="1"/>
  <c r="E1822" i="8" s="1"/>
  <c r="C1823" i="8"/>
  <c r="D1823" i="8" s="1"/>
  <c r="E1823" i="8" s="1"/>
  <c r="C1824" i="8"/>
  <c r="D1824" i="8" s="1"/>
  <c r="E1824" i="8" s="1"/>
  <c r="C1825" i="8"/>
  <c r="D1825" i="8" s="1"/>
  <c r="E1825" i="8" s="1"/>
  <c r="C1826" i="8"/>
  <c r="D1826" i="8" s="1"/>
  <c r="E1826" i="8" s="1"/>
  <c r="C1827" i="8"/>
  <c r="D1827" i="8" s="1"/>
  <c r="E1827" i="8" s="1"/>
  <c r="C1828" i="8"/>
  <c r="D1828" i="8" s="1"/>
  <c r="E1828" i="8" s="1"/>
  <c r="C1829" i="8"/>
  <c r="D1829" i="8" s="1"/>
  <c r="E1829" i="8" s="1"/>
  <c r="C1830" i="8"/>
  <c r="D1830" i="8" s="1"/>
  <c r="E1830" i="8" s="1"/>
  <c r="C1831" i="8"/>
  <c r="D1831" i="8" s="1"/>
  <c r="E1831" i="8" s="1"/>
  <c r="C1832" i="8"/>
  <c r="D1832" i="8" s="1"/>
  <c r="E1832" i="8" s="1"/>
  <c r="C1833" i="8"/>
  <c r="D1833" i="8" s="1"/>
  <c r="E1833" i="8" s="1"/>
  <c r="C1834" i="8"/>
  <c r="D1834" i="8" s="1"/>
  <c r="E1834" i="8" s="1"/>
  <c r="C1835" i="8"/>
  <c r="D1835" i="8" s="1"/>
  <c r="E1835" i="8" s="1"/>
  <c r="C1836" i="8"/>
  <c r="D1836" i="8" s="1"/>
  <c r="E1836" i="8" s="1"/>
  <c r="C1837" i="8"/>
  <c r="D1837" i="8" s="1"/>
  <c r="E1837" i="8" s="1"/>
  <c r="C1838" i="8"/>
  <c r="D1838" i="8" s="1"/>
  <c r="E1838" i="8" s="1"/>
  <c r="C1839" i="8"/>
  <c r="D1839" i="8" s="1"/>
  <c r="E1839" i="8" s="1"/>
  <c r="C1840" i="8"/>
  <c r="D1840" i="8" s="1"/>
  <c r="E1840" i="8" s="1"/>
  <c r="C1841" i="8"/>
  <c r="D1841" i="8" s="1"/>
  <c r="E1841" i="8" s="1"/>
  <c r="C1842" i="8"/>
  <c r="D1842" i="8" s="1"/>
  <c r="E1842" i="8" s="1"/>
  <c r="C1843" i="8"/>
  <c r="D1843" i="8" s="1"/>
  <c r="E1843" i="8" s="1"/>
  <c r="C1844" i="8"/>
  <c r="D1844" i="8" s="1"/>
  <c r="E1844" i="8" s="1"/>
  <c r="C1845" i="8"/>
  <c r="D1845" i="8" s="1"/>
  <c r="E1845" i="8" s="1"/>
  <c r="C1846" i="8"/>
  <c r="D1846" i="8" s="1"/>
  <c r="E1846" i="8" s="1"/>
  <c r="C1847" i="8"/>
  <c r="D1847" i="8" s="1"/>
  <c r="E1847" i="8" s="1"/>
  <c r="C1848" i="8"/>
  <c r="D1848" i="8" s="1"/>
  <c r="E1848" i="8" s="1"/>
  <c r="C1849" i="8"/>
  <c r="D1849" i="8" s="1"/>
  <c r="E1849" i="8" s="1"/>
  <c r="C1850" i="8"/>
  <c r="D1850" i="8" s="1"/>
  <c r="E1850" i="8" s="1"/>
  <c r="C1851" i="8"/>
  <c r="D1851" i="8" s="1"/>
  <c r="E1851" i="8" s="1"/>
  <c r="C1852" i="8"/>
  <c r="D1852" i="8" s="1"/>
  <c r="E1852" i="8" s="1"/>
  <c r="C1853" i="8"/>
  <c r="D1853" i="8" s="1"/>
  <c r="E1853" i="8" s="1"/>
  <c r="C1854" i="8"/>
  <c r="D1854" i="8" s="1"/>
  <c r="E1854" i="8" s="1"/>
  <c r="C1855" i="8"/>
  <c r="D1855" i="8" s="1"/>
  <c r="E1855" i="8" s="1"/>
  <c r="C1856" i="8"/>
  <c r="D1856" i="8" s="1"/>
  <c r="E1856" i="8" s="1"/>
  <c r="C1857" i="8"/>
  <c r="D1857" i="8" s="1"/>
  <c r="E1857" i="8" s="1"/>
  <c r="C1858" i="8"/>
  <c r="D1858" i="8" s="1"/>
  <c r="E1858" i="8" s="1"/>
  <c r="C1859" i="8"/>
  <c r="D1859" i="8" s="1"/>
  <c r="E1859" i="8" s="1"/>
  <c r="C1860" i="8"/>
  <c r="D1860" i="8" s="1"/>
  <c r="E1860" i="8" s="1"/>
  <c r="C1861" i="8"/>
  <c r="D1861" i="8" s="1"/>
  <c r="E1861" i="8" s="1"/>
  <c r="C1862" i="8"/>
  <c r="D1862" i="8" s="1"/>
  <c r="E1862" i="8" s="1"/>
  <c r="C1863" i="8"/>
  <c r="D1863" i="8" s="1"/>
  <c r="E1863" i="8" s="1"/>
  <c r="C1864" i="8"/>
  <c r="D1864" i="8" s="1"/>
  <c r="E1864" i="8" s="1"/>
  <c r="C1865" i="8"/>
  <c r="D1865" i="8" s="1"/>
  <c r="E1865" i="8" s="1"/>
  <c r="C1866" i="8"/>
  <c r="D1866" i="8" s="1"/>
  <c r="E1866" i="8" s="1"/>
  <c r="C1867" i="8"/>
  <c r="D1867" i="8" s="1"/>
  <c r="E1867" i="8" s="1"/>
  <c r="C1868" i="8"/>
  <c r="D1868" i="8" s="1"/>
  <c r="E1868" i="8" s="1"/>
  <c r="C1869" i="8"/>
  <c r="D1869" i="8" s="1"/>
  <c r="E1869" i="8" s="1"/>
  <c r="C1870" i="8"/>
  <c r="D1870" i="8" s="1"/>
  <c r="E1870" i="8" s="1"/>
  <c r="C1871" i="8"/>
  <c r="D1871" i="8" s="1"/>
  <c r="E1871" i="8" s="1"/>
  <c r="C1872" i="8"/>
  <c r="D1872" i="8" s="1"/>
  <c r="E1872" i="8" s="1"/>
  <c r="C1873" i="8"/>
  <c r="D1873" i="8" s="1"/>
  <c r="E1873" i="8" s="1"/>
  <c r="C1874" i="8"/>
  <c r="D1874" i="8" s="1"/>
  <c r="E1874" i="8" s="1"/>
  <c r="C1875" i="8"/>
  <c r="D1875" i="8" s="1"/>
  <c r="E1875" i="8" s="1"/>
  <c r="C1876" i="8"/>
  <c r="D1876" i="8" s="1"/>
  <c r="E1876" i="8" s="1"/>
  <c r="C1877" i="8"/>
  <c r="D1877" i="8" s="1"/>
  <c r="E1877" i="8" s="1"/>
  <c r="C1878" i="8"/>
  <c r="D1878" i="8" s="1"/>
  <c r="E1878" i="8" s="1"/>
  <c r="C1879" i="8"/>
  <c r="D1879" i="8" s="1"/>
  <c r="E1879" i="8" s="1"/>
  <c r="C1880" i="8"/>
  <c r="D1880" i="8" s="1"/>
  <c r="E1880" i="8" s="1"/>
  <c r="C1881" i="8"/>
  <c r="D1881" i="8" s="1"/>
  <c r="E1881" i="8" s="1"/>
  <c r="C1882" i="8"/>
  <c r="D1882" i="8" s="1"/>
  <c r="E1882" i="8" s="1"/>
  <c r="C1883" i="8"/>
  <c r="D1883" i="8" s="1"/>
  <c r="E1883" i="8" s="1"/>
  <c r="C1884" i="8"/>
  <c r="D1884" i="8" s="1"/>
  <c r="E1884" i="8" s="1"/>
  <c r="C1885" i="8"/>
  <c r="D1885" i="8" s="1"/>
  <c r="E1885" i="8" s="1"/>
  <c r="C1886" i="8"/>
  <c r="D1886" i="8" s="1"/>
  <c r="E1886" i="8" s="1"/>
  <c r="C1887" i="8"/>
  <c r="D1887" i="8" s="1"/>
  <c r="E1887" i="8" s="1"/>
  <c r="C1888" i="8"/>
  <c r="D1888" i="8" s="1"/>
  <c r="E1888" i="8" s="1"/>
  <c r="C1889" i="8"/>
  <c r="D1889" i="8" s="1"/>
  <c r="E1889" i="8" s="1"/>
  <c r="C1890" i="8"/>
  <c r="D1890" i="8" s="1"/>
  <c r="E1890" i="8" s="1"/>
  <c r="C1891" i="8"/>
  <c r="D1891" i="8" s="1"/>
  <c r="E1891" i="8" s="1"/>
  <c r="C1892" i="8"/>
  <c r="D1892" i="8" s="1"/>
  <c r="E1892" i="8" s="1"/>
  <c r="C1893" i="8"/>
  <c r="D1893" i="8" s="1"/>
  <c r="E1893" i="8" s="1"/>
  <c r="C1894" i="8"/>
  <c r="D1894" i="8" s="1"/>
  <c r="E1894" i="8" s="1"/>
  <c r="C1895" i="8"/>
  <c r="D1895" i="8" s="1"/>
  <c r="E1895" i="8" s="1"/>
  <c r="C1896" i="8"/>
  <c r="D1896" i="8" s="1"/>
  <c r="E1896" i="8" s="1"/>
  <c r="C1897" i="8"/>
  <c r="D1897" i="8" s="1"/>
  <c r="E1897" i="8" s="1"/>
  <c r="C1898" i="8"/>
  <c r="D1898" i="8" s="1"/>
  <c r="E1898" i="8" s="1"/>
  <c r="C1899" i="8"/>
  <c r="D1899" i="8" s="1"/>
  <c r="E1899" i="8" s="1"/>
  <c r="C1900" i="8"/>
  <c r="D1900" i="8" s="1"/>
  <c r="E1900" i="8" s="1"/>
  <c r="C1901" i="8"/>
  <c r="D1901" i="8" s="1"/>
  <c r="E1901" i="8" s="1"/>
  <c r="C1902" i="8"/>
  <c r="D1902" i="8" s="1"/>
  <c r="E1902" i="8" s="1"/>
  <c r="C1903" i="8"/>
  <c r="D1903" i="8" s="1"/>
  <c r="E1903" i="8" s="1"/>
  <c r="C1904" i="8"/>
  <c r="D1904" i="8" s="1"/>
  <c r="E1904" i="8" s="1"/>
  <c r="C1905" i="8"/>
  <c r="D1905" i="8" s="1"/>
  <c r="E1905" i="8" s="1"/>
  <c r="C1906" i="8"/>
  <c r="D1906" i="8" s="1"/>
  <c r="E1906" i="8" s="1"/>
  <c r="C1907" i="8"/>
  <c r="D1907" i="8" s="1"/>
  <c r="E1907" i="8" s="1"/>
  <c r="C1908" i="8"/>
  <c r="D1908" i="8" s="1"/>
  <c r="E1908" i="8" s="1"/>
  <c r="C1909" i="8"/>
  <c r="D1909" i="8" s="1"/>
  <c r="E1909" i="8" s="1"/>
  <c r="C1910" i="8"/>
  <c r="D1910" i="8" s="1"/>
  <c r="E1910" i="8" s="1"/>
  <c r="C1911" i="8"/>
  <c r="D1911" i="8" s="1"/>
  <c r="E1911" i="8" s="1"/>
  <c r="C1912" i="8"/>
  <c r="D1912" i="8" s="1"/>
  <c r="E1912" i="8" s="1"/>
  <c r="C1913" i="8"/>
  <c r="D1913" i="8" s="1"/>
  <c r="E1913" i="8" s="1"/>
  <c r="C1914" i="8"/>
  <c r="D1914" i="8" s="1"/>
  <c r="E1914" i="8" s="1"/>
  <c r="C1915" i="8"/>
  <c r="D1915" i="8" s="1"/>
  <c r="E1915" i="8" s="1"/>
  <c r="C1916" i="8"/>
  <c r="D1916" i="8" s="1"/>
  <c r="E1916" i="8" s="1"/>
  <c r="C1917" i="8"/>
  <c r="D1917" i="8" s="1"/>
  <c r="E1917" i="8" s="1"/>
  <c r="C1918" i="8"/>
  <c r="D1918" i="8" s="1"/>
  <c r="E1918" i="8" s="1"/>
  <c r="C1919" i="8"/>
  <c r="D1919" i="8" s="1"/>
  <c r="E1919" i="8" s="1"/>
  <c r="C1920" i="8"/>
  <c r="D1920" i="8" s="1"/>
  <c r="E1920" i="8" s="1"/>
  <c r="C1921" i="8"/>
  <c r="D1921" i="8" s="1"/>
  <c r="E1921" i="8" s="1"/>
  <c r="C1922" i="8"/>
  <c r="D1922" i="8" s="1"/>
  <c r="E1922" i="8" s="1"/>
  <c r="C1923" i="8"/>
  <c r="D1923" i="8" s="1"/>
  <c r="E1923" i="8" s="1"/>
  <c r="C1924" i="8"/>
  <c r="D1924" i="8" s="1"/>
  <c r="E1924" i="8" s="1"/>
  <c r="C1925" i="8"/>
  <c r="D1925" i="8" s="1"/>
  <c r="E1925" i="8" s="1"/>
  <c r="C1926" i="8"/>
  <c r="D1926" i="8" s="1"/>
  <c r="E1926" i="8" s="1"/>
  <c r="C1927" i="8"/>
  <c r="D1927" i="8" s="1"/>
  <c r="E1927" i="8" s="1"/>
  <c r="C1928" i="8"/>
  <c r="D1928" i="8" s="1"/>
  <c r="E1928" i="8" s="1"/>
  <c r="C1929" i="8"/>
  <c r="D1929" i="8" s="1"/>
  <c r="E1929" i="8" s="1"/>
  <c r="C1930" i="8"/>
  <c r="D1930" i="8" s="1"/>
  <c r="E1930" i="8" s="1"/>
  <c r="C1931" i="8"/>
  <c r="D1931" i="8" s="1"/>
  <c r="E1931" i="8" s="1"/>
  <c r="C1932" i="8"/>
  <c r="D1932" i="8" s="1"/>
  <c r="E1932" i="8" s="1"/>
  <c r="C1933" i="8"/>
  <c r="D1933" i="8" s="1"/>
  <c r="E1933" i="8" s="1"/>
  <c r="C1934" i="8"/>
  <c r="D1934" i="8" s="1"/>
  <c r="E1934" i="8" s="1"/>
  <c r="C1935" i="8"/>
  <c r="D1935" i="8" s="1"/>
  <c r="E1935" i="8" s="1"/>
  <c r="C1936" i="8"/>
  <c r="D1936" i="8" s="1"/>
  <c r="E1936" i="8" s="1"/>
  <c r="C1937" i="8"/>
  <c r="D1937" i="8" s="1"/>
  <c r="E1937" i="8" s="1"/>
  <c r="C1938" i="8"/>
  <c r="D1938" i="8" s="1"/>
  <c r="E1938" i="8" s="1"/>
  <c r="C1939" i="8"/>
  <c r="D1939" i="8" s="1"/>
  <c r="E1939" i="8" s="1"/>
  <c r="C1940" i="8"/>
  <c r="D1940" i="8" s="1"/>
  <c r="E1940" i="8" s="1"/>
  <c r="C1941" i="8"/>
  <c r="D1941" i="8" s="1"/>
  <c r="E1941" i="8" s="1"/>
  <c r="C1942" i="8"/>
  <c r="D1942" i="8" s="1"/>
  <c r="E1942" i="8" s="1"/>
  <c r="C1943" i="8"/>
  <c r="D1943" i="8" s="1"/>
  <c r="E1943" i="8" s="1"/>
  <c r="C1944" i="8"/>
  <c r="D1944" i="8" s="1"/>
  <c r="E1944" i="8" s="1"/>
  <c r="C1945" i="8"/>
  <c r="D1945" i="8" s="1"/>
  <c r="E1945" i="8" s="1"/>
  <c r="C1946" i="8"/>
  <c r="D1946" i="8" s="1"/>
  <c r="E1946" i="8" s="1"/>
  <c r="C1947" i="8"/>
  <c r="D1947" i="8" s="1"/>
  <c r="E1947" i="8" s="1"/>
  <c r="C1948" i="8"/>
  <c r="D1948" i="8" s="1"/>
  <c r="E1948" i="8" s="1"/>
  <c r="C1949" i="8"/>
  <c r="D1949" i="8" s="1"/>
  <c r="E1949" i="8" s="1"/>
  <c r="C1950" i="8"/>
  <c r="D1950" i="8" s="1"/>
  <c r="E1950" i="8" s="1"/>
  <c r="C1951" i="8"/>
  <c r="D1951" i="8" s="1"/>
  <c r="E1951" i="8" s="1"/>
  <c r="C1952" i="8"/>
  <c r="D1952" i="8" s="1"/>
  <c r="E1952" i="8" s="1"/>
  <c r="C1953" i="8"/>
  <c r="D1953" i="8" s="1"/>
  <c r="E1953" i="8" s="1"/>
  <c r="C1954" i="8"/>
  <c r="D1954" i="8" s="1"/>
  <c r="E1954" i="8" s="1"/>
  <c r="C1955" i="8"/>
  <c r="D1955" i="8" s="1"/>
  <c r="E1955" i="8" s="1"/>
  <c r="C1956" i="8"/>
  <c r="D1956" i="8" s="1"/>
  <c r="E1956" i="8" s="1"/>
  <c r="C1957" i="8"/>
  <c r="D1957" i="8" s="1"/>
  <c r="E1957" i="8" s="1"/>
  <c r="C1958" i="8"/>
  <c r="D1958" i="8" s="1"/>
  <c r="E1958" i="8" s="1"/>
  <c r="C1959" i="8"/>
  <c r="D1959" i="8" s="1"/>
  <c r="E1959" i="8" s="1"/>
  <c r="C1960" i="8"/>
  <c r="D1960" i="8" s="1"/>
  <c r="E1960" i="8" s="1"/>
  <c r="C1961" i="8"/>
  <c r="D1961" i="8" s="1"/>
  <c r="E1961" i="8" s="1"/>
  <c r="C1962" i="8"/>
  <c r="D1962" i="8" s="1"/>
  <c r="E1962" i="8" s="1"/>
  <c r="C1963" i="8"/>
  <c r="D1963" i="8" s="1"/>
  <c r="E1963" i="8" s="1"/>
  <c r="C1964" i="8"/>
  <c r="D1964" i="8" s="1"/>
  <c r="E1964" i="8" s="1"/>
  <c r="C1965" i="8"/>
  <c r="D1965" i="8" s="1"/>
  <c r="E1965" i="8" s="1"/>
  <c r="C1966" i="8"/>
  <c r="D1966" i="8" s="1"/>
  <c r="E1966" i="8" s="1"/>
  <c r="C1967" i="8"/>
  <c r="D1967" i="8" s="1"/>
  <c r="E1967" i="8" s="1"/>
  <c r="C1968" i="8"/>
  <c r="D1968" i="8" s="1"/>
  <c r="E1968" i="8" s="1"/>
  <c r="C1969" i="8"/>
  <c r="D1969" i="8" s="1"/>
  <c r="E1969" i="8" s="1"/>
  <c r="C1970" i="8"/>
  <c r="D1970" i="8" s="1"/>
  <c r="E1970" i="8" s="1"/>
  <c r="C1971" i="8"/>
  <c r="D1971" i="8" s="1"/>
  <c r="E1971" i="8" s="1"/>
  <c r="C1972" i="8"/>
  <c r="D1972" i="8" s="1"/>
  <c r="E1972" i="8" s="1"/>
  <c r="C1973" i="8"/>
  <c r="D1973" i="8" s="1"/>
  <c r="E1973" i="8" s="1"/>
  <c r="C1974" i="8"/>
  <c r="D1974" i="8" s="1"/>
  <c r="E1974" i="8" s="1"/>
  <c r="C1975" i="8"/>
  <c r="D1975" i="8" s="1"/>
  <c r="E1975" i="8" s="1"/>
  <c r="C1976" i="8"/>
  <c r="D1976" i="8" s="1"/>
  <c r="E1976" i="8" s="1"/>
  <c r="C1977" i="8"/>
  <c r="D1977" i="8" s="1"/>
  <c r="E1977" i="8" s="1"/>
  <c r="C1978" i="8"/>
  <c r="D1978" i="8" s="1"/>
  <c r="E1978" i="8" s="1"/>
  <c r="C1979" i="8"/>
  <c r="D1979" i="8" s="1"/>
  <c r="E1979" i="8" s="1"/>
  <c r="C1980" i="8"/>
  <c r="D1980" i="8" s="1"/>
  <c r="E1980" i="8" s="1"/>
  <c r="C1981" i="8"/>
  <c r="D1981" i="8" s="1"/>
  <c r="E1981" i="8" s="1"/>
  <c r="C1982" i="8"/>
  <c r="D1982" i="8" s="1"/>
  <c r="E1982" i="8" s="1"/>
  <c r="C1983" i="8"/>
  <c r="D1983" i="8" s="1"/>
  <c r="E1983" i="8" s="1"/>
  <c r="C1984" i="8"/>
  <c r="D1984" i="8" s="1"/>
  <c r="E1984" i="8" s="1"/>
  <c r="C1985" i="8"/>
  <c r="D1985" i="8" s="1"/>
  <c r="E1985" i="8" s="1"/>
  <c r="C1986" i="8"/>
  <c r="D1986" i="8" s="1"/>
  <c r="E1986" i="8" s="1"/>
  <c r="C1987" i="8"/>
  <c r="D1987" i="8" s="1"/>
  <c r="E1987" i="8" s="1"/>
  <c r="C1988" i="8"/>
  <c r="D1988" i="8" s="1"/>
  <c r="E1988" i="8" s="1"/>
  <c r="C1989" i="8"/>
  <c r="D1989" i="8" s="1"/>
  <c r="E1989" i="8" s="1"/>
  <c r="C1990" i="8"/>
  <c r="D1990" i="8" s="1"/>
  <c r="E1990" i="8" s="1"/>
  <c r="C1991" i="8"/>
  <c r="D1991" i="8" s="1"/>
  <c r="E1991" i="8" s="1"/>
  <c r="C1992" i="8"/>
  <c r="D1992" i="8" s="1"/>
  <c r="E1992" i="8" s="1"/>
  <c r="C1993" i="8"/>
  <c r="D1993" i="8" s="1"/>
  <c r="E1993" i="8" s="1"/>
  <c r="C1994" i="8"/>
  <c r="D1994" i="8" s="1"/>
  <c r="E1994" i="8" s="1"/>
  <c r="C1995" i="8"/>
  <c r="D1995" i="8" s="1"/>
  <c r="E1995" i="8" s="1"/>
  <c r="C1996" i="8"/>
  <c r="D1996" i="8" s="1"/>
  <c r="E1996" i="8" s="1"/>
  <c r="C1997" i="8"/>
  <c r="D1997" i="8" s="1"/>
  <c r="E1997" i="8" s="1"/>
  <c r="C1998" i="8"/>
  <c r="D1998" i="8" s="1"/>
  <c r="E1998" i="8" s="1"/>
  <c r="C1999" i="8"/>
  <c r="D1999" i="8" s="1"/>
  <c r="E1999" i="8" s="1"/>
  <c r="C2000" i="8"/>
  <c r="D2000" i="8" s="1"/>
  <c r="E2000" i="8" s="1"/>
  <c r="C2001" i="8"/>
  <c r="D2001" i="8" s="1"/>
  <c r="E2001" i="8" s="1"/>
  <c r="C2002" i="8"/>
  <c r="D2002" i="8" s="1"/>
  <c r="E2002" i="8" s="1"/>
  <c r="C2003" i="8"/>
  <c r="D2003" i="8" s="1"/>
  <c r="E2003" i="8" s="1"/>
  <c r="C2004" i="8"/>
  <c r="D2004" i="8" s="1"/>
  <c r="E2004" i="8" s="1"/>
  <c r="C2005" i="8"/>
  <c r="D2005" i="8" s="1"/>
  <c r="E2005" i="8" s="1"/>
  <c r="C2006" i="8"/>
  <c r="D2006" i="8" s="1"/>
  <c r="E2006" i="8" s="1"/>
  <c r="C2007" i="8"/>
  <c r="D2007" i="8" s="1"/>
  <c r="E2007" i="8" s="1"/>
  <c r="C2008" i="8"/>
  <c r="D2008" i="8" s="1"/>
  <c r="E2008" i="8" s="1"/>
  <c r="C2009" i="8"/>
  <c r="D2009" i="8" s="1"/>
  <c r="E2009" i="8" s="1"/>
  <c r="C2010" i="8"/>
  <c r="D2010" i="8" s="1"/>
  <c r="E2010" i="8" s="1"/>
  <c r="C2011" i="8"/>
  <c r="D2011" i="8" s="1"/>
  <c r="E2011" i="8" s="1"/>
  <c r="C2012" i="8"/>
  <c r="D2012" i="8" s="1"/>
  <c r="E2012" i="8" s="1"/>
  <c r="C2013" i="8"/>
  <c r="D2013" i="8" s="1"/>
  <c r="E2013" i="8" s="1"/>
  <c r="C2014" i="8"/>
  <c r="D2014" i="8" s="1"/>
  <c r="E2014" i="8" s="1"/>
  <c r="C2015" i="8"/>
  <c r="D2015" i="8" s="1"/>
  <c r="E2015" i="8" s="1"/>
  <c r="C2016" i="8"/>
  <c r="D2016" i="8" s="1"/>
  <c r="E2016" i="8" s="1"/>
  <c r="C2017" i="8"/>
  <c r="D2017" i="8" s="1"/>
  <c r="E2017" i="8" s="1"/>
  <c r="C2018" i="8"/>
  <c r="D2018" i="8" s="1"/>
  <c r="E2018" i="8" s="1"/>
  <c r="C2019" i="8"/>
  <c r="D2019" i="8" s="1"/>
  <c r="E2019" i="8" s="1"/>
  <c r="C2020" i="8"/>
  <c r="D2020" i="8" s="1"/>
  <c r="E2020" i="8" s="1"/>
  <c r="C2021" i="8"/>
  <c r="D2021" i="8" s="1"/>
  <c r="E2021" i="8" s="1"/>
  <c r="C2022" i="8"/>
  <c r="D2022" i="8" s="1"/>
  <c r="E2022" i="8" s="1"/>
  <c r="C2023" i="8"/>
  <c r="D2023" i="8" s="1"/>
  <c r="E2023" i="8" s="1"/>
  <c r="C2024" i="8"/>
  <c r="D2024" i="8" s="1"/>
  <c r="E2024" i="8" s="1"/>
  <c r="C2025" i="8"/>
  <c r="D2025" i="8" s="1"/>
  <c r="E2025" i="8" s="1"/>
  <c r="C2026" i="8"/>
  <c r="D2026" i="8" s="1"/>
  <c r="E2026" i="8" s="1"/>
  <c r="C2027" i="8"/>
  <c r="D2027" i="8" s="1"/>
  <c r="E2027" i="8" s="1"/>
  <c r="C2028" i="8"/>
  <c r="D2028" i="8" s="1"/>
  <c r="E2028" i="8" s="1"/>
  <c r="C2029" i="8"/>
  <c r="D2029" i="8" s="1"/>
  <c r="E2029" i="8" s="1"/>
  <c r="C2030" i="8"/>
  <c r="D2030" i="8" s="1"/>
  <c r="E2030" i="8" s="1"/>
  <c r="C2031" i="8"/>
  <c r="D2031" i="8" s="1"/>
  <c r="E2031" i="8" s="1"/>
  <c r="C2032" i="8"/>
  <c r="D2032" i="8" s="1"/>
  <c r="E2032" i="8" s="1"/>
  <c r="C2033" i="8"/>
  <c r="D2033" i="8" s="1"/>
  <c r="E2033" i="8" s="1"/>
  <c r="C2034" i="8"/>
  <c r="D2034" i="8" s="1"/>
  <c r="E2034" i="8" s="1"/>
  <c r="C2035" i="8"/>
  <c r="D2035" i="8" s="1"/>
  <c r="E2035" i="8" s="1"/>
  <c r="C2036" i="8"/>
  <c r="D2036" i="8" s="1"/>
  <c r="E2036" i="8" s="1"/>
  <c r="C2037" i="8"/>
  <c r="D2037" i="8" s="1"/>
  <c r="E2037" i="8" s="1"/>
  <c r="C2038" i="8"/>
  <c r="D2038" i="8" s="1"/>
  <c r="E2038" i="8" s="1"/>
  <c r="C2039" i="8"/>
  <c r="D2039" i="8" s="1"/>
  <c r="E2039" i="8" s="1"/>
  <c r="C2040" i="8"/>
  <c r="D2040" i="8" s="1"/>
  <c r="E2040" i="8" s="1"/>
  <c r="C2041" i="8"/>
  <c r="D2041" i="8" s="1"/>
  <c r="E2041" i="8" s="1"/>
  <c r="C2042" i="8"/>
  <c r="D2042" i="8" s="1"/>
  <c r="E2042" i="8" s="1"/>
  <c r="C2043" i="8"/>
  <c r="D2043" i="8" s="1"/>
  <c r="E2043" i="8" s="1"/>
  <c r="C2044" i="8"/>
  <c r="D2044" i="8" s="1"/>
  <c r="E2044" i="8" s="1"/>
  <c r="C2045" i="8"/>
  <c r="D2045" i="8" s="1"/>
  <c r="E2045" i="8" s="1"/>
  <c r="C2046" i="8"/>
  <c r="D2046" i="8" s="1"/>
  <c r="E2046" i="8" s="1"/>
  <c r="C2047" i="8"/>
  <c r="D2047" i="8" s="1"/>
  <c r="E2047" i="8" s="1"/>
  <c r="C2048" i="8"/>
  <c r="D2048" i="8" s="1"/>
  <c r="E2048" i="8" s="1"/>
  <c r="C2049" i="8"/>
  <c r="D2049" i="8" s="1"/>
  <c r="E2049" i="8" s="1"/>
  <c r="C2050" i="8"/>
  <c r="D2050" i="8" s="1"/>
  <c r="E2050" i="8" s="1"/>
  <c r="C2051" i="8"/>
  <c r="D2051" i="8" s="1"/>
  <c r="E2051" i="8" s="1"/>
  <c r="C2052" i="8"/>
  <c r="D2052" i="8" s="1"/>
  <c r="E2052" i="8" s="1"/>
  <c r="C2053" i="8"/>
  <c r="D2053" i="8" s="1"/>
  <c r="E2053" i="8" s="1"/>
  <c r="C2054" i="8"/>
  <c r="D2054" i="8" s="1"/>
  <c r="E2054" i="8" s="1"/>
  <c r="C2055" i="8"/>
  <c r="D2055" i="8" s="1"/>
  <c r="E2055" i="8" s="1"/>
  <c r="C2056" i="8"/>
  <c r="D2056" i="8" s="1"/>
  <c r="E2056" i="8" s="1"/>
  <c r="C2057" i="8"/>
  <c r="D2057" i="8" s="1"/>
  <c r="E2057" i="8" s="1"/>
  <c r="C2058" i="8"/>
  <c r="D2058" i="8" s="1"/>
  <c r="E2058" i="8" s="1"/>
  <c r="C2059" i="8"/>
  <c r="D2059" i="8" s="1"/>
  <c r="E2059" i="8" s="1"/>
  <c r="C2060" i="8"/>
  <c r="D2060" i="8" s="1"/>
  <c r="E2060" i="8" s="1"/>
  <c r="C2061" i="8"/>
  <c r="D2061" i="8" s="1"/>
  <c r="E2061" i="8" s="1"/>
  <c r="C2062" i="8"/>
  <c r="D2062" i="8" s="1"/>
  <c r="E2062" i="8" s="1"/>
  <c r="C2063" i="8"/>
  <c r="D2063" i="8" s="1"/>
  <c r="E2063" i="8" s="1"/>
  <c r="C2064" i="8"/>
  <c r="D2064" i="8" s="1"/>
  <c r="E2064" i="8" s="1"/>
  <c r="C2065" i="8"/>
  <c r="D2065" i="8" s="1"/>
  <c r="E2065" i="8" s="1"/>
  <c r="C2066" i="8"/>
  <c r="D2066" i="8" s="1"/>
  <c r="E2066" i="8" s="1"/>
  <c r="C2067" i="8"/>
  <c r="D2067" i="8" s="1"/>
  <c r="E2067" i="8" s="1"/>
  <c r="C2068" i="8"/>
  <c r="D2068" i="8" s="1"/>
  <c r="E2068" i="8" s="1"/>
  <c r="C2069" i="8"/>
  <c r="D2069" i="8" s="1"/>
  <c r="E2069" i="8" s="1"/>
  <c r="C2070" i="8"/>
  <c r="D2070" i="8" s="1"/>
  <c r="E2070" i="8" s="1"/>
  <c r="C2071" i="8"/>
  <c r="D2071" i="8" s="1"/>
  <c r="E2071" i="8" s="1"/>
  <c r="C2072" i="8"/>
  <c r="D2072" i="8" s="1"/>
  <c r="E2072" i="8" s="1"/>
  <c r="C2073" i="8"/>
  <c r="D2073" i="8" s="1"/>
  <c r="E2073" i="8" s="1"/>
  <c r="C2074" i="8"/>
  <c r="D2074" i="8" s="1"/>
  <c r="E2074" i="8" s="1"/>
  <c r="C2075" i="8"/>
  <c r="D2075" i="8" s="1"/>
  <c r="E2075" i="8" s="1"/>
  <c r="C2076" i="8"/>
  <c r="D2076" i="8" s="1"/>
  <c r="E2076" i="8" s="1"/>
  <c r="C2077" i="8"/>
  <c r="D2077" i="8" s="1"/>
  <c r="E2077" i="8" s="1"/>
  <c r="C2078" i="8"/>
  <c r="D2078" i="8" s="1"/>
  <c r="E2078" i="8" s="1"/>
  <c r="C2079" i="8"/>
  <c r="D2079" i="8" s="1"/>
  <c r="E2079" i="8" s="1"/>
  <c r="C2080" i="8"/>
  <c r="D2080" i="8" s="1"/>
  <c r="E2080" i="8" s="1"/>
  <c r="C2081" i="8"/>
  <c r="D2081" i="8" s="1"/>
  <c r="E2081" i="8" s="1"/>
  <c r="C2082" i="8"/>
  <c r="D2082" i="8" s="1"/>
  <c r="E2082" i="8" s="1"/>
  <c r="C2083" i="8"/>
  <c r="D2083" i="8" s="1"/>
  <c r="E2083" i="8" s="1"/>
  <c r="C2084" i="8"/>
  <c r="D2084" i="8" s="1"/>
  <c r="E2084" i="8" s="1"/>
  <c r="C2085" i="8"/>
  <c r="D2085" i="8" s="1"/>
  <c r="E2085" i="8" s="1"/>
  <c r="C2086" i="8"/>
  <c r="D2086" i="8" s="1"/>
  <c r="E2086" i="8" s="1"/>
  <c r="C2087" i="8"/>
  <c r="D2087" i="8" s="1"/>
  <c r="E2087" i="8" s="1"/>
  <c r="C2088" i="8"/>
  <c r="D2088" i="8" s="1"/>
  <c r="E2088" i="8" s="1"/>
  <c r="C2089" i="8"/>
  <c r="D2089" i="8" s="1"/>
  <c r="E2089" i="8" s="1"/>
  <c r="C2090" i="8"/>
  <c r="D2090" i="8" s="1"/>
  <c r="E2090" i="8" s="1"/>
  <c r="C2091" i="8"/>
  <c r="D2091" i="8" s="1"/>
  <c r="E2091" i="8" s="1"/>
  <c r="C2092" i="8"/>
  <c r="D2092" i="8" s="1"/>
  <c r="E2092" i="8" s="1"/>
  <c r="C2093" i="8"/>
  <c r="D2093" i="8" s="1"/>
  <c r="E2093" i="8" s="1"/>
  <c r="C2094" i="8"/>
  <c r="D2094" i="8" s="1"/>
  <c r="E2094" i="8" s="1"/>
  <c r="C2095" i="8"/>
  <c r="D2095" i="8" s="1"/>
  <c r="E2095" i="8" s="1"/>
  <c r="C2096" i="8"/>
  <c r="D2096" i="8" s="1"/>
  <c r="E2096" i="8" s="1"/>
  <c r="C2097" i="8"/>
  <c r="D2097" i="8" s="1"/>
  <c r="E2097" i="8" s="1"/>
  <c r="C2098" i="8"/>
  <c r="D2098" i="8" s="1"/>
  <c r="E2098" i="8" s="1"/>
  <c r="C2099" i="8"/>
  <c r="D2099" i="8" s="1"/>
  <c r="E2099" i="8" s="1"/>
  <c r="C2100" i="8"/>
  <c r="D2100" i="8" s="1"/>
  <c r="E2100" i="8" s="1"/>
  <c r="C2101" i="8"/>
  <c r="D2101" i="8" s="1"/>
  <c r="E2101" i="8" s="1"/>
  <c r="C2102" i="8"/>
  <c r="D2102" i="8" s="1"/>
  <c r="E2102" i="8" s="1"/>
  <c r="C2103" i="8"/>
  <c r="D2103" i="8" s="1"/>
  <c r="E2103" i="8" s="1"/>
  <c r="C2104" i="8"/>
  <c r="D2104" i="8" s="1"/>
  <c r="E2104" i="8" s="1"/>
  <c r="C2105" i="8"/>
  <c r="D2105" i="8" s="1"/>
  <c r="E2105" i="8" s="1"/>
  <c r="C2106" i="8"/>
  <c r="D2106" i="8" s="1"/>
  <c r="E2106" i="8" s="1"/>
  <c r="C2107" i="8"/>
  <c r="D2107" i="8" s="1"/>
  <c r="E2107" i="8" s="1"/>
  <c r="C2108" i="8"/>
  <c r="D2108" i="8" s="1"/>
  <c r="E2108" i="8" s="1"/>
  <c r="C2109" i="8"/>
  <c r="D2109" i="8" s="1"/>
  <c r="E2109" i="8" s="1"/>
  <c r="C2110" i="8"/>
  <c r="D2110" i="8" s="1"/>
  <c r="E2110" i="8" s="1"/>
  <c r="C2111" i="8"/>
  <c r="D2111" i="8" s="1"/>
  <c r="E2111" i="8" s="1"/>
  <c r="C2112" i="8"/>
  <c r="D2112" i="8" s="1"/>
  <c r="E2112" i="8" s="1"/>
  <c r="C2113" i="8"/>
  <c r="D2113" i="8" s="1"/>
  <c r="E2113" i="8" s="1"/>
  <c r="C2114" i="8"/>
  <c r="D2114" i="8" s="1"/>
  <c r="E2114" i="8" s="1"/>
  <c r="C2115" i="8"/>
  <c r="D2115" i="8" s="1"/>
  <c r="E2115" i="8" s="1"/>
  <c r="C2116" i="8"/>
  <c r="D2116" i="8" s="1"/>
  <c r="E2116" i="8" s="1"/>
  <c r="C2117" i="8"/>
  <c r="D2117" i="8" s="1"/>
  <c r="E2117" i="8" s="1"/>
  <c r="C2118" i="8"/>
  <c r="D2118" i="8" s="1"/>
  <c r="E2118" i="8" s="1"/>
  <c r="C2119" i="8"/>
  <c r="D2119" i="8" s="1"/>
  <c r="E2119" i="8" s="1"/>
  <c r="C2120" i="8"/>
  <c r="D2120" i="8" s="1"/>
  <c r="E2120" i="8" s="1"/>
  <c r="C2121" i="8"/>
  <c r="D2121" i="8" s="1"/>
  <c r="E2121" i="8" s="1"/>
  <c r="C2122" i="8"/>
  <c r="D2122" i="8" s="1"/>
  <c r="E2122" i="8" s="1"/>
  <c r="C2123" i="8"/>
  <c r="D2123" i="8" s="1"/>
  <c r="E2123" i="8" s="1"/>
  <c r="C2124" i="8"/>
  <c r="D2124" i="8" s="1"/>
  <c r="E2124" i="8" s="1"/>
  <c r="C2125" i="8"/>
  <c r="D2125" i="8" s="1"/>
  <c r="E2125" i="8" s="1"/>
  <c r="C2126" i="8"/>
  <c r="D2126" i="8" s="1"/>
  <c r="E2126" i="8" s="1"/>
  <c r="C2127" i="8"/>
  <c r="D2127" i="8" s="1"/>
  <c r="E2127" i="8" s="1"/>
  <c r="C2128" i="8"/>
  <c r="D2128" i="8" s="1"/>
  <c r="E2128" i="8" s="1"/>
  <c r="C2129" i="8"/>
  <c r="D2129" i="8" s="1"/>
  <c r="E2129" i="8" s="1"/>
  <c r="C2130" i="8"/>
  <c r="D2130" i="8" s="1"/>
  <c r="E2130" i="8" s="1"/>
  <c r="C2131" i="8"/>
  <c r="D2131" i="8" s="1"/>
  <c r="E2131" i="8" s="1"/>
  <c r="C2132" i="8"/>
  <c r="D2132" i="8" s="1"/>
  <c r="E2132" i="8" s="1"/>
  <c r="C2133" i="8"/>
  <c r="D2133" i="8" s="1"/>
  <c r="E2133" i="8" s="1"/>
  <c r="C2134" i="8"/>
  <c r="D2134" i="8" s="1"/>
  <c r="E2134" i="8" s="1"/>
  <c r="C2135" i="8"/>
  <c r="D2135" i="8" s="1"/>
  <c r="E2135" i="8" s="1"/>
  <c r="C2136" i="8"/>
  <c r="D2136" i="8" s="1"/>
  <c r="E2136" i="8" s="1"/>
  <c r="C2137" i="8"/>
  <c r="D2137" i="8" s="1"/>
  <c r="E2137" i="8" s="1"/>
  <c r="C2138" i="8"/>
  <c r="D2138" i="8" s="1"/>
  <c r="E2138" i="8" s="1"/>
  <c r="C2139" i="8"/>
  <c r="D2139" i="8" s="1"/>
  <c r="E2139" i="8" s="1"/>
  <c r="C2140" i="8"/>
  <c r="D2140" i="8" s="1"/>
  <c r="E2140" i="8" s="1"/>
  <c r="C2141" i="8"/>
  <c r="D2141" i="8" s="1"/>
  <c r="E2141" i="8" s="1"/>
  <c r="C2142" i="8"/>
  <c r="D2142" i="8" s="1"/>
  <c r="E2142" i="8" s="1"/>
  <c r="C2143" i="8"/>
  <c r="D2143" i="8" s="1"/>
  <c r="E2143" i="8" s="1"/>
  <c r="C2144" i="8"/>
  <c r="D2144" i="8" s="1"/>
  <c r="E2144" i="8" s="1"/>
  <c r="C2145" i="8"/>
  <c r="D2145" i="8" s="1"/>
  <c r="E2145" i="8" s="1"/>
  <c r="C2146" i="8"/>
  <c r="D2146" i="8" s="1"/>
  <c r="E2146" i="8" s="1"/>
  <c r="C2147" i="8"/>
  <c r="D2147" i="8" s="1"/>
  <c r="E2147" i="8" s="1"/>
  <c r="C2148" i="8"/>
  <c r="D2148" i="8" s="1"/>
  <c r="E2148" i="8" s="1"/>
  <c r="C2149" i="8"/>
  <c r="D2149" i="8" s="1"/>
  <c r="E2149" i="8" s="1"/>
  <c r="C2150" i="8"/>
  <c r="D2150" i="8" s="1"/>
  <c r="E2150" i="8" s="1"/>
  <c r="C2151" i="8"/>
  <c r="D2151" i="8" s="1"/>
  <c r="E2151" i="8" s="1"/>
  <c r="C2152" i="8"/>
  <c r="D2152" i="8" s="1"/>
  <c r="E2152" i="8" s="1"/>
  <c r="C2153" i="8"/>
  <c r="D2153" i="8" s="1"/>
  <c r="E2153" i="8" s="1"/>
  <c r="C2154" i="8"/>
  <c r="D2154" i="8" s="1"/>
  <c r="E2154" i="8" s="1"/>
  <c r="C2155" i="8"/>
  <c r="D2155" i="8" s="1"/>
  <c r="E2155" i="8" s="1"/>
  <c r="C2156" i="8"/>
  <c r="D2156" i="8" s="1"/>
  <c r="E2156" i="8" s="1"/>
  <c r="C2157" i="8"/>
  <c r="D2157" i="8" s="1"/>
  <c r="E2157" i="8" s="1"/>
  <c r="C2158" i="8"/>
  <c r="D2158" i="8" s="1"/>
  <c r="E2158" i="8" s="1"/>
  <c r="C2159" i="8"/>
  <c r="D2159" i="8" s="1"/>
  <c r="E2159" i="8" s="1"/>
  <c r="C2160" i="8"/>
  <c r="D2160" i="8" s="1"/>
  <c r="E2160" i="8" s="1"/>
  <c r="C2161" i="8"/>
  <c r="D2161" i="8" s="1"/>
  <c r="E2161" i="8" s="1"/>
  <c r="C2162" i="8"/>
  <c r="D2162" i="8" s="1"/>
  <c r="E2162" i="8" s="1"/>
  <c r="C2163" i="8"/>
  <c r="D2163" i="8" s="1"/>
  <c r="E2163" i="8" s="1"/>
  <c r="C2164" i="8"/>
  <c r="D2164" i="8" s="1"/>
  <c r="E2164" i="8" s="1"/>
  <c r="C2165" i="8"/>
  <c r="D2165" i="8" s="1"/>
  <c r="E2165" i="8" s="1"/>
  <c r="C2166" i="8"/>
  <c r="D2166" i="8" s="1"/>
  <c r="E2166" i="8" s="1"/>
  <c r="C2167" i="8"/>
  <c r="D2167" i="8" s="1"/>
  <c r="E2167" i="8" s="1"/>
  <c r="C2168" i="8"/>
  <c r="D2168" i="8" s="1"/>
  <c r="E2168" i="8" s="1"/>
  <c r="C2169" i="8"/>
  <c r="D2169" i="8" s="1"/>
  <c r="E2169" i="8" s="1"/>
  <c r="C2170" i="8"/>
  <c r="D2170" i="8" s="1"/>
  <c r="E2170" i="8" s="1"/>
  <c r="C2171" i="8"/>
  <c r="D2171" i="8" s="1"/>
  <c r="E2171" i="8" s="1"/>
  <c r="C2172" i="8"/>
  <c r="D2172" i="8" s="1"/>
  <c r="E2172" i="8" s="1"/>
  <c r="C2173" i="8"/>
  <c r="D2173" i="8" s="1"/>
  <c r="E2173" i="8" s="1"/>
  <c r="C2174" i="8"/>
  <c r="D2174" i="8" s="1"/>
  <c r="E2174" i="8" s="1"/>
  <c r="C2175" i="8"/>
  <c r="D2175" i="8" s="1"/>
  <c r="E2175" i="8" s="1"/>
  <c r="C2176" i="8"/>
  <c r="D2176" i="8" s="1"/>
  <c r="E2176" i="8" s="1"/>
  <c r="C2177" i="8"/>
  <c r="D2177" i="8" s="1"/>
  <c r="E2177" i="8" s="1"/>
  <c r="C2178" i="8"/>
  <c r="D2178" i="8" s="1"/>
  <c r="E2178" i="8" s="1"/>
  <c r="C2179" i="8"/>
  <c r="D2179" i="8" s="1"/>
  <c r="E2179" i="8" s="1"/>
  <c r="C2180" i="8"/>
  <c r="D2180" i="8" s="1"/>
  <c r="E2180" i="8" s="1"/>
  <c r="C2181" i="8"/>
  <c r="D2181" i="8" s="1"/>
  <c r="E2181" i="8" s="1"/>
  <c r="C2182" i="8"/>
  <c r="D2182" i="8" s="1"/>
  <c r="E2182" i="8" s="1"/>
  <c r="C2183" i="8"/>
  <c r="D2183" i="8" s="1"/>
  <c r="E2183" i="8" s="1"/>
  <c r="C2184" i="8"/>
  <c r="D2184" i="8" s="1"/>
  <c r="E2184" i="8" s="1"/>
  <c r="C2185" i="8"/>
  <c r="D2185" i="8" s="1"/>
  <c r="E2185" i="8" s="1"/>
  <c r="C2186" i="8"/>
  <c r="D2186" i="8" s="1"/>
  <c r="E2186" i="8" s="1"/>
  <c r="C2187" i="8"/>
  <c r="D2187" i="8" s="1"/>
  <c r="E2187" i="8" s="1"/>
  <c r="C2188" i="8"/>
  <c r="D2188" i="8" s="1"/>
  <c r="E2188" i="8" s="1"/>
  <c r="C2189" i="8"/>
  <c r="D2189" i="8" s="1"/>
  <c r="E2189" i="8" s="1"/>
  <c r="C2190" i="8"/>
  <c r="D2190" i="8" s="1"/>
  <c r="E2190" i="8" s="1"/>
  <c r="C2191" i="8"/>
  <c r="D2191" i="8" s="1"/>
  <c r="E2191" i="8" s="1"/>
  <c r="C2192" i="8"/>
  <c r="D2192" i="8" s="1"/>
  <c r="E2192" i="8" s="1"/>
  <c r="C2193" i="8"/>
  <c r="D2193" i="8" s="1"/>
  <c r="E2193" i="8" s="1"/>
  <c r="C2194" i="8"/>
  <c r="D2194" i="8" s="1"/>
  <c r="E2194" i="8" s="1"/>
  <c r="C2195" i="8"/>
  <c r="D2195" i="8" s="1"/>
  <c r="E2195" i="8" s="1"/>
  <c r="C2196" i="8"/>
  <c r="D2196" i="8" s="1"/>
  <c r="E2196" i="8" s="1"/>
  <c r="C2197" i="8"/>
  <c r="D2197" i="8" s="1"/>
  <c r="E2197" i="8" s="1"/>
  <c r="C2198" i="8"/>
  <c r="D2198" i="8" s="1"/>
  <c r="E2198" i="8" s="1"/>
  <c r="C2199" i="8"/>
  <c r="D2199" i="8" s="1"/>
  <c r="E2199" i="8" s="1"/>
  <c r="C2200" i="8"/>
  <c r="D2200" i="8" s="1"/>
  <c r="E2200" i="8" s="1"/>
  <c r="C2201" i="8"/>
  <c r="D2201" i="8" s="1"/>
  <c r="E2201" i="8" s="1"/>
  <c r="C2202" i="8"/>
  <c r="D2202" i="8" s="1"/>
  <c r="E2202" i="8" s="1"/>
  <c r="C2203" i="8"/>
  <c r="D2203" i="8" s="1"/>
  <c r="E2203" i="8" s="1"/>
  <c r="C2204" i="8"/>
  <c r="D2204" i="8" s="1"/>
  <c r="E2204" i="8" s="1"/>
  <c r="C2205" i="8"/>
  <c r="D2205" i="8" s="1"/>
  <c r="E2205" i="8" s="1"/>
  <c r="C2206" i="8"/>
  <c r="D2206" i="8" s="1"/>
  <c r="E2206" i="8" s="1"/>
  <c r="C2207" i="8"/>
  <c r="D2207" i="8" s="1"/>
  <c r="E2207" i="8" s="1"/>
  <c r="C2208" i="8"/>
  <c r="D2208" i="8" s="1"/>
  <c r="E2208" i="8" s="1"/>
  <c r="C2209" i="8"/>
  <c r="D2209" i="8" s="1"/>
  <c r="E2209" i="8" s="1"/>
  <c r="C2210" i="8"/>
  <c r="D2210" i="8" s="1"/>
  <c r="E2210" i="8" s="1"/>
  <c r="C2211" i="8"/>
  <c r="D2211" i="8" s="1"/>
  <c r="E2211" i="8" s="1"/>
  <c r="C2212" i="8"/>
  <c r="D2212" i="8" s="1"/>
  <c r="E2212" i="8" s="1"/>
  <c r="C2213" i="8"/>
  <c r="D2213" i="8" s="1"/>
  <c r="E2213" i="8" s="1"/>
  <c r="C2214" i="8"/>
  <c r="D2214" i="8" s="1"/>
  <c r="E2214" i="8" s="1"/>
  <c r="C2215" i="8"/>
  <c r="D2215" i="8" s="1"/>
  <c r="E2215" i="8" s="1"/>
  <c r="C2216" i="8"/>
  <c r="D2216" i="8" s="1"/>
  <c r="E2216" i="8" s="1"/>
  <c r="C2217" i="8"/>
  <c r="D2217" i="8" s="1"/>
  <c r="E2217" i="8" s="1"/>
  <c r="C2218" i="8"/>
  <c r="D2218" i="8" s="1"/>
  <c r="E2218" i="8" s="1"/>
  <c r="C2219" i="8"/>
  <c r="D2219" i="8" s="1"/>
  <c r="E2219" i="8" s="1"/>
  <c r="C2220" i="8"/>
  <c r="D2220" i="8" s="1"/>
  <c r="E2220" i="8" s="1"/>
  <c r="C2221" i="8"/>
  <c r="D2221" i="8" s="1"/>
  <c r="E2221" i="8" s="1"/>
  <c r="C2222" i="8"/>
  <c r="D2222" i="8" s="1"/>
  <c r="E2222" i="8" s="1"/>
  <c r="C2223" i="8"/>
  <c r="D2223" i="8" s="1"/>
  <c r="E2223" i="8" s="1"/>
  <c r="C2224" i="8"/>
  <c r="D2224" i="8" s="1"/>
  <c r="E2224" i="8" s="1"/>
  <c r="C2225" i="8"/>
  <c r="D2225" i="8" s="1"/>
  <c r="E2225" i="8" s="1"/>
  <c r="C2226" i="8"/>
  <c r="D2226" i="8" s="1"/>
  <c r="E2226" i="8" s="1"/>
  <c r="C2227" i="8"/>
  <c r="D2227" i="8" s="1"/>
  <c r="E2227" i="8" s="1"/>
  <c r="C2228" i="8"/>
  <c r="D2228" i="8" s="1"/>
  <c r="E2228" i="8" s="1"/>
  <c r="C2229" i="8"/>
  <c r="D2229" i="8" s="1"/>
  <c r="E2229" i="8" s="1"/>
  <c r="C2230" i="8"/>
  <c r="D2230" i="8" s="1"/>
  <c r="E2230" i="8" s="1"/>
  <c r="C2231" i="8"/>
  <c r="D2231" i="8" s="1"/>
  <c r="E2231" i="8" s="1"/>
  <c r="C2232" i="8"/>
  <c r="D2232" i="8" s="1"/>
  <c r="E2232" i="8" s="1"/>
  <c r="C2233" i="8"/>
  <c r="D2233" i="8" s="1"/>
  <c r="E2233" i="8" s="1"/>
  <c r="C2234" i="8"/>
  <c r="D2234" i="8" s="1"/>
  <c r="E2234" i="8" s="1"/>
  <c r="C2235" i="8"/>
  <c r="D2235" i="8" s="1"/>
  <c r="E2235" i="8" s="1"/>
  <c r="C2236" i="8"/>
  <c r="D2236" i="8" s="1"/>
  <c r="E2236" i="8" s="1"/>
  <c r="C2237" i="8"/>
  <c r="D2237" i="8" s="1"/>
  <c r="E2237" i="8" s="1"/>
  <c r="C2238" i="8"/>
  <c r="D2238" i="8" s="1"/>
  <c r="E2238" i="8" s="1"/>
  <c r="C2239" i="8"/>
  <c r="D2239" i="8" s="1"/>
  <c r="E2239" i="8" s="1"/>
  <c r="C2240" i="8"/>
  <c r="D2240" i="8" s="1"/>
  <c r="E2240" i="8" s="1"/>
  <c r="C2241" i="8"/>
  <c r="D2241" i="8" s="1"/>
  <c r="E2241" i="8" s="1"/>
  <c r="C2242" i="8"/>
  <c r="D2242" i="8" s="1"/>
  <c r="E2242" i="8" s="1"/>
  <c r="C2243" i="8"/>
  <c r="D2243" i="8" s="1"/>
  <c r="E2243" i="8" s="1"/>
  <c r="C2244" i="8"/>
  <c r="D2244" i="8" s="1"/>
  <c r="E2244" i="8" s="1"/>
  <c r="C2245" i="8"/>
  <c r="D2245" i="8" s="1"/>
  <c r="E2245" i="8" s="1"/>
  <c r="C2246" i="8"/>
  <c r="D2246" i="8" s="1"/>
  <c r="E2246" i="8" s="1"/>
  <c r="C2247" i="8"/>
  <c r="D2247" i="8" s="1"/>
  <c r="E2247" i="8" s="1"/>
  <c r="C2248" i="8"/>
  <c r="D2248" i="8" s="1"/>
  <c r="E2248" i="8" s="1"/>
  <c r="C2249" i="8"/>
  <c r="D2249" i="8" s="1"/>
  <c r="E2249" i="8" s="1"/>
  <c r="C2250" i="8"/>
  <c r="D2250" i="8" s="1"/>
  <c r="E2250" i="8" s="1"/>
  <c r="C2251" i="8"/>
  <c r="D2251" i="8" s="1"/>
  <c r="E2251" i="8" s="1"/>
  <c r="C2252" i="8"/>
  <c r="D2252" i="8" s="1"/>
  <c r="E2252" i="8" s="1"/>
  <c r="C2253" i="8"/>
  <c r="D2253" i="8" s="1"/>
  <c r="E2253" i="8" s="1"/>
  <c r="C2254" i="8"/>
  <c r="D2254" i="8" s="1"/>
  <c r="E2254" i="8" s="1"/>
  <c r="C2255" i="8"/>
  <c r="D2255" i="8" s="1"/>
  <c r="E2255" i="8" s="1"/>
  <c r="C2256" i="8"/>
  <c r="D2256" i="8" s="1"/>
  <c r="E2256" i="8" s="1"/>
  <c r="C2257" i="8"/>
  <c r="D2257" i="8" s="1"/>
  <c r="E2257" i="8" s="1"/>
  <c r="C2258" i="8"/>
  <c r="D2258" i="8" s="1"/>
  <c r="E2258" i="8" s="1"/>
  <c r="C2259" i="8"/>
  <c r="D2259" i="8" s="1"/>
  <c r="E2259" i="8" s="1"/>
  <c r="C2260" i="8"/>
  <c r="D2260" i="8" s="1"/>
  <c r="E2260" i="8" s="1"/>
  <c r="C2261" i="8"/>
  <c r="D2261" i="8" s="1"/>
  <c r="E2261" i="8" s="1"/>
  <c r="C2262" i="8"/>
  <c r="D2262" i="8" s="1"/>
  <c r="E2262" i="8" s="1"/>
  <c r="C2263" i="8"/>
  <c r="D2263" i="8" s="1"/>
  <c r="E2263" i="8" s="1"/>
  <c r="C2264" i="8"/>
  <c r="D2264" i="8" s="1"/>
  <c r="E2264" i="8" s="1"/>
  <c r="C2265" i="8"/>
  <c r="D2265" i="8" s="1"/>
  <c r="E2265" i="8" s="1"/>
  <c r="C2266" i="8"/>
  <c r="D2266" i="8" s="1"/>
  <c r="E2266" i="8" s="1"/>
  <c r="C2267" i="8"/>
  <c r="D2267" i="8" s="1"/>
  <c r="E2267" i="8" s="1"/>
  <c r="C2268" i="8"/>
  <c r="D2268" i="8" s="1"/>
  <c r="E2268" i="8" s="1"/>
  <c r="C2269" i="8"/>
  <c r="D2269" i="8" s="1"/>
  <c r="E2269" i="8" s="1"/>
  <c r="C2270" i="8"/>
  <c r="D2270" i="8" s="1"/>
  <c r="E2270" i="8" s="1"/>
  <c r="C2271" i="8"/>
  <c r="D2271" i="8" s="1"/>
  <c r="E2271" i="8" s="1"/>
  <c r="C2272" i="8"/>
  <c r="D2272" i="8" s="1"/>
  <c r="E2272" i="8" s="1"/>
  <c r="C2273" i="8"/>
  <c r="D2273" i="8" s="1"/>
  <c r="E2273" i="8" s="1"/>
  <c r="C2274" i="8"/>
  <c r="D2274" i="8" s="1"/>
  <c r="E2274" i="8" s="1"/>
  <c r="C2275" i="8"/>
  <c r="D2275" i="8" s="1"/>
  <c r="E2275" i="8" s="1"/>
  <c r="C2276" i="8"/>
  <c r="D2276" i="8" s="1"/>
  <c r="E2276" i="8" s="1"/>
  <c r="C2277" i="8"/>
  <c r="D2277" i="8" s="1"/>
  <c r="E2277" i="8" s="1"/>
  <c r="C2278" i="8"/>
  <c r="D2278" i="8" s="1"/>
  <c r="E2278" i="8" s="1"/>
  <c r="C2279" i="8"/>
  <c r="D2279" i="8" s="1"/>
  <c r="E2279" i="8" s="1"/>
  <c r="C2280" i="8"/>
  <c r="D2280" i="8" s="1"/>
  <c r="E2280" i="8" s="1"/>
  <c r="C2281" i="8"/>
  <c r="D2281" i="8" s="1"/>
  <c r="E2281" i="8" s="1"/>
  <c r="C2282" i="8"/>
  <c r="D2282" i="8" s="1"/>
  <c r="E2282" i="8" s="1"/>
  <c r="C2283" i="8"/>
  <c r="D2283" i="8" s="1"/>
  <c r="E2283" i="8" s="1"/>
  <c r="C2284" i="8"/>
  <c r="D2284" i="8" s="1"/>
  <c r="E2284" i="8" s="1"/>
  <c r="C2285" i="8"/>
  <c r="D2285" i="8" s="1"/>
  <c r="E2285" i="8" s="1"/>
  <c r="C2286" i="8"/>
  <c r="D2286" i="8" s="1"/>
  <c r="E2286" i="8" s="1"/>
  <c r="C2287" i="8"/>
  <c r="D2287" i="8" s="1"/>
  <c r="E2287" i="8" s="1"/>
  <c r="C2288" i="8"/>
  <c r="D2288" i="8" s="1"/>
  <c r="E2288" i="8" s="1"/>
  <c r="C2289" i="8"/>
  <c r="D2289" i="8" s="1"/>
  <c r="E2289" i="8" s="1"/>
  <c r="C2290" i="8"/>
  <c r="D2290" i="8" s="1"/>
  <c r="E2290" i="8" s="1"/>
  <c r="C2291" i="8"/>
  <c r="D2291" i="8" s="1"/>
  <c r="E2291" i="8" s="1"/>
  <c r="C2292" i="8"/>
  <c r="D2292" i="8" s="1"/>
  <c r="E2292" i="8" s="1"/>
  <c r="C2293" i="8"/>
  <c r="D2293" i="8" s="1"/>
  <c r="E2293" i="8" s="1"/>
  <c r="C2294" i="8"/>
  <c r="D2294" i="8" s="1"/>
  <c r="E2294" i="8" s="1"/>
  <c r="C2295" i="8"/>
  <c r="D2295" i="8" s="1"/>
  <c r="E2295" i="8" s="1"/>
  <c r="C2296" i="8"/>
  <c r="D2296" i="8" s="1"/>
  <c r="E2296" i="8" s="1"/>
  <c r="C2297" i="8"/>
  <c r="D2297" i="8" s="1"/>
  <c r="E2297" i="8" s="1"/>
  <c r="C2298" i="8"/>
  <c r="D2298" i="8" s="1"/>
  <c r="E2298" i="8" s="1"/>
  <c r="C2299" i="8"/>
  <c r="D2299" i="8" s="1"/>
  <c r="E2299" i="8" s="1"/>
  <c r="C2300" i="8"/>
  <c r="D2300" i="8" s="1"/>
  <c r="E2300" i="8" s="1"/>
  <c r="C2301" i="8"/>
  <c r="D2301" i="8" s="1"/>
  <c r="E2301" i="8" s="1"/>
  <c r="C2302" i="8"/>
  <c r="D2302" i="8" s="1"/>
  <c r="E2302" i="8" s="1"/>
  <c r="C2303" i="8"/>
  <c r="D2303" i="8" s="1"/>
  <c r="E2303" i="8" s="1"/>
  <c r="C2304" i="8"/>
  <c r="D2304" i="8" s="1"/>
  <c r="E2304" i="8" s="1"/>
  <c r="C2305" i="8"/>
  <c r="D2305" i="8" s="1"/>
  <c r="E2305" i="8" s="1"/>
  <c r="C2306" i="8"/>
  <c r="D2306" i="8" s="1"/>
  <c r="E2306" i="8" s="1"/>
  <c r="C2307" i="8"/>
  <c r="D2307" i="8" s="1"/>
  <c r="E2307" i="8" s="1"/>
  <c r="C2308" i="8"/>
  <c r="D2308" i="8" s="1"/>
  <c r="E2308" i="8" s="1"/>
  <c r="C2309" i="8"/>
  <c r="D2309" i="8" s="1"/>
  <c r="E2309" i="8" s="1"/>
  <c r="C2310" i="8"/>
  <c r="D2310" i="8" s="1"/>
  <c r="E2310" i="8" s="1"/>
  <c r="C2311" i="8"/>
  <c r="D2311" i="8" s="1"/>
  <c r="E2311" i="8" s="1"/>
  <c r="C2312" i="8"/>
  <c r="D2312" i="8" s="1"/>
  <c r="E2312" i="8" s="1"/>
  <c r="C2313" i="8"/>
  <c r="D2313" i="8" s="1"/>
  <c r="E2313" i="8" s="1"/>
  <c r="C2314" i="8"/>
  <c r="D2314" i="8" s="1"/>
  <c r="E2314" i="8" s="1"/>
  <c r="C2315" i="8"/>
  <c r="D2315" i="8" s="1"/>
  <c r="E2315" i="8" s="1"/>
  <c r="C2316" i="8"/>
  <c r="D2316" i="8" s="1"/>
  <c r="E2316" i="8" s="1"/>
  <c r="C2317" i="8"/>
  <c r="D2317" i="8" s="1"/>
  <c r="E2317" i="8" s="1"/>
  <c r="C2318" i="8"/>
  <c r="D2318" i="8" s="1"/>
  <c r="E2318" i="8" s="1"/>
  <c r="C2319" i="8"/>
  <c r="D2319" i="8" s="1"/>
  <c r="E2319" i="8" s="1"/>
  <c r="C2320" i="8"/>
  <c r="D2320" i="8" s="1"/>
  <c r="E2320" i="8" s="1"/>
  <c r="C2321" i="8"/>
  <c r="D2321" i="8" s="1"/>
  <c r="E2321" i="8" s="1"/>
  <c r="C2322" i="8"/>
  <c r="D2322" i="8" s="1"/>
  <c r="E2322" i="8" s="1"/>
  <c r="C2323" i="8"/>
  <c r="D2323" i="8" s="1"/>
  <c r="E2323" i="8" s="1"/>
  <c r="C2324" i="8"/>
  <c r="D2324" i="8" s="1"/>
  <c r="E2324" i="8" s="1"/>
  <c r="C2325" i="8"/>
  <c r="D2325" i="8" s="1"/>
  <c r="E2325" i="8" s="1"/>
  <c r="C2326" i="8"/>
  <c r="D2326" i="8" s="1"/>
  <c r="E2326" i="8" s="1"/>
  <c r="C2327" i="8"/>
  <c r="D2327" i="8" s="1"/>
  <c r="E2327" i="8" s="1"/>
  <c r="C2328" i="8"/>
  <c r="D2328" i="8" s="1"/>
  <c r="E2328" i="8" s="1"/>
  <c r="C2329" i="8"/>
  <c r="D2329" i="8" s="1"/>
  <c r="E2329" i="8" s="1"/>
  <c r="C2330" i="8"/>
  <c r="D2330" i="8" s="1"/>
  <c r="E2330" i="8" s="1"/>
  <c r="C2331" i="8"/>
  <c r="D2331" i="8" s="1"/>
  <c r="E2331" i="8" s="1"/>
  <c r="C2332" i="8"/>
  <c r="D2332" i="8" s="1"/>
  <c r="E2332" i="8" s="1"/>
  <c r="C2333" i="8"/>
  <c r="D2333" i="8" s="1"/>
  <c r="E2333" i="8" s="1"/>
  <c r="C2334" i="8"/>
  <c r="D2334" i="8" s="1"/>
  <c r="E2334" i="8" s="1"/>
  <c r="C2335" i="8"/>
  <c r="D2335" i="8" s="1"/>
  <c r="E2335" i="8" s="1"/>
  <c r="C2336" i="8"/>
  <c r="D2336" i="8" s="1"/>
  <c r="E2336" i="8" s="1"/>
  <c r="C2337" i="8"/>
  <c r="D2337" i="8" s="1"/>
  <c r="E2337" i="8" s="1"/>
  <c r="C2338" i="8"/>
  <c r="D2338" i="8" s="1"/>
  <c r="E2338" i="8" s="1"/>
  <c r="C2339" i="8"/>
  <c r="D2339" i="8" s="1"/>
  <c r="E2339" i="8" s="1"/>
  <c r="C2340" i="8"/>
  <c r="D2340" i="8" s="1"/>
  <c r="E2340" i="8" s="1"/>
  <c r="C2341" i="8"/>
  <c r="D2341" i="8" s="1"/>
  <c r="E2341" i="8" s="1"/>
  <c r="C2342" i="8"/>
  <c r="D2342" i="8" s="1"/>
  <c r="E2342" i="8" s="1"/>
  <c r="C2343" i="8"/>
  <c r="D2343" i="8" s="1"/>
  <c r="E2343" i="8" s="1"/>
  <c r="C2344" i="8"/>
  <c r="D2344" i="8" s="1"/>
  <c r="E2344" i="8" s="1"/>
  <c r="C2345" i="8"/>
  <c r="D2345" i="8" s="1"/>
  <c r="E2345" i="8" s="1"/>
  <c r="C2346" i="8"/>
  <c r="D2346" i="8" s="1"/>
  <c r="E2346" i="8" s="1"/>
  <c r="C2347" i="8"/>
  <c r="D2347" i="8" s="1"/>
  <c r="E2347" i="8" s="1"/>
  <c r="C2348" i="8"/>
  <c r="D2348" i="8" s="1"/>
  <c r="E2348" i="8" s="1"/>
  <c r="C2349" i="8"/>
  <c r="D2349" i="8" s="1"/>
  <c r="E2349" i="8" s="1"/>
  <c r="C2350" i="8"/>
  <c r="D2350" i="8" s="1"/>
  <c r="E2350" i="8" s="1"/>
  <c r="C2351" i="8"/>
  <c r="D2351" i="8" s="1"/>
  <c r="E2351" i="8" s="1"/>
  <c r="C2352" i="8"/>
  <c r="D2352" i="8" s="1"/>
  <c r="E2352" i="8" s="1"/>
  <c r="C2353" i="8"/>
  <c r="D2353" i="8" s="1"/>
  <c r="E2353" i="8" s="1"/>
  <c r="C2354" i="8"/>
  <c r="D2354" i="8" s="1"/>
  <c r="E2354" i="8" s="1"/>
  <c r="C2355" i="8"/>
  <c r="D2355" i="8" s="1"/>
  <c r="E2355" i="8" s="1"/>
  <c r="C2356" i="8"/>
  <c r="D2356" i="8" s="1"/>
  <c r="E2356" i="8" s="1"/>
  <c r="C2357" i="8"/>
  <c r="D2357" i="8" s="1"/>
  <c r="E2357" i="8" s="1"/>
  <c r="C2358" i="8"/>
  <c r="D2358" i="8" s="1"/>
  <c r="E2358" i="8" s="1"/>
  <c r="C2359" i="8"/>
  <c r="D2359" i="8" s="1"/>
  <c r="E2359" i="8" s="1"/>
  <c r="C2360" i="8"/>
  <c r="D2360" i="8" s="1"/>
  <c r="E2360" i="8" s="1"/>
  <c r="C2361" i="8"/>
  <c r="D2361" i="8" s="1"/>
  <c r="E2361" i="8" s="1"/>
  <c r="C2362" i="8"/>
  <c r="D2362" i="8" s="1"/>
  <c r="E2362" i="8" s="1"/>
  <c r="C2363" i="8"/>
  <c r="D2363" i="8" s="1"/>
  <c r="E2363" i="8" s="1"/>
  <c r="C2364" i="8"/>
  <c r="D2364" i="8" s="1"/>
  <c r="E2364" i="8" s="1"/>
  <c r="C2365" i="8"/>
  <c r="D2365" i="8" s="1"/>
  <c r="E2365" i="8" s="1"/>
  <c r="C2366" i="8"/>
  <c r="D2366" i="8" s="1"/>
  <c r="E2366" i="8" s="1"/>
  <c r="C2367" i="8"/>
  <c r="D2367" i="8" s="1"/>
  <c r="E2367" i="8" s="1"/>
  <c r="C2368" i="8"/>
  <c r="D2368" i="8" s="1"/>
  <c r="E2368" i="8" s="1"/>
  <c r="C2369" i="8"/>
  <c r="D2369" i="8" s="1"/>
  <c r="E2369" i="8" s="1"/>
  <c r="C2370" i="8"/>
  <c r="D2370" i="8" s="1"/>
  <c r="E2370" i="8" s="1"/>
  <c r="C2371" i="8"/>
  <c r="D2371" i="8" s="1"/>
  <c r="E2371" i="8" s="1"/>
  <c r="C2372" i="8"/>
  <c r="D2372" i="8" s="1"/>
  <c r="E2372" i="8" s="1"/>
  <c r="C2373" i="8"/>
  <c r="D2373" i="8" s="1"/>
  <c r="E2373" i="8" s="1"/>
  <c r="C2374" i="8"/>
  <c r="D2374" i="8" s="1"/>
  <c r="E2374" i="8" s="1"/>
  <c r="C2375" i="8"/>
  <c r="D2375" i="8" s="1"/>
  <c r="E2375" i="8" s="1"/>
  <c r="C2376" i="8"/>
  <c r="D2376" i="8" s="1"/>
  <c r="E2376" i="8" s="1"/>
  <c r="C2377" i="8"/>
  <c r="D2377" i="8" s="1"/>
  <c r="E2377" i="8" s="1"/>
  <c r="C2378" i="8"/>
  <c r="D2378" i="8" s="1"/>
  <c r="E2378" i="8" s="1"/>
  <c r="C2379" i="8"/>
  <c r="D2379" i="8" s="1"/>
  <c r="E2379" i="8" s="1"/>
  <c r="C2380" i="8"/>
  <c r="D2380" i="8" s="1"/>
  <c r="E2380" i="8" s="1"/>
  <c r="C2381" i="8"/>
  <c r="D2381" i="8" s="1"/>
  <c r="E2381" i="8" s="1"/>
  <c r="C2382" i="8"/>
  <c r="D2382" i="8" s="1"/>
  <c r="E2382" i="8" s="1"/>
  <c r="C2383" i="8"/>
  <c r="D2383" i="8" s="1"/>
  <c r="E2383" i="8" s="1"/>
  <c r="C2384" i="8"/>
  <c r="D2384" i="8" s="1"/>
  <c r="E2384" i="8" s="1"/>
  <c r="C2385" i="8"/>
  <c r="D2385" i="8" s="1"/>
  <c r="E2385" i="8" s="1"/>
  <c r="C2386" i="8"/>
  <c r="D2386" i="8" s="1"/>
  <c r="E2386" i="8" s="1"/>
  <c r="C2387" i="8"/>
  <c r="D2387" i="8" s="1"/>
  <c r="E2387" i="8" s="1"/>
  <c r="C2388" i="8"/>
  <c r="D2388" i="8" s="1"/>
  <c r="E2388" i="8" s="1"/>
  <c r="C2389" i="8"/>
  <c r="D2389" i="8" s="1"/>
  <c r="E2389" i="8" s="1"/>
  <c r="C2390" i="8"/>
  <c r="D2390" i="8" s="1"/>
  <c r="E2390" i="8" s="1"/>
  <c r="C2391" i="8"/>
  <c r="D2391" i="8" s="1"/>
  <c r="E2391" i="8" s="1"/>
  <c r="C2392" i="8"/>
  <c r="D2392" i="8" s="1"/>
  <c r="E2392" i="8" s="1"/>
  <c r="C2393" i="8"/>
  <c r="D2393" i="8" s="1"/>
  <c r="E2393" i="8" s="1"/>
  <c r="C2394" i="8"/>
  <c r="D2394" i="8" s="1"/>
  <c r="E2394" i="8" s="1"/>
  <c r="C2395" i="8"/>
  <c r="D2395" i="8" s="1"/>
  <c r="E2395" i="8" s="1"/>
  <c r="C2396" i="8"/>
  <c r="D2396" i="8" s="1"/>
  <c r="E2396" i="8" s="1"/>
  <c r="C2397" i="8"/>
  <c r="D2397" i="8" s="1"/>
  <c r="E2397" i="8" s="1"/>
  <c r="C2398" i="8"/>
  <c r="D2398" i="8" s="1"/>
  <c r="E2398" i="8" s="1"/>
  <c r="C2399" i="8"/>
  <c r="D2399" i="8" s="1"/>
  <c r="E2399" i="8" s="1"/>
  <c r="C2400" i="8"/>
  <c r="D2400" i="8" s="1"/>
  <c r="E2400" i="8" s="1"/>
  <c r="C2401" i="8"/>
  <c r="D2401" i="8" s="1"/>
  <c r="E2401" i="8" s="1"/>
  <c r="C2402" i="8"/>
  <c r="D2402" i="8" s="1"/>
  <c r="E2402" i="8" s="1"/>
  <c r="C2403" i="8"/>
  <c r="D2403" i="8" s="1"/>
  <c r="E2403" i="8" s="1"/>
  <c r="C2404" i="8"/>
  <c r="D2404" i="8" s="1"/>
  <c r="E2404" i="8" s="1"/>
  <c r="C2405" i="8"/>
  <c r="D2405" i="8" s="1"/>
  <c r="E2405" i="8" s="1"/>
  <c r="C2406" i="8"/>
  <c r="D2406" i="8" s="1"/>
  <c r="E2406" i="8" s="1"/>
  <c r="C2407" i="8"/>
  <c r="D2407" i="8" s="1"/>
  <c r="E2407" i="8" s="1"/>
  <c r="C2408" i="8"/>
  <c r="D2408" i="8" s="1"/>
  <c r="E2408" i="8" s="1"/>
  <c r="C2409" i="8"/>
  <c r="D2409" i="8" s="1"/>
  <c r="E2409" i="8" s="1"/>
  <c r="C2410" i="8"/>
  <c r="D2410" i="8" s="1"/>
  <c r="E2410" i="8" s="1"/>
  <c r="C2411" i="8"/>
  <c r="D2411" i="8" s="1"/>
  <c r="E2411" i="8" s="1"/>
  <c r="C2412" i="8"/>
  <c r="D2412" i="8" s="1"/>
  <c r="E2412" i="8" s="1"/>
  <c r="C2413" i="8"/>
  <c r="D2413" i="8" s="1"/>
  <c r="E2413" i="8" s="1"/>
  <c r="C2414" i="8"/>
  <c r="D2414" i="8" s="1"/>
  <c r="E2414" i="8" s="1"/>
  <c r="C2415" i="8"/>
  <c r="D2415" i="8" s="1"/>
  <c r="E2415" i="8" s="1"/>
  <c r="C2416" i="8"/>
  <c r="D2416" i="8" s="1"/>
  <c r="E2416" i="8" s="1"/>
  <c r="C2417" i="8"/>
  <c r="D2417" i="8" s="1"/>
  <c r="E2417" i="8" s="1"/>
  <c r="C2418" i="8"/>
  <c r="D2418" i="8" s="1"/>
  <c r="E2418" i="8" s="1"/>
  <c r="C2419" i="8"/>
  <c r="D2419" i="8" s="1"/>
  <c r="E2419" i="8" s="1"/>
  <c r="C2420" i="8"/>
  <c r="D2420" i="8" s="1"/>
  <c r="E2420" i="8" s="1"/>
  <c r="C2421" i="8"/>
  <c r="D2421" i="8" s="1"/>
  <c r="E2421" i="8" s="1"/>
  <c r="C2422" i="8"/>
  <c r="D2422" i="8" s="1"/>
  <c r="E2422" i="8" s="1"/>
  <c r="C2423" i="8"/>
  <c r="D2423" i="8" s="1"/>
  <c r="E2423" i="8" s="1"/>
  <c r="C2424" i="8"/>
  <c r="D2424" i="8" s="1"/>
  <c r="E2424" i="8" s="1"/>
  <c r="C2425" i="8"/>
  <c r="D2425" i="8" s="1"/>
  <c r="E2425" i="8" s="1"/>
  <c r="C2426" i="8"/>
  <c r="D2426" i="8" s="1"/>
  <c r="E2426" i="8" s="1"/>
  <c r="C2427" i="8"/>
  <c r="D2427" i="8" s="1"/>
  <c r="E2427" i="8" s="1"/>
  <c r="C2428" i="8"/>
  <c r="D2428" i="8" s="1"/>
  <c r="E2428" i="8" s="1"/>
  <c r="C2429" i="8"/>
  <c r="D2429" i="8" s="1"/>
  <c r="E2429" i="8" s="1"/>
  <c r="C2430" i="8"/>
  <c r="D2430" i="8" s="1"/>
  <c r="E2430" i="8" s="1"/>
  <c r="C2431" i="8"/>
  <c r="D2431" i="8" s="1"/>
  <c r="E2431" i="8" s="1"/>
  <c r="C2432" i="8"/>
  <c r="D2432" i="8" s="1"/>
  <c r="E2432" i="8" s="1"/>
  <c r="C2433" i="8"/>
  <c r="D2433" i="8" s="1"/>
  <c r="E2433" i="8" s="1"/>
  <c r="C2434" i="8"/>
  <c r="D2434" i="8" s="1"/>
  <c r="E2434" i="8" s="1"/>
  <c r="C2435" i="8"/>
  <c r="D2435" i="8" s="1"/>
  <c r="E2435" i="8" s="1"/>
  <c r="C2436" i="8"/>
  <c r="D2436" i="8" s="1"/>
  <c r="E2436" i="8" s="1"/>
  <c r="C2437" i="8"/>
  <c r="D2437" i="8" s="1"/>
  <c r="E2437" i="8" s="1"/>
  <c r="C2438" i="8"/>
  <c r="D2438" i="8" s="1"/>
  <c r="E2438" i="8" s="1"/>
  <c r="C2439" i="8"/>
  <c r="D2439" i="8" s="1"/>
  <c r="E2439" i="8" s="1"/>
  <c r="C2440" i="8"/>
  <c r="D2440" i="8" s="1"/>
  <c r="E2440" i="8" s="1"/>
  <c r="C2441" i="8"/>
  <c r="D2441" i="8" s="1"/>
  <c r="E2441" i="8" s="1"/>
  <c r="C2442" i="8"/>
  <c r="D2442" i="8" s="1"/>
  <c r="E2442" i="8" s="1"/>
  <c r="C2443" i="8"/>
  <c r="D2443" i="8" s="1"/>
  <c r="E2443" i="8" s="1"/>
  <c r="C2444" i="8"/>
  <c r="D2444" i="8" s="1"/>
  <c r="E2444" i="8" s="1"/>
  <c r="C2445" i="8"/>
  <c r="D2445" i="8" s="1"/>
  <c r="E2445" i="8" s="1"/>
  <c r="C2446" i="8"/>
  <c r="D2446" i="8" s="1"/>
  <c r="E2446" i="8" s="1"/>
  <c r="C2447" i="8"/>
  <c r="D2447" i="8" s="1"/>
  <c r="E2447" i="8" s="1"/>
  <c r="C2448" i="8"/>
  <c r="D2448" i="8" s="1"/>
  <c r="E2448" i="8" s="1"/>
  <c r="C2449" i="8"/>
  <c r="D2449" i="8" s="1"/>
  <c r="E2449" i="8" s="1"/>
  <c r="C2450" i="8"/>
  <c r="D2450" i="8" s="1"/>
  <c r="E2450" i="8" s="1"/>
  <c r="C2451" i="8"/>
  <c r="D2451" i="8" s="1"/>
  <c r="E2451" i="8" s="1"/>
  <c r="C2452" i="8"/>
  <c r="D2452" i="8" s="1"/>
  <c r="E2452" i="8" s="1"/>
  <c r="C2453" i="8"/>
  <c r="D2453" i="8" s="1"/>
  <c r="E2453" i="8" s="1"/>
  <c r="C2454" i="8"/>
  <c r="D2454" i="8" s="1"/>
  <c r="E2454" i="8" s="1"/>
  <c r="C2455" i="8"/>
  <c r="D2455" i="8" s="1"/>
  <c r="E2455" i="8" s="1"/>
  <c r="C2456" i="8"/>
  <c r="D2456" i="8" s="1"/>
  <c r="E2456" i="8" s="1"/>
  <c r="C2457" i="8"/>
  <c r="D2457" i="8" s="1"/>
  <c r="E2457" i="8" s="1"/>
  <c r="C2458" i="8"/>
  <c r="D2458" i="8" s="1"/>
  <c r="E2458" i="8" s="1"/>
  <c r="C2459" i="8"/>
  <c r="D2459" i="8" s="1"/>
  <c r="E2459" i="8" s="1"/>
  <c r="C2460" i="8"/>
  <c r="D2460" i="8" s="1"/>
  <c r="E2460" i="8" s="1"/>
  <c r="C2461" i="8"/>
  <c r="D2461" i="8" s="1"/>
  <c r="E2461" i="8" s="1"/>
  <c r="C2462" i="8"/>
  <c r="D2462" i="8" s="1"/>
  <c r="E2462" i="8" s="1"/>
  <c r="C2463" i="8"/>
  <c r="D2463" i="8" s="1"/>
  <c r="E2463" i="8" s="1"/>
  <c r="C2464" i="8"/>
  <c r="D2464" i="8" s="1"/>
  <c r="E2464" i="8" s="1"/>
  <c r="C2465" i="8"/>
  <c r="D2465" i="8" s="1"/>
  <c r="E2465" i="8" s="1"/>
  <c r="C2466" i="8"/>
  <c r="D2466" i="8" s="1"/>
  <c r="E2466" i="8" s="1"/>
  <c r="C2467" i="8"/>
  <c r="D2467" i="8" s="1"/>
  <c r="E2467" i="8" s="1"/>
  <c r="C2468" i="8"/>
  <c r="D2468" i="8" s="1"/>
  <c r="E2468" i="8" s="1"/>
  <c r="C2469" i="8"/>
  <c r="D2469" i="8" s="1"/>
  <c r="E2469" i="8" s="1"/>
  <c r="C2470" i="8"/>
  <c r="D2470" i="8" s="1"/>
  <c r="E2470" i="8" s="1"/>
  <c r="C2471" i="8"/>
  <c r="D2471" i="8" s="1"/>
  <c r="E2471" i="8" s="1"/>
  <c r="C2472" i="8"/>
  <c r="D2472" i="8" s="1"/>
  <c r="E2472" i="8" s="1"/>
  <c r="C2473" i="8"/>
  <c r="D2473" i="8" s="1"/>
  <c r="E2473" i="8" s="1"/>
  <c r="C2474" i="8"/>
  <c r="D2474" i="8" s="1"/>
  <c r="E2474" i="8" s="1"/>
  <c r="C2475" i="8"/>
  <c r="D2475" i="8" s="1"/>
  <c r="E2475" i="8" s="1"/>
  <c r="C2476" i="8"/>
  <c r="D2476" i="8" s="1"/>
  <c r="E2476" i="8" s="1"/>
  <c r="C2477" i="8"/>
  <c r="D2477" i="8" s="1"/>
  <c r="E2477" i="8" s="1"/>
  <c r="C2478" i="8"/>
  <c r="D2478" i="8" s="1"/>
  <c r="E2478" i="8" s="1"/>
  <c r="C2479" i="8"/>
  <c r="D2479" i="8" s="1"/>
  <c r="E2479" i="8" s="1"/>
  <c r="C2480" i="8"/>
  <c r="D2480" i="8" s="1"/>
  <c r="E2480" i="8" s="1"/>
  <c r="C2481" i="8"/>
  <c r="D2481" i="8" s="1"/>
  <c r="E2481" i="8" s="1"/>
  <c r="C2482" i="8"/>
  <c r="D2482" i="8" s="1"/>
  <c r="E2482" i="8" s="1"/>
  <c r="C2483" i="8"/>
  <c r="D2483" i="8" s="1"/>
  <c r="E2483" i="8" s="1"/>
  <c r="C2484" i="8"/>
  <c r="D2484" i="8" s="1"/>
  <c r="E2484" i="8" s="1"/>
  <c r="C2485" i="8"/>
  <c r="D2485" i="8" s="1"/>
  <c r="E2485" i="8" s="1"/>
  <c r="C2486" i="8"/>
  <c r="D2486" i="8" s="1"/>
  <c r="E2486" i="8" s="1"/>
  <c r="C2487" i="8"/>
  <c r="D2487" i="8" s="1"/>
  <c r="E2487" i="8" s="1"/>
  <c r="C2488" i="8"/>
  <c r="D2488" i="8" s="1"/>
  <c r="E2488" i="8" s="1"/>
  <c r="C2489" i="8"/>
  <c r="D2489" i="8" s="1"/>
  <c r="E2489" i="8" s="1"/>
  <c r="C2490" i="8"/>
  <c r="D2490" i="8" s="1"/>
  <c r="E2490" i="8" s="1"/>
  <c r="C2491" i="8"/>
  <c r="D2491" i="8" s="1"/>
  <c r="E2491" i="8" s="1"/>
  <c r="C2492" i="8"/>
  <c r="D2492" i="8" s="1"/>
  <c r="E2492" i="8" s="1"/>
  <c r="C2493" i="8"/>
  <c r="D2493" i="8" s="1"/>
  <c r="E2493" i="8" s="1"/>
  <c r="C2494" i="8"/>
  <c r="D2494" i="8" s="1"/>
  <c r="E2494" i="8" s="1"/>
  <c r="C2495" i="8"/>
  <c r="D2495" i="8" s="1"/>
  <c r="E2495" i="8" s="1"/>
  <c r="C2496" i="8"/>
  <c r="D2496" i="8" s="1"/>
  <c r="E2496" i="8" s="1"/>
  <c r="C2497" i="8"/>
  <c r="D2497" i="8" s="1"/>
  <c r="E2497" i="8" s="1"/>
  <c r="C2498" i="8"/>
  <c r="D2498" i="8" s="1"/>
  <c r="E2498" i="8" s="1"/>
  <c r="C2499" i="8"/>
  <c r="D2499" i="8" s="1"/>
  <c r="E2499" i="8" s="1"/>
  <c r="C2500" i="8"/>
  <c r="D2500" i="8" s="1"/>
  <c r="E2500" i="8" s="1"/>
  <c r="C2501" i="8"/>
  <c r="D2501" i="8" s="1"/>
  <c r="E2501" i="8" s="1"/>
  <c r="C2502" i="8"/>
  <c r="D2502" i="8" s="1"/>
  <c r="E2502" i="8" s="1"/>
  <c r="C2503" i="8"/>
  <c r="D2503" i="8" s="1"/>
  <c r="E2503" i="8" s="1"/>
  <c r="C2504" i="8"/>
  <c r="D2504" i="8" s="1"/>
  <c r="E2504" i="8" s="1"/>
  <c r="C2505" i="8"/>
  <c r="D2505" i="8" s="1"/>
  <c r="E2505" i="8" s="1"/>
  <c r="C2506" i="8"/>
  <c r="D2506" i="8" s="1"/>
  <c r="E2506" i="8" s="1"/>
  <c r="C2507" i="8"/>
  <c r="D2507" i="8" s="1"/>
  <c r="E2507" i="8" s="1"/>
  <c r="C2508" i="8"/>
  <c r="D2508" i="8" s="1"/>
  <c r="E2508" i="8" s="1"/>
  <c r="C2509" i="8"/>
  <c r="D2509" i="8" s="1"/>
  <c r="E2509" i="8" s="1"/>
  <c r="C2510" i="8"/>
  <c r="D2510" i="8" s="1"/>
  <c r="E2510" i="8" s="1"/>
  <c r="C2511" i="8"/>
  <c r="D2511" i="8" s="1"/>
  <c r="E2511" i="8" s="1"/>
  <c r="C2512" i="8"/>
  <c r="D2512" i="8" s="1"/>
  <c r="E2512" i="8" s="1"/>
  <c r="C2513" i="8"/>
  <c r="D2513" i="8" s="1"/>
  <c r="E2513" i="8" s="1"/>
  <c r="C2514" i="8"/>
  <c r="D2514" i="8" s="1"/>
  <c r="E2514" i="8" s="1"/>
  <c r="C2515" i="8"/>
  <c r="D2515" i="8" s="1"/>
  <c r="E2515" i="8" s="1"/>
  <c r="C2516" i="8"/>
  <c r="D2516" i="8" s="1"/>
  <c r="E2516" i="8" s="1"/>
  <c r="C2517" i="8"/>
  <c r="D2517" i="8" s="1"/>
  <c r="E2517" i="8" s="1"/>
  <c r="C2518" i="8"/>
  <c r="D2518" i="8" s="1"/>
  <c r="E2518" i="8" s="1"/>
  <c r="C2519" i="8"/>
  <c r="D2519" i="8" s="1"/>
  <c r="E2519" i="8" s="1"/>
  <c r="C2520" i="8"/>
  <c r="D2520" i="8" s="1"/>
  <c r="E2520" i="8" s="1"/>
  <c r="C2521" i="8"/>
  <c r="D2521" i="8" s="1"/>
  <c r="E2521" i="8" s="1"/>
  <c r="C2522" i="8"/>
  <c r="D2522" i="8" s="1"/>
  <c r="E2522" i="8" s="1"/>
  <c r="C2523" i="8"/>
  <c r="D2523" i="8" s="1"/>
  <c r="E2523" i="8" s="1"/>
  <c r="C2524" i="8"/>
  <c r="D2524" i="8" s="1"/>
  <c r="E2524" i="8" s="1"/>
  <c r="C2525" i="8"/>
  <c r="D2525" i="8" s="1"/>
  <c r="E2525" i="8" s="1"/>
  <c r="C2526" i="8"/>
  <c r="D2526" i="8" s="1"/>
  <c r="E2526" i="8" s="1"/>
  <c r="C2527" i="8"/>
  <c r="D2527" i="8" s="1"/>
  <c r="E2527" i="8" s="1"/>
  <c r="C2528" i="8"/>
  <c r="D2528" i="8" s="1"/>
  <c r="E2528" i="8" s="1"/>
  <c r="C2529" i="8"/>
  <c r="D2529" i="8" s="1"/>
  <c r="E2529" i="8" s="1"/>
  <c r="C2530" i="8"/>
  <c r="D2530" i="8" s="1"/>
  <c r="E2530" i="8" s="1"/>
  <c r="C2531" i="8"/>
  <c r="D2531" i="8" s="1"/>
  <c r="E2531" i="8" s="1"/>
  <c r="C2532" i="8"/>
  <c r="D2532" i="8" s="1"/>
  <c r="E2532" i="8" s="1"/>
  <c r="C2533" i="8"/>
  <c r="D2533" i="8" s="1"/>
  <c r="E2533" i="8" s="1"/>
  <c r="C2534" i="8"/>
  <c r="D2534" i="8" s="1"/>
  <c r="E2534" i="8" s="1"/>
  <c r="C2535" i="8"/>
  <c r="D2535" i="8" s="1"/>
  <c r="E2535" i="8" s="1"/>
  <c r="C2536" i="8"/>
  <c r="D2536" i="8" s="1"/>
  <c r="E2536" i="8" s="1"/>
  <c r="C2537" i="8"/>
  <c r="D2537" i="8" s="1"/>
  <c r="E2537" i="8" s="1"/>
  <c r="C2538" i="8"/>
  <c r="D2538" i="8" s="1"/>
  <c r="E2538" i="8" s="1"/>
  <c r="C2539" i="8"/>
  <c r="D2539" i="8" s="1"/>
  <c r="E2539" i="8" s="1"/>
  <c r="C2540" i="8"/>
  <c r="D2540" i="8" s="1"/>
  <c r="E2540" i="8" s="1"/>
  <c r="C2541" i="8"/>
  <c r="D2541" i="8" s="1"/>
  <c r="E2541" i="8" s="1"/>
  <c r="C2542" i="8"/>
  <c r="D2542" i="8" s="1"/>
  <c r="E2542" i="8" s="1"/>
  <c r="C2543" i="8"/>
  <c r="D2543" i="8" s="1"/>
  <c r="E2543" i="8" s="1"/>
  <c r="C2544" i="8"/>
  <c r="D2544" i="8" s="1"/>
  <c r="E2544" i="8" s="1"/>
  <c r="C2545" i="8"/>
  <c r="D2545" i="8" s="1"/>
  <c r="E2545" i="8" s="1"/>
  <c r="C2546" i="8"/>
  <c r="D2546" i="8" s="1"/>
  <c r="E2546" i="8" s="1"/>
  <c r="C2547" i="8"/>
  <c r="D2547" i="8" s="1"/>
  <c r="E2547" i="8" s="1"/>
  <c r="C2548" i="8"/>
  <c r="D2548" i="8" s="1"/>
  <c r="E2548" i="8" s="1"/>
  <c r="C2549" i="8"/>
  <c r="D2549" i="8" s="1"/>
  <c r="E2549" i="8" s="1"/>
  <c r="C2550" i="8"/>
  <c r="D2550" i="8" s="1"/>
  <c r="E2550" i="8" s="1"/>
  <c r="C2551" i="8"/>
  <c r="D2551" i="8" s="1"/>
  <c r="E2551" i="8" s="1"/>
  <c r="C2552" i="8"/>
  <c r="D2552" i="8" s="1"/>
  <c r="E2552" i="8" s="1"/>
  <c r="C2553" i="8"/>
  <c r="D2553" i="8" s="1"/>
  <c r="E2553" i="8" s="1"/>
  <c r="C2554" i="8"/>
  <c r="D2554" i="8" s="1"/>
  <c r="E2554" i="8" s="1"/>
  <c r="C2555" i="8"/>
  <c r="D2555" i="8" s="1"/>
  <c r="E2555" i="8" s="1"/>
  <c r="C2556" i="8"/>
  <c r="D2556" i="8" s="1"/>
  <c r="E2556" i="8" s="1"/>
  <c r="C2557" i="8"/>
  <c r="D2557" i="8" s="1"/>
  <c r="E2557" i="8" s="1"/>
  <c r="C2558" i="8"/>
  <c r="D2558" i="8" s="1"/>
  <c r="E2558" i="8" s="1"/>
  <c r="C2559" i="8"/>
  <c r="D2559" i="8" s="1"/>
  <c r="E2559" i="8" s="1"/>
  <c r="C2560" i="8"/>
  <c r="D2560" i="8" s="1"/>
  <c r="E2560" i="8" s="1"/>
  <c r="C2561" i="8"/>
  <c r="D2561" i="8" s="1"/>
  <c r="E2561" i="8" s="1"/>
  <c r="C2562" i="8"/>
  <c r="D2562" i="8" s="1"/>
  <c r="E2562" i="8" s="1"/>
  <c r="C2563" i="8"/>
  <c r="D2563" i="8" s="1"/>
  <c r="E2563" i="8" s="1"/>
  <c r="C2564" i="8"/>
  <c r="D2564" i="8" s="1"/>
  <c r="E2564" i="8" s="1"/>
  <c r="C2565" i="8"/>
  <c r="D2565" i="8" s="1"/>
  <c r="E2565" i="8" s="1"/>
  <c r="C2566" i="8"/>
  <c r="D2566" i="8" s="1"/>
  <c r="E2566" i="8" s="1"/>
  <c r="C2567" i="8"/>
  <c r="D2567" i="8" s="1"/>
  <c r="E2567" i="8" s="1"/>
  <c r="C2568" i="8"/>
  <c r="D2568" i="8" s="1"/>
  <c r="E2568" i="8" s="1"/>
  <c r="C2569" i="8"/>
  <c r="D2569" i="8" s="1"/>
  <c r="E2569" i="8" s="1"/>
  <c r="C2570" i="8"/>
  <c r="D2570" i="8" s="1"/>
  <c r="E2570" i="8" s="1"/>
  <c r="C2571" i="8"/>
  <c r="D2571" i="8" s="1"/>
  <c r="E2571" i="8" s="1"/>
  <c r="C2572" i="8"/>
  <c r="D2572" i="8" s="1"/>
  <c r="E2572" i="8" s="1"/>
  <c r="C2573" i="8"/>
  <c r="D2573" i="8" s="1"/>
  <c r="E2573" i="8" s="1"/>
  <c r="C2574" i="8"/>
  <c r="D2574" i="8" s="1"/>
  <c r="E2574" i="8" s="1"/>
  <c r="C2575" i="8"/>
  <c r="D2575" i="8" s="1"/>
  <c r="E2575" i="8" s="1"/>
  <c r="C2576" i="8"/>
  <c r="D2576" i="8" s="1"/>
  <c r="E2576" i="8" s="1"/>
  <c r="C2577" i="8"/>
  <c r="D2577" i="8" s="1"/>
  <c r="E2577" i="8" s="1"/>
  <c r="C2578" i="8"/>
  <c r="D2578" i="8" s="1"/>
  <c r="E2578" i="8" s="1"/>
  <c r="C2579" i="8"/>
  <c r="D2579" i="8" s="1"/>
  <c r="E2579" i="8" s="1"/>
  <c r="C2580" i="8"/>
  <c r="D2580" i="8" s="1"/>
  <c r="E2580" i="8" s="1"/>
  <c r="C2581" i="8"/>
  <c r="D2581" i="8" s="1"/>
  <c r="E2581" i="8" s="1"/>
  <c r="C2582" i="8"/>
  <c r="D2582" i="8" s="1"/>
  <c r="E2582" i="8" s="1"/>
  <c r="C2583" i="8"/>
  <c r="D2583" i="8" s="1"/>
  <c r="E2583" i="8" s="1"/>
  <c r="C2584" i="8"/>
  <c r="D2584" i="8" s="1"/>
  <c r="E2584" i="8" s="1"/>
  <c r="C2585" i="8"/>
  <c r="D2585" i="8" s="1"/>
  <c r="E2585" i="8" s="1"/>
  <c r="C2586" i="8"/>
  <c r="D2586" i="8" s="1"/>
  <c r="E2586" i="8" s="1"/>
  <c r="C2587" i="8"/>
  <c r="D2587" i="8" s="1"/>
  <c r="E2587" i="8" s="1"/>
  <c r="C2588" i="8"/>
  <c r="D2588" i="8" s="1"/>
  <c r="E2588" i="8" s="1"/>
  <c r="C2589" i="8"/>
  <c r="D2589" i="8" s="1"/>
  <c r="E2589" i="8" s="1"/>
  <c r="C2590" i="8"/>
  <c r="D2590" i="8" s="1"/>
  <c r="E2590" i="8" s="1"/>
  <c r="C2591" i="8"/>
  <c r="D2591" i="8" s="1"/>
  <c r="E2591" i="8" s="1"/>
  <c r="C2592" i="8"/>
  <c r="D2592" i="8" s="1"/>
  <c r="E2592" i="8" s="1"/>
  <c r="C2593" i="8"/>
  <c r="D2593" i="8" s="1"/>
  <c r="E2593" i="8" s="1"/>
  <c r="C2594" i="8"/>
  <c r="D2594" i="8" s="1"/>
  <c r="E2594" i="8" s="1"/>
  <c r="C2595" i="8"/>
  <c r="D2595" i="8" s="1"/>
  <c r="E2595" i="8" s="1"/>
  <c r="C2596" i="8"/>
  <c r="D2596" i="8" s="1"/>
  <c r="E2596" i="8" s="1"/>
  <c r="C2597" i="8"/>
  <c r="D2597" i="8" s="1"/>
  <c r="E2597" i="8" s="1"/>
  <c r="C2598" i="8"/>
  <c r="D2598" i="8" s="1"/>
  <c r="E2598" i="8" s="1"/>
  <c r="C2599" i="8"/>
  <c r="D2599" i="8" s="1"/>
  <c r="E2599" i="8" s="1"/>
  <c r="C2600" i="8"/>
  <c r="D2600" i="8" s="1"/>
  <c r="E2600" i="8" s="1"/>
  <c r="C2601" i="8"/>
  <c r="D2601" i="8" s="1"/>
  <c r="E2601" i="8" s="1"/>
  <c r="C2602" i="8"/>
  <c r="D2602" i="8" s="1"/>
  <c r="E2602" i="8" s="1"/>
  <c r="C2603" i="8"/>
  <c r="D2603" i="8" s="1"/>
  <c r="E2603" i="8" s="1"/>
  <c r="C2604" i="8"/>
  <c r="D2604" i="8" s="1"/>
  <c r="E2604" i="8" s="1"/>
  <c r="C2605" i="8"/>
  <c r="D2605" i="8" s="1"/>
  <c r="E2605" i="8" s="1"/>
  <c r="C2606" i="8"/>
  <c r="D2606" i="8" s="1"/>
  <c r="E2606" i="8" s="1"/>
  <c r="C2607" i="8"/>
  <c r="D2607" i="8" s="1"/>
  <c r="E2607" i="8" s="1"/>
  <c r="C2608" i="8"/>
  <c r="D2608" i="8" s="1"/>
  <c r="E2608" i="8" s="1"/>
  <c r="C2609" i="8"/>
  <c r="D2609" i="8" s="1"/>
  <c r="E2609" i="8" s="1"/>
  <c r="C2610" i="8"/>
  <c r="D2610" i="8" s="1"/>
  <c r="E2610" i="8" s="1"/>
  <c r="C2611" i="8"/>
  <c r="D2611" i="8" s="1"/>
  <c r="E2611" i="8" s="1"/>
  <c r="C2612" i="8"/>
  <c r="D2612" i="8" s="1"/>
  <c r="E2612" i="8" s="1"/>
  <c r="C2613" i="8"/>
  <c r="D2613" i="8" s="1"/>
  <c r="E2613" i="8" s="1"/>
  <c r="C2614" i="8"/>
  <c r="D2614" i="8" s="1"/>
  <c r="E2614" i="8" s="1"/>
  <c r="C2615" i="8"/>
  <c r="D2615" i="8" s="1"/>
  <c r="E2615" i="8" s="1"/>
  <c r="C2616" i="8"/>
  <c r="D2616" i="8" s="1"/>
  <c r="E2616" i="8" s="1"/>
  <c r="C2617" i="8"/>
  <c r="D2617" i="8" s="1"/>
  <c r="E2617" i="8" s="1"/>
  <c r="C2618" i="8"/>
  <c r="D2618" i="8" s="1"/>
  <c r="E2618" i="8" s="1"/>
  <c r="C2619" i="8"/>
  <c r="D2619" i="8" s="1"/>
  <c r="E2619" i="8" s="1"/>
  <c r="C2620" i="8"/>
  <c r="D2620" i="8" s="1"/>
  <c r="E2620" i="8" s="1"/>
  <c r="C2621" i="8"/>
  <c r="D2621" i="8" s="1"/>
  <c r="E2621" i="8" s="1"/>
  <c r="C2622" i="8"/>
  <c r="D2622" i="8" s="1"/>
  <c r="E2622" i="8" s="1"/>
  <c r="C2623" i="8"/>
  <c r="D2623" i="8" s="1"/>
  <c r="E2623" i="8" s="1"/>
  <c r="C2624" i="8"/>
  <c r="D2624" i="8" s="1"/>
  <c r="E2624" i="8" s="1"/>
  <c r="C2625" i="8"/>
  <c r="D2625" i="8" s="1"/>
  <c r="E2625" i="8" s="1"/>
  <c r="C2626" i="8"/>
  <c r="D2626" i="8" s="1"/>
  <c r="E2626" i="8" s="1"/>
  <c r="C2627" i="8"/>
  <c r="D2627" i="8" s="1"/>
  <c r="E2627" i="8" s="1"/>
  <c r="C2628" i="8"/>
  <c r="D2628" i="8" s="1"/>
  <c r="E2628" i="8" s="1"/>
  <c r="C2629" i="8"/>
  <c r="D2629" i="8" s="1"/>
  <c r="E2629" i="8" s="1"/>
  <c r="C2630" i="8"/>
  <c r="D2630" i="8" s="1"/>
  <c r="E2630" i="8" s="1"/>
  <c r="C2631" i="8"/>
  <c r="D2631" i="8" s="1"/>
  <c r="E2631" i="8" s="1"/>
  <c r="C2632" i="8"/>
  <c r="D2632" i="8" s="1"/>
  <c r="E2632" i="8" s="1"/>
  <c r="C2633" i="8"/>
  <c r="D2633" i="8" s="1"/>
  <c r="E2633" i="8" s="1"/>
  <c r="C2634" i="8"/>
  <c r="D2634" i="8" s="1"/>
  <c r="E2634" i="8" s="1"/>
  <c r="C2635" i="8"/>
  <c r="D2635" i="8" s="1"/>
  <c r="E2635" i="8" s="1"/>
  <c r="C2636" i="8"/>
  <c r="D2636" i="8" s="1"/>
  <c r="E2636" i="8" s="1"/>
  <c r="C2637" i="8"/>
  <c r="D2637" i="8" s="1"/>
  <c r="E2637" i="8" s="1"/>
  <c r="C2638" i="8"/>
  <c r="D2638" i="8" s="1"/>
  <c r="E2638" i="8" s="1"/>
  <c r="C2639" i="8"/>
  <c r="D2639" i="8" s="1"/>
  <c r="E2639" i="8" s="1"/>
  <c r="C2640" i="8"/>
  <c r="D2640" i="8" s="1"/>
  <c r="E2640" i="8" s="1"/>
  <c r="C2641" i="8"/>
  <c r="D2641" i="8" s="1"/>
  <c r="E2641" i="8" s="1"/>
  <c r="C2642" i="8"/>
  <c r="D2642" i="8" s="1"/>
  <c r="E2642" i="8" s="1"/>
  <c r="C2643" i="8"/>
  <c r="D2643" i="8" s="1"/>
  <c r="E2643" i="8" s="1"/>
  <c r="C2644" i="8"/>
  <c r="D2644" i="8" s="1"/>
  <c r="E2644" i="8" s="1"/>
  <c r="C2645" i="8"/>
  <c r="D2645" i="8" s="1"/>
  <c r="E2645" i="8" s="1"/>
  <c r="C2646" i="8"/>
  <c r="D2646" i="8" s="1"/>
  <c r="E2646" i="8" s="1"/>
  <c r="C2647" i="8"/>
  <c r="D2647" i="8" s="1"/>
  <c r="E2647" i="8" s="1"/>
  <c r="C2648" i="8"/>
  <c r="D2648" i="8" s="1"/>
  <c r="E2648" i="8" s="1"/>
  <c r="C2649" i="8"/>
  <c r="D2649" i="8" s="1"/>
  <c r="E2649" i="8" s="1"/>
  <c r="C2650" i="8"/>
  <c r="D2650" i="8" s="1"/>
  <c r="E2650" i="8" s="1"/>
  <c r="C2651" i="8"/>
  <c r="D2651" i="8" s="1"/>
  <c r="E2651" i="8" s="1"/>
  <c r="C2652" i="8"/>
  <c r="D2652" i="8" s="1"/>
  <c r="E2652" i="8" s="1"/>
  <c r="C2653" i="8"/>
  <c r="D2653" i="8" s="1"/>
  <c r="E2653" i="8" s="1"/>
  <c r="C2654" i="8"/>
  <c r="D2654" i="8" s="1"/>
  <c r="E2654" i="8" s="1"/>
  <c r="C2655" i="8"/>
  <c r="D2655" i="8" s="1"/>
  <c r="E2655" i="8" s="1"/>
  <c r="C2656" i="8"/>
  <c r="D2656" i="8" s="1"/>
  <c r="E2656" i="8" s="1"/>
  <c r="C2657" i="8"/>
  <c r="D2657" i="8" s="1"/>
  <c r="E2657" i="8" s="1"/>
  <c r="C2658" i="8"/>
  <c r="D2658" i="8" s="1"/>
  <c r="E2658" i="8" s="1"/>
  <c r="C2659" i="8"/>
  <c r="D2659" i="8" s="1"/>
  <c r="E2659" i="8" s="1"/>
  <c r="C2660" i="8"/>
  <c r="D2660" i="8" s="1"/>
  <c r="E2660" i="8" s="1"/>
  <c r="C2661" i="8"/>
  <c r="D2661" i="8" s="1"/>
  <c r="E2661" i="8" s="1"/>
  <c r="C2662" i="8"/>
  <c r="D2662" i="8" s="1"/>
  <c r="E2662" i="8" s="1"/>
  <c r="C2663" i="8"/>
  <c r="D2663" i="8" s="1"/>
  <c r="E2663" i="8" s="1"/>
  <c r="C2664" i="8"/>
  <c r="D2664" i="8" s="1"/>
  <c r="E2664" i="8" s="1"/>
  <c r="C2665" i="8"/>
  <c r="D2665" i="8" s="1"/>
  <c r="E2665" i="8" s="1"/>
  <c r="C2666" i="8"/>
  <c r="D2666" i="8" s="1"/>
  <c r="E2666" i="8" s="1"/>
  <c r="C2667" i="8"/>
  <c r="D2667" i="8" s="1"/>
  <c r="E2667" i="8" s="1"/>
  <c r="C2668" i="8"/>
  <c r="D2668" i="8" s="1"/>
  <c r="E2668" i="8" s="1"/>
  <c r="C2669" i="8"/>
  <c r="D2669" i="8" s="1"/>
  <c r="E2669" i="8" s="1"/>
  <c r="C2670" i="8"/>
  <c r="D2670" i="8" s="1"/>
  <c r="E2670" i="8" s="1"/>
  <c r="C2671" i="8"/>
  <c r="D2671" i="8" s="1"/>
  <c r="E2671" i="8" s="1"/>
  <c r="C2672" i="8"/>
  <c r="D2672" i="8" s="1"/>
  <c r="E2672" i="8" s="1"/>
  <c r="C2673" i="8"/>
  <c r="D2673" i="8" s="1"/>
  <c r="E2673" i="8" s="1"/>
  <c r="C2674" i="8"/>
  <c r="D2674" i="8" s="1"/>
  <c r="E2674" i="8" s="1"/>
  <c r="C2675" i="8"/>
  <c r="D2675" i="8" s="1"/>
  <c r="E2675" i="8" s="1"/>
  <c r="C2676" i="8"/>
  <c r="D2676" i="8" s="1"/>
  <c r="E2676" i="8" s="1"/>
  <c r="C2677" i="8"/>
  <c r="D2677" i="8" s="1"/>
  <c r="E2677" i="8" s="1"/>
  <c r="C2678" i="8"/>
  <c r="D2678" i="8" s="1"/>
  <c r="E2678" i="8" s="1"/>
  <c r="C2679" i="8"/>
  <c r="D2679" i="8" s="1"/>
  <c r="E2679" i="8" s="1"/>
  <c r="C2680" i="8"/>
  <c r="D2680" i="8" s="1"/>
  <c r="E2680" i="8" s="1"/>
  <c r="C2681" i="8"/>
  <c r="D2681" i="8" s="1"/>
  <c r="E2681" i="8" s="1"/>
  <c r="C2682" i="8"/>
  <c r="D2682" i="8" s="1"/>
  <c r="E2682" i="8" s="1"/>
  <c r="C2683" i="8"/>
  <c r="D2683" i="8" s="1"/>
  <c r="E2683" i="8" s="1"/>
  <c r="C2684" i="8"/>
  <c r="D2684" i="8" s="1"/>
  <c r="E2684" i="8" s="1"/>
  <c r="C2685" i="8"/>
  <c r="D2685" i="8" s="1"/>
  <c r="E2685" i="8" s="1"/>
  <c r="C2686" i="8"/>
  <c r="D2686" i="8" s="1"/>
  <c r="E2686" i="8" s="1"/>
  <c r="C2687" i="8"/>
  <c r="D2687" i="8" s="1"/>
  <c r="E2687" i="8" s="1"/>
  <c r="C2688" i="8"/>
  <c r="D2688" i="8" s="1"/>
  <c r="E2688" i="8" s="1"/>
  <c r="C2689" i="8"/>
  <c r="D2689" i="8" s="1"/>
  <c r="E2689" i="8" s="1"/>
  <c r="C2690" i="8"/>
  <c r="D2690" i="8" s="1"/>
  <c r="E2690" i="8" s="1"/>
  <c r="C2691" i="8"/>
  <c r="D2691" i="8" s="1"/>
  <c r="E2691" i="8" s="1"/>
  <c r="C2692" i="8"/>
  <c r="D2692" i="8" s="1"/>
  <c r="E2692" i="8" s="1"/>
  <c r="C2693" i="8"/>
  <c r="D2693" i="8" s="1"/>
  <c r="E2693" i="8" s="1"/>
  <c r="C2694" i="8"/>
  <c r="D2694" i="8" s="1"/>
  <c r="E2694" i="8" s="1"/>
  <c r="C2695" i="8"/>
  <c r="D2695" i="8" s="1"/>
  <c r="E2695" i="8" s="1"/>
  <c r="C2696" i="8"/>
  <c r="D2696" i="8" s="1"/>
  <c r="E2696" i="8" s="1"/>
  <c r="C2697" i="8"/>
  <c r="D2697" i="8" s="1"/>
  <c r="E2697" i="8" s="1"/>
  <c r="C2698" i="8"/>
  <c r="D2698" i="8" s="1"/>
  <c r="E2698" i="8" s="1"/>
  <c r="C2699" i="8"/>
  <c r="D2699" i="8" s="1"/>
  <c r="E2699" i="8" s="1"/>
  <c r="C2700" i="8"/>
  <c r="D2700" i="8" s="1"/>
  <c r="E2700" i="8" s="1"/>
  <c r="C2701" i="8"/>
  <c r="D2701" i="8" s="1"/>
  <c r="E2701" i="8" s="1"/>
  <c r="C2702" i="8"/>
  <c r="D2702" i="8" s="1"/>
  <c r="E2702" i="8" s="1"/>
  <c r="C2703" i="8"/>
  <c r="D2703" i="8" s="1"/>
  <c r="E2703" i="8" s="1"/>
  <c r="C2704" i="8"/>
  <c r="D2704" i="8" s="1"/>
  <c r="E2704" i="8" s="1"/>
  <c r="C2705" i="8"/>
  <c r="D2705" i="8" s="1"/>
  <c r="E2705" i="8" s="1"/>
  <c r="C2706" i="8"/>
  <c r="D2706" i="8" s="1"/>
  <c r="E2706" i="8" s="1"/>
  <c r="C2707" i="8"/>
  <c r="D2707" i="8" s="1"/>
  <c r="E2707" i="8" s="1"/>
  <c r="C2708" i="8"/>
  <c r="D2708" i="8" s="1"/>
  <c r="E2708" i="8" s="1"/>
  <c r="C2709" i="8"/>
  <c r="D2709" i="8" s="1"/>
  <c r="E2709" i="8" s="1"/>
  <c r="C2710" i="8"/>
  <c r="D2710" i="8" s="1"/>
  <c r="E2710" i="8" s="1"/>
  <c r="C2711" i="8"/>
  <c r="D2711" i="8" s="1"/>
  <c r="E2711" i="8" s="1"/>
  <c r="C2712" i="8"/>
  <c r="D2712" i="8" s="1"/>
  <c r="E2712" i="8" s="1"/>
  <c r="C2713" i="8"/>
  <c r="D2713" i="8" s="1"/>
  <c r="E2713" i="8" s="1"/>
  <c r="C2714" i="8"/>
  <c r="D2714" i="8" s="1"/>
  <c r="E2714" i="8" s="1"/>
  <c r="C2715" i="8"/>
  <c r="D2715" i="8" s="1"/>
  <c r="E2715" i="8" s="1"/>
  <c r="C2716" i="8"/>
  <c r="D2716" i="8" s="1"/>
  <c r="E2716" i="8" s="1"/>
  <c r="C2717" i="8"/>
  <c r="D2717" i="8" s="1"/>
  <c r="E2717" i="8" s="1"/>
  <c r="C2718" i="8"/>
  <c r="D2718" i="8" s="1"/>
  <c r="E2718" i="8" s="1"/>
  <c r="C2719" i="8"/>
  <c r="D2719" i="8" s="1"/>
  <c r="E2719" i="8" s="1"/>
  <c r="C2720" i="8"/>
  <c r="D2720" i="8" s="1"/>
  <c r="E2720" i="8" s="1"/>
  <c r="C2721" i="8"/>
  <c r="D2721" i="8" s="1"/>
  <c r="E2721" i="8" s="1"/>
  <c r="C2722" i="8"/>
  <c r="D2722" i="8" s="1"/>
  <c r="E2722" i="8" s="1"/>
  <c r="C2723" i="8"/>
  <c r="D2723" i="8" s="1"/>
  <c r="E2723" i="8" s="1"/>
  <c r="C2724" i="8"/>
  <c r="D2724" i="8" s="1"/>
  <c r="E2724" i="8" s="1"/>
  <c r="C2725" i="8"/>
  <c r="D2725" i="8" s="1"/>
  <c r="E2725" i="8" s="1"/>
  <c r="C2726" i="8"/>
  <c r="D2726" i="8" s="1"/>
  <c r="E2726" i="8" s="1"/>
  <c r="C2727" i="8"/>
  <c r="D2727" i="8" s="1"/>
  <c r="E2727" i="8" s="1"/>
  <c r="C2728" i="8"/>
  <c r="D2728" i="8" s="1"/>
  <c r="E2728" i="8" s="1"/>
  <c r="C2729" i="8"/>
  <c r="D2729" i="8" s="1"/>
  <c r="E2729" i="8" s="1"/>
  <c r="C2730" i="8"/>
  <c r="D2730" i="8" s="1"/>
  <c r="E2730" i="8" s="1"/>
  <c r="C2731" i="8"/>
  <c r="D2731" i="8" s="1"/>
  <c r="E2731" i="8" s="1"/>
  <c r="C2732" i="8"/>
  <c r="D2732" i="8" s="1"/>
  <c r="E2732" i="8" s="1"/>
  <c r="C2733" i="8"/>
  <c r="D2733" i="8" s="1"/>
  <c r="E2733" i="8" s="1"/>
  <c r="C2734" i="8"/>
  <c r="D2734" i="8" s="1"/>
  <c r="E2734" i="8" s="1"/>
  <c r="C2735" i="8"/>
  <c r="D2735" i="8" s="1"/>
  <c r="E2735" i="8" s="1"/>
  <c r="C8" i="8"/>
  <c r="G17" i="3"/>
  <c r="I20" i="3"/>
  <c r="H7" i="3"/>
  <c r="I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3" i="3"/>
  <c r="D33" i="3" s="1"/>
  <c r="C34" i="3"/>
  <c r="D34" i="3" s="1"/>
  <c r="C35" i="3"/>
  <c r="D35" i="3" s="1"/>
  <c r="C36" i="3"/>
  <c r="D36" i="3" s="1"/>
  <c r="C37" i="3"/>
  <c r="D37" i="3" s="1"/>
  <c r="C38" i="3"/>
  <c r="D38" i="3" s="1"/>
  <c r="C39" i="3"/>
  <c r="D39" i="3" s="1"/>
  <c r="C40" i="3"/>
  <c r="D40" i="3" s="1"/>
  <c r="C41" i="3"/>
  <c r="D41" i="3" s="1"/>
  <c r="C42" i="3"/>
  <c r="D42" i="3" s="1"/>
  <c r="C43" i="3"/>
  <c r="D43" i="3" s="1"/>
  <c r="C44" i="3"/>
  <c r="D44" i="3" s="1"/>
  <c r="C45" i="3"/>
  <c r="D45" i="3" s="1"/>
  <c r="C46" i="3"/>
  <c r="D46" i="3" s="1"/>
  <c r="C47" i="3"/>
  <c r="D47" i="3" s="1"/>
  <c r="C48" i="3"/>
  <c r="D48" i="3" s="1"/>
  <c r="C49" i="3"/>
  <c r="D49" i="3" s="1"/>
  <c r="C50" i="3"/>
  <c r="D50" i="3" s="1"/>
  <c r="C51" i="3"/>
  <c r="D51" i="3" s="1"/>
  <c r="C52" i="3"/>
  <c r="D52" i="3" s="1"/>
  <c r="C53" i="3"/>
  <c r="D53" i="3" s="1"/>
  <c r="C54" i="3"/>
  <c r="D54" i="3" s="1"/>
  <c r="C55" i="3"/>
  <c r="D55" i="3" s="1"/>
  <c r="C56" i="3"/>
  <c r="D56" i="3" s="1"/>
  <c r="C57" i="3"/>
  <c r="D57" i="3" s="1"/>
  <c r="C58" i="3"/>
  <c r="D58" i="3" s="1"/>
  <c r="C59" i="3"/>
  <c r="D59" i="3" s="1"/>
  <c r="C60" i="3"/>
  <c r="D60" i="3" s="1"/>
  <c r="C61" i="3"/>
  <c r="D61" i="3" s="1"/>
  <c r="C62" i="3"/>
  <c r="D62" i="3" s="1"/>
  <c r="C63" i="3"/>
  <c r="D63" i="3" s="1"/>
  <c r="C64" i="3"/>
  <c r="D64" i="3" s="1"/>
  <c r="C65" i="3"/>
  <c r="D65" i="3" s="1"/>
  <c r="C66" i="3"/>
  <c r="D66" i="3" s="1"/>
  <c r="C67" i="3"/>
  <c r="D67" i="3" s="1"/>
  <c r="C68" i="3"/>
  <c r="D68" i="3" s="1"/>
  <c r="C69" i="3"/>
  <c r="D69" i="3" s="1"/>
  <c r="C70" i="3"/>
  <c r="D70" i="3" s="1"/>
  <c r="C71" i="3"/>
  <c r="D71" i="3" s="1"/>
  <c r="C72" i="3"/>
  <c r="D72" i="3" s="1"/>
  <c r="C73" i="3"/>
  <c r="D73" i="3" s="1"/>
  <c r="C74" i="3"/>
  <c r="D74" i="3" s="1"/>
  <c r="C75" i="3"/>
  <c r="D75" i="3" s="1"/>
  <c r="C76" i="3"/>
  <c r="D76" i="3" s="1"/>
  <c r="C77" i="3"/>
  <c r="D77" i="3" s="1"/>
  <c r="C78" i="3"/>
  <c r="D78" i="3" s="1"/>
  <c r="C79" i="3"/>
  <c r="D79" i="3" s="1"/>
  <c r="C80" i="3"/>
  <c r="D80" i="3" s="1"/>
  <c r="C81" i="3"/>
  <c r="D81" i="3" s="1"/>
  <c r="C82" i="3"/>
  <c r="D82" i="3" s="1"/>
  <c r="C83" i="3"/>
  <c r="D83" i="3" s="1"/>
  <c r="C84" i="3"/>
  <c r="D84" i="3" s="1"/>
  <c r="C85" i="3"/>
  <c r="D85" i="3" s="1"/>
  <c r="C86" i="3"/>
  <c r="D86" i="3" s="1"/>
  <c r="C87" i="3"/>
  <c r="D87" i="3" s="1"/>
  <c r="C88" i="3"/>
  <c r="D88" i="3" s="1"/>
  <c r="C89" i="3"/>
  <c r="D89" i="3" s="1"/>
  <c r="C90" i="3"/>
  <c r="D90" i="3" s="1"/>
  <c r="C91" i="3"/>
  <c r="D91" i="3" s="1"/>
  <c r="C92" i="3"/>
  <c r="D92" i="3" s="1"/>
  <c r="C93" i="3"/>
  <c r="D93" i="3" s="1"/>
  <c r="C94" i="3"/>
  <c r="D94" i="3" s="1"/>
  <c r="C95" i="3"/>
  <c r="D95" i="3" s="1"/>
  <c r="C96" i="3"/>
  <c r="D96" i="3" s="1"/>
  <c r="C97" i="3"/>
  <c r="D97" i="3" s="1"/>
  <c r="C98" i="3"/>
  <c r="D98" i="3" s="1"/>
  <c r="C99" i="3"/>
  <c r="D99" i="3" s="1"/>
  <c r="C100" i="3"/>
  <c r="D100" i="3" s="1"/>
  <c r="C101" i="3"/>
  <c r="D101" i="3" s="1"/>
  <c r="C102" i="3"/>
  <c r="D102" i="3" s="1"/>
  <c r="C103" i="3"/>
  <c r="D103" i="3" s="1"/>
  <c r="C104" i="3"/>
  <c r="D104" i="3" s="1"/>
  <c r="C105" i="3"/>
  <c r="D105" i="3" s="1"/>
  <c r="C106" i="3"/>
  <c r="D106" i="3" s="1"/>
  <c r="C107" i="3"/>
  <c r="D107" i="3" s="1"/>
  <c r="C108" i="3"/>
  <c r="D108" i="3" s="1"/>
  <c r="C109" i="3"/>
  <c r="D109" i="3" s="1"/>
  <c r="C110" i="3"/>
  <c r="D110" i="3" s="1"/>
  <c r="C111" i="3"/>
  <c r="D111" i="3" s="1"/>
  <c r="C112" i="3"/>
  <c r="D112" i="3" s="1"/>
  <c r="C113" i="3"/>
  <c r="D113" i="3" s="1"/>
  <c r="C114" i="3"/>
  <c r="D114" i="3" s="1"/>
  <c r="C115" i="3"/>
  <c r="D115" i="3" s="1"/>
  <c r="C116" i="3"/>
  <c r="D116" i="3" s="1"/>
  <c r="C117" i="3"/>
  <c r="D117" i="3" s="1"/>
  <c r="C118" i="3"/>
  <c r="D118" i="3" s="1"/>
  <c r="C119" i="3"/>
  <c r="D119" i="3" s="1"/>
  <c r="C120" i="3"/>
  <c r="D120" i="3" s="1"/>
  <c r="C121" i="3"/>
  <c r="D121" i="3" s="1"/>
  <c r="C122" i="3"/>
  <c r="D122" i="3" s="1"/>
  <c r="C123" i="3"/>
  <c r="D123" i="3" s="1"/>
  <c r="C124" i="3"/>
  <c r="D124" i="3" s="1"/>
  <c r="C125" i="3"/>
  <c r="D125" i="3" s="1"/>
  <c r="C126" i="3"/>
  <c r="D126" i="3" s="1"/>
  <c r="C127" i="3"/>
  <c r="D127" i="3" s="1"/>
  <c r="C128" i="3"/>
  <c r="D128" i="3" s="1"/>
  <c r="C129" i="3"/>
  <c r="D129" i="3" s="1"/>
  <c r="C130" i="3"/>
  <c r="D130" i="3" s="1"/>
  <c r="C131" i="3"/>
  <c r="D131" i="3" s="1"/>
  <c r="C132" i="3"/>
  <c r="D132" i="3" s="1"/>
  <c r="C133" i="3"/>
  <c r="D133" i="3" s="1"/>
  <c r="C134" i="3"/>
  <c r="D134" i="3" s="1"/>
  <c r="C135" i="3"/>
  <c r="D135" i="3" s="1"/>
  <c r="C136" i="3"/>
  <c r="D136" i="3" s="1"/>
  <c r="C137" i="3"/>
  <c r="D137" i="3" s="1"/>
  <c r="C138" i="3"/>
  <c r="D138" i="3" s="1"/>
  <c r="C139" i="3"/>
  <c r="D139" i="3" s="1"/>
  <c r="C140" i="3"/>
  <c r="D140" i="3" s="1"/>
  <c r="C141" i="3"/>
  <c r="D141" i="3" s="1"/>
  <c r="C142" i="3"/>
  <c r="D142" i="3" s="1"/>
  <c r="C143" i="3"/>
  <c r="D143" i="3" s="1"/>
  <c r="C144" i="3"/>
  <c r="D144" i="3" s="1"/>
  <c r="C145" i="3"/>
  <c r="D145" i="3" s="1"/>
  <c r="C146" i="3"/>
  <c r="D146" i="3" s="1"/>
  <c r="C147" i="3"/>
  <c r="D147" i="3" s="1"/>
  <c r="C148" i="3"/>
  <c r="D148" i="3" s="1"/>
  <c r="C149" i="3"/>
  <c r="D149" i="3" s="1"/>
  <c r="C150" i="3"/>
  <c r="D150" i="3" s="1"/>
  <c r="C151" i="3"/>
  <c r="D151" i="3" s="1"/>
  <c r="C152" i="3"/>
  <c r="D152" i="3" s="1"/>
  <c r="C153" i="3"/>
  <c r="D153" i="3" s="1"/>
  <c r="C154" i="3"/>
  <c r="D154" i="3" s="1"/>
  <c r="C155" i="3"/>
  <c r="D155" i="3" s="1"/>
  <c r="C156" i="3"/>
  <c r="D156" i="3" s="1"/>
  <c r="C157" i="3"/>
  <c r="D157" i="3" s="1"/>
  <c r="C158" i="3"/>
  <c r="D158" i="3" s="1"/>
  <c r="C159" i="3"/>
  <c r="D159" i="3" s="1"/>
  <c r="C160" i="3"/>
  <c r="D160" i="3" s="1"/>
  <c r="C161" i="3"/>
  <c r="D161" i="3" s="1"/>
  <c r="C162" i="3"/>
  <c r="D162" i="3" s="1"/>
  <c r="C163" i="3"/>
  <c r="D163" i="3" s="1"/>
  <c r="C164" i="3"/>
  <c r="D164" i="3" s="1"/>
  <c r="C165" i="3"/>
  <c r="D165" i="3" s="1"/>
  <c r="C166" i="3"/>
  <c r="D166" i="3" s="1"/>
  <c r="C167" i="3"/>
  <c r="D167" i="3" s="1"/>
  <c r="C168" i="3"/>
  <c r="D168" i="3" s="1"/>
  <c r="C169" i="3"/>
  <c r="D169" i="3" s="1"/>
  <c r="C170" i="3"/>
  <c r="D170" i="3" s="1"/>
  <c r="C171" i="3"/>
  <c r="D171" i="3" s="1"/>
  <c r="C172" i="3"/>
  <c r="D172" i="3" s="1"/>
  <c r="C173" i="3"/>
  <c r="D173" i="3" s="1"/>
  <c r="C174" i="3"/>
  <c r="D174" i="3" s="1"/>
  <c r="C175" i="3"/>
  <c r="D175" i="3" s="1"/>
  <c r="C176" i="3"/>
  <c r="D176" i="3" s="1"/>
  <c r="C177" i="3"/>
  <c r="D177" i="3" s="1"/>
  <c r="C178" i="3"/>
  <c r="D178" i="3" s="1"/>
  <c r="C179" i="3"/>
  <c r="D179" i="3" s="1"/>
  <c r="C180" i="3"/>
  <c r="D180" i="3" s="1"/>
  <c r="C181" i="3"/>
  <c r="D181" i="3" s="1"/>
  <c r="C182" i="3"/>
  <c r="D182" i="3" s="1"/>
  <c r="C183" i="3"/>
  <c r="D183" i="3" s="1"/>
  <c r="C184" i="3"/>
  <c r="D184" i="3" s="1"/>
  <c r="C185" i="3"/>
  <c r="D185" i="3" s="1"/>
  <c r="C186" i="3"/>
  <c r="D186" i="3" s="1"/>
  <c r="C187" i="3"/>
  <c r="D187" i="3" s="1"/>
  <c r="C188" i="3"/>
  <c r="D188" i="3" s="1"/>
  <c r="C189" i="3"/>
  <c r="D189" i="3" s="1"/>
  <c r="C190" i="3"/>
  <c r="D190" i="3" s="1"/>
  <c r="C191" i="3"/>
  <c r="D191" i="3" s="1"/>
  <c r="C192" i="3"/>
  <c r="D192" i="3" s="1"/>
  <c r="C193" i="3"/>
  <c r="D193" i="3" s="1"/>
  <c r="C194" i="3"/>
  <c r="D194" i="3" s="1"/>
  <c r="C195" i="3"/>
  <c r="D195" i="3" s="1"/>
  <c r="C196" i="3"/>
  <c r="D196" i="3" s="1"/>
  <c r="C197" i="3"/>
  <c r="D197" i="3" s="1"/>
  <c r="C198" i="3"/>
  <c r="D198" i="3" s="1"/>
  <c r="C199" i="3"/>
  <c r="D199" i="3" s="1"/>
  <c r="C200" i="3"/>
  <c r="D200" i="3" s="1"/>
  <c r="C201" i="3"/>
  <c r="D201" i="3" s="1"/>
  <c r="C202" i="3"/>
  <c r="D202" i="3" s="1"/>
  <c r="C203" i="3"/>
  <c r="D203" i="3" s="1"/>
  <c r="C204" i="3"/>
  <c r="D204" i="3" s="1"/>
  <c r="C205" i="3"/>
  <c r="D205" i="3" s="1"/>
  <c r="C206" i="3"/>
  <c r="D206" i="3" s="1"/>
  <c r="C207" i="3"/>
  <c r="D207" i="3" s="1"/>
  <c r="C208" i="3"/>
  <c r="D208" i="3" s="1"/>
  <c r="C209" i="3"/>
  <c r="D209" i="3" s="1"/>
  <c r="C210" i="3"/>
  <c r="D210" i="3" s="1"/>
  <c r="C211" i="3"/>
  <c r="D211" i="3" s="1"/>
  <c r="C212" i="3"/>
  <c r="D212" i="3" s="1"/>
  <c r="C213" i="3"/>
  <c r="D213" i="3" s="1"/>
  <c r="C214" i="3"/>
  <c r="D214" i="3" s="1"/>
  <c r="C215" i="3"/>
  <c r="D215" i="3" s="1"/>
  <c r="C216" i="3"/>
  <c r="D216" i="3" s="1"/>
  <c r="C217" i="3"/>
  <c r="D217" i="3" s="1"/>
  <c r="C218" i="3"/>
  <c r="D218" i="3" s="1"/>
  <c r="C219" i="3"/>
  <c r="D219" i="3" s="1"/>
  <c r="C220" i="3"/>
  <c r="D220" i="3" s="1"/>
  <c r="C221" i="3"/>
  <c r="D221" i="3" s="1"/>
  <c r="C222" i="3"/>
  <c r="D222" i="3" s="1"/>
  <c r="C223" i="3"/>
  <c r="D223" i="3" s="1"/>
  <c r="C224" i="3"/>
  <c r="D224" i="3" s="1"/>
  <c r="C225" i="3"/>
  <c r="D225" i="3" s="1"/>
  <c r="C226" i="3"/>
  <c r="D226" i="3" s="1"/>
  <c r="C227" i="3"/>
  <c r="D227" i="3" s="1"/>
  <c r="C228" i="3"/>
  <c r="D228" i="3" s="1"/>
  <c r="C229" i="3"/>
  <c r="D229" i="3" s="1"/>
  <c r="C230" i="3"/>
  <c r="D230" i="3" s="1"/>
  <c r="C231" i="3"/>
  <c r="D231" i="3" s="1"/>
  <c r="C232" i="3"/>
  <c r="D232" i="3" s="1"/>
  <c r="C233" i="3"/>
  <c r="D233" i="3" s="1"/>
  <c r="C234" i="3"/>
  <c r="D234" i="3" s="1"/>
  <c r="C235" i="3"/>
  <c r="D235" i="3" s="1"/>
  <c r="C236" i="3"/>
  <c r="D236" i="3" s="1"/>
  <c r="C237" i="3"/>
  <c r="D237" i="3" s="1"/>
  <c r="C238" i="3"/>
  <c r="D238" i="3" s="1"/>
  <c r="C239" i="3"/>
  <c r="D239" i="3" s="1"/>
  <c r="C240" i="3"/>
  <c r="D240" i="3" s="1"/>
  <c r="C241" i="3"/>
  <c r="D241" i="3" s="1"/>
  <c r="C242" i="3"/>
  <c r="D242" i="3" s="1"/>
  <c r="C243" i="3"/>
  <c r="D243" i="3" s="1"/>
  <c r="C244" i="3"/>
  <c r="D244" i="3" s="1"/>
  <c r="C245" i="3"/>
  <c r="D245" i="3" s="1"/>
  <c r="C246" i="3"/>
  <c r="D246" i="3" s="1"/>
  <c r="C247" i="3"/>
  <c r="D247" i="3" s="1"/>
  <c r="C248" i="3"/>
  <c r="D248" i="3" s="1"/>
  <c r="C249" i="3"/>
  <c r="D249" i="3" s="1"/>
  <c r="C250" i="3"/>
  <c r="D250" i="3" s="1"/>
  <c r="C251" i="3"/>
  <c r="D251" i="3" s="1"/>
  <c r="C252" i="3"/>
  <c r="D252" i="3" s="1"/>
  <c r="C253" i="3"/>
  <c r="D253" i="3" s="1"/>
  <c r="C254" i="3"/>
  <c r="D254" i="3" s="1"/>
  <c r="C255" i="3"/>
  <c r="D255" i="3" s="1"/>
  <c r="C256" i="3"/>
  <c r="D256" i="3" s="1"/>
  <c r="C257" i="3"/>
  <c r="D257" i="3" s="1"/>
  <c r="C258" i="3"/>
  <c r="D258" i="3" s="1"/>
  <c r="C259" i="3"/>
  <c r="D259" i="3" s="1"/>
  <c r="C260" i="3"/>
  <c r="D260" i="3" s="1"/>
  <c r="C261" i="3"/>
  <c r="D261" i="3" s="1"/>
  <c r="C262" i="3"/>
  <c r="D262" i="3" s="1"/>
  <c r="C263" i="3"/>
  <c r="D263" i="3" s="1"/>
  <c r="C264" i="3"/>
  <c r="D264" i="3" s="1"/>
  <c r="C265" i="3"/>
  <c r="D265" i="3" s="1"/>
  <c r="C266" i="3"/>
  <c r="D266" i="3" s="1"/>
  <c r="C267" i="3"/>
  <c r="D267" i="3" s="1"/>
  <c r="C268" i="3"/>
  <c r="D268" i="3" s="1"/>
  <c r="C269" i="3"/>
  <c r="D269" i="3" s="1"/>
  <c r="C270" i="3"/>
  <c r="D270" i="3" s="1"/>
  <c r="C271" i="3"/>
  <c r="D271" i="3" s="1"/>
  <c r="C272" i="3"/>
  <c r="D272" i="3" s="1"/>
  <c r="C273" i="3"/>
  <c r="D273" i="3" s="1"/>
  <c r="C274" i="3"/>
  <c r="D274" i="3" s="1"/>
  <c r="C275" i="3"/>
  <c r="D275" i="3" s="1"/>
  <c r="C276" i="3"/>
  <c r="D276" i="3" s="1"/>
  <c r="C277" i="3"/>
  <c r="D277" i="3" s="1"/>
  <c r="C278" i="3"/>
  <c r="D278" i="3" s="1"/>
  <c r="C279" i="3"/>
  <c r="D279" i="3" s="1"/>
  <c r="C280" i="3"/>
  <c r="D280" i="3" s="1"/>
  <c r="C281" i="3"/>
  <c r="D281" i="3" s="1"/>
  <c r="C282" i="3"/>
  <c r="D282" i="3" s="1"/>
  <c r="C283" i="3"/>
  <c r="D283" i="3" s="1"/>
  <c r="C284" i="3"/>
  <c r="D284" i="3" s="1"/>
  <c r="C285" i="3"/>
  <c r="D285" i="3" s="1"/>
  <c r="C286" i="3"/>
  <c r="D286" i="3" s="1"/>
  <c r="C287" i="3"/>
  <c r="D287" i="3" s="1"/>
  <c r="C288" i="3"/>
  <c r="D288" i="3" s="1"/>
  <c r="C289" i="3"/>
  <c r="D289" i="3" s="1"/>
  <c r="C290" i="3"/>
  <c r="D290" i="3" s="1"/>
  <c r="C291" i="3"/>
  <c r="D291" i="3" s="1"/>
  <c r="C292" i="3"/>
  <c r="D292" i="3" s="1"/>
  <c r="C293" i="3"/>
  <c r="D293" i="3" s="1"/>
  <c r="C294" i="3"/>
  <c r="D294" i="3" s="1"/>
  <c r="C295" i="3"/>
  <c r="D295" i="3" s="1"/>
  <c r="C296" i="3"/>
  <c r="D296" i="3" s="1"/>
  <c r="C297" i="3"/>
  <c r="D297" i="3" s="1"/>
  <c r="C298" i="3"/>
  <c r="D298" i="3" s="1"/>
  <c r="C299" i="3"/>
  <c r="D299" i="3" s="1"/>
  <c r="C300" i="3"/>
  <c r="D300" i="3" s="1"/>
  <c r="C301" i="3"/>
  <c r="D301" i="3" s="1"/>
  <c r="C302" i="3"/>
  <c r="D302" i="3" s="1"/>
  <c r="C303" i="3"/>
  <c r="D303" i="3" s="1"/>
  <c r="C304" i="3"/>
  <c r="D304" i="3" s="1"/>
  <c r="C305" i="3"/>
  <c r="D305" i="3" s="1"/>
  <c r="C306" i="3"/>
  <c r="D306" i="3" s="1"/>
  <c r="C307" i="3"/>
  <c r="D307" i="3" s="1"/>
  <c r="C308" i="3"/>
  <c r="D308" i="3" s="1"/>
  <c r="C309" i="3"/>
  <c r="D309" i="3" s="1"/>
  <c r="C310" i="3"/>
  <c r="D310" i="3" s="1"/>
  <c r="C311" i="3"/>
  <c r="D311" i="3" s="1"/>
  <c r="C312" i="3"/>
  <c r="D312" i="3" s="1"/>
  <c r="C313" i="3"/>
  <c r="D313" i="3" s="1"/>
  <c r="C314" i="3"/>
  <c r="D314" i="3" s="1"/>
  <c r="C315" i="3"/>
  <c r="D315" i="3" s="1"/>
  <c r="C316" i="3"/>
  <c r="D316" i="3" s="1"/>
  <c r="C317" i="3"/>
  <c r="D317" i="3" s="1"/>
  <c r="C318" i="3"/>
  <c r="D318" i="3" s="1"/>
  <c r="C319" i="3"/>
  <c r="D319" i="3" s="1"/>
  <c r="C320" i="3"/>
  <c r="D320" i="3" s="1"/>
  <c r="C321" i="3"/>
  <c r="D321" i="3" s="1"/>
  <c r="C322" i="3"/>
  <c r="D322" i="3" s="1"/>
  <c r="C323" i="3"/>
  <c r="D323" i="3" s="1"/>
  <c r="C324" i="3"/>
  <c r="D324" i="3" s="1"/>
  <c r="C325" i="3"/>
  <c r="D325" i="3" s="1"/>
  <c r="C326" i="3"/>
  <c r="D326" i="3" s="1"/>
  <c r="C327" i="3"/>
  <c r="D327" i="3" s="1"/>
  <c r="C328" i="3"/>
  <c r="D328" i="3" s="1"/>
  <c r="C329" i="3"/>
  <c r="D329" i="3" s="1"/>
  <c r="C330" i="3"/>
  <c r="D330" i="3" s="1"/>
  <c r="C331" i="3"/>
  <c r="D331" i="3" s="1"/>
  <c r="C332" i="3"/>
  <c r="D332" i="3" s="1"/>
  <c r="C333" i="3"/>
  <c r="D333" i="3" s="1"/>
  <c r="C334" i="3"/>
  <c r="D334" i="3" s="1"/>
  <c r="C335" i="3"/>
  <c r="D335" i="3" s="1"/>
  <c r="C336" i="3"/>
  <c r="D336" i="3" s="1"/>
  <c r="C337" i="3"/>
  <c r="D337" i="3" s="1"/>
  <c r="C338" i="3"/>
  <c r="D338" i="3" s="1"/>
  <c r="C339" i="3"/>
  <c r="D339" i="3" s="1"/>
  <c r="C340" i="3"/>
  <c r="D340" i="3" s="1"/>
  <c r="C341" i="3"/>
  <c r="D341" i="3" s="1"/>
  <c r="C342" i="3"/>
  <c r="D342" i="3" s="1"/>
  <c r="C343" i="3"/>
  <c r="D343" i="3" s="1"/>
  <c r="C344" i="3"/>
  <c r="D344" i="3" s="1"/>
  <c r="C345" i="3"/>
  <c r="D345" i="3" s="1"/>
  <c r="C346" i="3"/>
  <c r="D346" i="3" s="1"/>
  <c r="C347" i="3"/>
  <c r="D347" i="3" s="1"/>
  <c r="C348" i="3"/>
  <c r="D348" i="3" s="1"/>
  <c r="C349" i="3"/>
  <c r="D349" i="3" s="1"/>
  <c r="C350" i="3"/>
  <c r="D350" i="3" s="1"/>
  <c r="C351" i="3"/>
  <c r="D351" i="3" s="1"/>
  <c r="C352" i="3"/>
  <c r="D352" i="3" s="1"/>
  <c r="C353" i="3"/>
  <c r="D353" i="3" s="1"/>
  <c r="C354" i="3"/>
  <c r="D354" i="3" s="1"/>
  <c r="C355" i="3"/>
  <c r="D355" i="3" s="1"/>
  <c r="C356" i="3"/>
  <c r="D356" i="3" s="1"/>
  <c r="C357" i="3"/>
  <c r="D357" i="3" s="1"/>
  <c r="C358" i="3"/>
  <c r="D358" i="3" s="1"/>
  <c r="C359" i="3"/>
  <c r="D359" i="3" s="1"/>
  <c r="C360" i="3"/>
  <c r="D360" i="3" s="1"/>
  <c r="C361" i="3"/>
  <c r="D361" i="3" s="1"/>
  <c r="C362" i="3"/>
  <c r="D362" i="3" s="1"/>
  <c r="C363" i="3"/>
  <c r="D363" i="3" s="1"/>
  <c r="C364" i="3"/>
  <c r="D364" i="3" s="1"/>
  <c r="C365" i="3"/>
  <c r="D365" i="3" s="1"/>
  <c r="C366" i="3"/>
  <c r="D366" i="3" s="1"/>
  <c r="C367" i="3"/>
  <c r="D367" i="3" s="1"/>
  <c r="C368" i="3"/>
  <c r="D368" i="3" s="1"/>
  <c r="C369" i="3"/>
  <c r="D369" i="3" s="1"/>
  <c r="C370" i="3"/>
  <c r="D370" i="3" s="1"/>
  <c r="C371" i="3"/>
  <c r="D371" i="3" s="1"/>
  <c r="C372" i="3"/>
  <c r="D372" i="3" s="1"/>
  <c r="C373" i="3"/>
  <c r="D373" i="3" s="1"/>
  <c r="C374" i="3"/>
  <c r="D374" i="3" s="1"/>
  <c r="C375" i="3"/>
  <c r="D375" i="3" s="1"/>
  <c r="C376" i="3"/>
  <c r="D376" i="3" s="1"/>
  <c r="C377" i="3"/>
  <c r="D377" i="3" s="1"/>
  <c r="C378" i="3"/>
  <c r="D378" i="3" s="1"/>
  <c r="C379" i="3"/>
  <c r="D379" i="3" s="1"/>
  <c r="C380" i="3"/>
  <c r="D380" i="3" s="1"/>
  <c r="C381" i="3"/>
  <c r="D381" i="3" s="1"/>
  <c r="C382" i="3"/>
  <c r="D382" i="3" s="1"/>
  <c r="C383" i="3"/>
  <c r="D383" i="3" s="1"/>
  <c r="C384" i="3"/>
  <c r="D384" i="3" s="1"/>
  <c r="C385" i="3"/>
  <c r="D385" i="3" s="1"/>
  <c r="C386" i="3"/>
  <c r="D386" i="3" s="1"/>
  <c r="C387" i="3"/>
  <c r="D387" i="3" s="1"/>
  <c r="C388" i="3"/>
  <c r="D388" i="3" s="1"/>
  <c r="C389" i="3"/>
  <c r="D389" i="3" s="1"/>
  <c r="C390" i="3"/>
  <c r="D390" i="3" s="1"/>
  <c r="C391" i="3"/>
  <c r="D391" i="3" s="1"/>
  <c r="C392" i="3"/>
  <c r="D392" i="3" s="1"/>
  <c r="C393" i="3"/>
  <c r="D393" i="3" s="1"/>
  <c r="C394" i="3"/>
  <c r="D394" i="3" s="1"/>
  <c r="C395" i="3"/>
  <c r="D395" i="3" s="1"/>
  <c r="C396" i="3"/>
  <c r="D396" i="3" s="1"/>
  <c r="C397" i="3"/>
  <c r="D397" i="3" s="1"/>
  <c r="C398" i="3"/>
  <c r="D398" i="3" s="1"/>
  <c r="C399" i="3"/>
  <c r="D399" i="3" s="1"/>
  <c r="C400" i="3"/>
  <c r="D400" i="3" s="1"/>
  <c r="C401" i="3"/>
  <c r="D401" i="3" s="1"/>
  <c r="C402" i="3"/>
  <c r="D402" i="3" s="1"/>
  <c r="C403" i="3"/>
  <c r="D403" i="3" s="1"/>
  <c r="C404" i="3"/>
  <c r="D404" i="3" s="1"/>
  <c r="C405" i="3"/>
  <c r="D405" i="3" s="1"/>
  <c r="C406" i="3"/>
  <c r="D406" i="3" s="1"/>
  <c r="C407" i="3"/>
  <c r="D407" i="3" s="1"/>
  <c r="C408" i="3"/>
  <c r="D408" i="3" s="1"/>
  <c r="C409" i="3"/>
  <c r="D409" i="3" s="1"/>
  <c r="C410" i="3"/>
  <c r="D410" i="3" s="1"/>
  <c r="C411" i="3"/>
  <c r="D411" i="3" s="1"/>
  <c r="C412" i="3"/>
  <c r="D412" i="3" s="1"/>
  <c r="C413" i="3"/>
  <c r="D413" i="3" s="1"/>
  <c r="C414" i="3"/>
  <c r="D414" i="3" s="1"/>
  <c r="C415" i="3"/>
  <c r="D415" i="3" s="1"/>
  <c r="C416" i="3"/>
  <c r="D416" i="3" s="1"/>
  <c r="C417" i="3"/>
  <c r="D417" i="3" s="1"/>
  <c r="C418" i="3"/>
  <c r="D418" i="3" s="1"/>
  <c r="C419" i="3"/>
  <c r="D419" i="3" s="1"/>
  <c r="C420" i="3"/>
  <c r="D420" i="3" s="1"/>
  <c r="C421" i="3"/>
  <c r="D421" i="3" s="1"/>
  <c r="C422" i="3"/>
  <c r="D422" i="3" s="1"/>
  <c r="C423" i="3"/>
  <c r="D423" i="3" s="1"/>
  <c r="C424" i="3"/>
  <c r="D424" i="3" s="1"/>
  <c r="C425" i="3"/>
  <c r="D425" i="3" s="1"/>
  <c r="C426" i="3"/>
  <c r="D426" i="3" s="1"/>
  <c r="C427" i="3"/>
  <c r="D427" i="3" s="1"/>
  <c r="C428" i="3"/>
  <c r="D428" i="3" s="1"/>
  <c r="C429" i="3"/>
  <c r="D429" i="3" s="1"/>
  <c r="C430" i="3"/>
  <c r="D430" i="3" s="1"/>
  <c r="C431" i="3"/>
  <c r="D431" i="3" s="1"/>
  <c r="C432" i="3"/>
  <c r="D432" i="3" s="1"/>
  <c r="C433" i="3"/>
  <c r="D433" i="3" s="1"/>
  <c r="C434" i="3"/>
  <c r="D434" i="3" s="1"/>
  <c r="C435" i="3"/>
  <c r="D435" i="3" s="1"/>
  <c r="C436" i="3"/>
  <c r="D436" i="3" s="1"/>
  <c r="C437" i="3"/>
  <c r="D437" i="3" s="1"/>
  <c r="C438" i="3"/>
  <c r="D438" i="3" s="1"/>
  <c r="C439" i="3"/>
  <c r="D439" i="3" s="1"/>
  <c r="C440" i="3"/>
  <c r="D440" i="3" s="1"/>
  <c r="C441" i="3"/>
  <c r="D441" i="3" s="1"/>
  <c r="C442" i="3"/>
  <c r="D442" i="3" s="1"/>
  <c r="C443" i="3"/>
  <c r="D443" i="3" s="1"/>
  <c r="C444" i="3"/>
  <c r="D444" i="3" s="1"/>
  <c r="C445" i="3"/>
  <c r="D445" i="3" s="1"/>
  <c r="C446" i="3"/>
  <c r="D446" i="3" s="1"/>
  <c r="C447" i="3"/>
  <c r="D447" i="3" s="1"/>
  <c r="C448" i="3"/>
  <c r="D448" i="3" s="1"/>
  <c r="C449" i="3"/>
  <c r="D449" i="3" s="1"/>
  <c r="C450" i="3"/>
  <c r="D450" i="3" s="1"/>
  <c r="C451" i="3"/>
  <c r="D451" i="3" s="1"/>
  <c r="C452" i="3"/>
  <c r="D452" i="3" s="1"/>
  <c r="C453" i="3"/>
  <c r="D453" i="3" s="1"/>
  <c r="C454" i="3"/>
  <c r="D454" i="3" s="1"/>
  <c r="C455" i="3"/>
  <c r="D455" i="3" s="1"/>
  <c r="C456" i="3"/>
  <c r="D456" i="3" s="1"/>
  <c r="C457" i="3"/>
  <c r="D457" i="3" s="1"/>
  <c r="C458" i="3"/>
  <c r="D458" i="3" s="1"/>
  <c r="C459" i="3"/>
  <c r="D459" i="3" s="1"/>
  <c r="C460" i="3"/>
  <c r="D460" i="3" s="1"/>
  <c r="C461" i="3"/>
  <c r="D461" i="3" s="1"/>
  <c r="C462" i="3"/>
  <c r="D462" i="3" s="1"/>
  <c r="C463" i="3"/>
  <c r="D463" i="3" s="1"/>
  <c r="C464" i="3"/>
  <c r="D464" i="3" s="1"/>
  <c r="C465" i="3"/>
  <c r="D465" i="3" s="1"/>
  <c r="C466" i="3"/>
  <c r="D466" i="3" s="1"/>
  <c r="C467" i="3"/>
  <c r="D467" i="3" s="1"/>
  <c r="C468" i="3"/>
  <c r="D468" i="3" s="1"/>
  <c r="C469" i="3"/>
  <c r="D469" i="3" s="1"/>
  <c r="C470" i="3"/>
  <c r="D470" i="3" s="1"/>
  <c r="C471" i="3"/>
  <c r="D471" i="3" s="1"/>
  <c r="C472" i="3"/>
  <c r="D472" i="3" s="1"/>
  <c r="C473" i="3"/>
  <c r="D473" i="3" s="1"/>
  <c r="C474" i="3"/>
  <c r="D474" i="3" s="1"/>
  <c r="C475" i="3"/>
  <c r="D475" i="3" s="1"/>
  <c r="C476" i="3"/>
  <c r="D476" i="3" s="1"/>
  <c r="C477" i="3"/>
  <c r="D477" i="3" s="1"/>
  <c r="C478" i="3"/>
  <c r="D478" i="3" s="1"/>
  <c r="C479" i="3"/>
  <c r="D479" i="3" s="1"/>
  <c r="C480" i="3"/>
  <c r="D480" i="3" s="1"/>
  <c r="C481" i="3"/>
  <c r="D481" i="3" s="1"/>
  <c r="C482" i="3"/>
  <c r="D482" i="3" s="1"/>
  <c r="C483" i="3"/>
  <c r="D483" i="3" s="1"/>
  <c r="C484" i="3"/>
  <c r="D484" i="3" s="1"/>
  <c r="C485" i="3"/>
  <c r="D485" i="3" s="1"/>
  <c r="C486" i="3"/>
  <c r="D486" i="3" s="1"/>
  <c r="C487" i="3"/>
  <c r="D487" i="3" s="1"/>
  <c r="C488" i="3"/>
  <c r="D488" i="3" s="1"/>
  <c r="C489" i="3"/>
  <c r="D489" i="3" s="1"/>
  <c r="C490" i="3"/>
  <c r="D490" i="3" s="1"/>
  <c r="C491" i="3"/>
  <c r="D491" i="3" s="1"/>
  <c r="C492" i="3"/>
  <c r="D492" i="3" s="1"/>
  <c r="C493" i="3"/>
  <c r="D493" i="3" s="1"/>
  <c r="C494" i="3"/>
  <c r="D494" i="3" s="1"/>
  <c r="C495" i="3"/>
  <c r="D495" i="3" s="1"/>
  <c r="C496" i="3"/>
  <c r="D496" i="3" s="1"/>
  <c r="C497" i="3"/>
  <c r="D497" i="3" s="1"/>
  <c r="C498" i="3"/>
  <c r="D498" i="3" s="1"/>
  <c r="C499" i="3"/>
  <c r="D499" i="3" s="1"/>
  <c r="C500" i="3"/>
  <c r="D500" i="3" s="1"/>
  <c r="C501" i="3"/>
  <c r="D501" i="3" s="1"/>
  <c r="C502" i="3"/>
  <c r="D502" i="3" s="1"/>
  <c r="C503" i="3"/>
  <c r="D503" i="3" s="1"/>
  <c r="C504" i="3"/>
  <c r="D504" i="3" s="1"/>
  <c r="C505" i="3"/>
  <c r="D505" i="3" s="1"/>
  <c r="C506" i="3"/>
  <c r="D506" i="3" s="1"/>
  <c r="C507" i="3"/>
  <c r="D507" i="3" s="1"/>
  <c r="C508" i="3"/>
  <c r="D508" i="3" s="1"/>
  <c r="C509" i="3"/>
  <c r="D509" i="3" s="1"/>
  <c r="C510" i="3"/>
  <c r="D510" i="3" s="1"/>
  <c r="C511" i="3"/>
  <c r="D511" i="3" s="1"/>
  <c r="C512" i="3"/>
  <c r="D512" i="3" s="1"/>
  <c r="C513" i="3"/>
  <c r="D513" i="3" s="1"/>
  <c r="C514" i="3"/>
  <c r="D514" i="3" s="1"/>
  <c r="C515" i="3"/>
  <c r="D515" i="3" s="1"/>
  <c r="C516" i="3"/>
  <c r="D516" i="3" s="1"/>
  <c r="C517" i="3"/>
  <c r="D517" i="3" s="1"/>
  <c r="C518" i="3"/>
  <c r="D518" i="3" s="1"/>
  <c r="C519" i="3"/>
  <c r="D519" i="3" s="1"/>
  <c r="C520" i="3"/>
  <c r="D520" i="3" s="1"/>
  <c r="C521" i="3"/>
  <c r="D521" i="3" s="1"/>
  <c r="C522" i="3"/>
  <c r="D522" i="3" s="1"/>
  <c r="C523" i="3"/>
  <c r="D523" i="3" s="1"/>
  <c r="C524" i="3"/>
  <c r="D524" i="3" s="1"/>
  <c r="C525" i="3"/>
  <c r="D525" i="3" s="1"/>
  <c r="C526" i="3"/>
  <c r="D526" i="3" s="1"/>
  <c r="C527" i="3"/>
  <c r="D527" i="3" s="1"/>
  <c r="C528" i="3"/>
  <c r="D528" i="3" s="1"/>
  <c r="C529" i="3"/>
  <c r="D529" i="3" s="1"/>
  <c r="C530" i="3"/>
  <c r="D530" i="3" s="1"/>
  <c r="C531" i="3"/>
  <c r="D531" i="3" s="1"/>
  <c r="C532" i="3"/>
  <c r="D532" i="3" s="1"/>
  <c r="C533" i="3"/>
  <c r="D533" i="3" s="1"/>
  <c r="C534" i="3"/>
  <c r="D534" i="3" s="1"/>
  <c r="C535" i="3"/>
  <c r="D535" i="3" s="1"/>
  <c r="C536" i="3"/>
  <c r="D536" i="3" s="1"/>
  <c r="C537" i="3"/>
  <c r="D537" i="3" s="1"/>
  <c r="C538" i="3"/>
  <c r="D538" i="3" s="1"/>
  <c r="C539" i="3"/>
  <c r="D539" i="3" s="1"/>
  <c r="C540" i="3"/>
  <c r="D540" i="3" s="1"/>
  <c r="C541" i="3"/>
  <c r="D541" i="3" s="1"/>
  <c r="C542" i="3"/>
  <c r="D542" i="3" s="1"/>
  <c r="C543" i="3"/>
  <c r="D543" i="3" s="1"/>
  <c r="C544" i="3"/>
  <c r="D544" i="3" s="1"/>
  <c r="C545" i="3"/>
  <c r="D545" i="3" s="1"/>
  <c r="C546" i="3"/>
  <c r="D546" i="3" s="1"/>
  <c r="C547" i="3"/>
  <c r="D547" i="3" s="1"/>
  <c r="C548" i="3"/>
  <c r="D548" i="3" s="1"/>
  <c r="C549" i="3"/>
  <c r="D549" i="3" s="1"/>
  <c r="C550" i="3"/>
  <c r="D550" i="3" s="1"/>
  <c r="C551" i="3"/>
  <c r="D551" i="3" s="1"/>
  <c r="C552" i="3"/>
  <c r="D552" i="3" s="1"/>
  <c r="C553" i="3"/>
  <c r="D553" i="3" s="1"/>
  <c r="C554" i="3"/>
  <c r="D554" i="3" s="1"/>
  <c r="C555" i="3"/>
  <c r="D555" i="3" s="1"/>
  <c r="C556" i="3"/>
  <c r="D556" i="3" s="1"/>
  <c r="C557" i="3"/>
  <c r="D557" i="3" s="1"/>
  <c r="C558" i="3"/>
  <c r="D558" i="3" s="1"/>
  <c r="C559" i="3"/>
  <c r="D559" i="3" s="1"/>
  <c r="C560" i="3"/>
  <c r="D560" i="3" s="1"/>
  <c r="C561" i="3"/>
  <c r="D561" i="3" s="1"/>
  <c r="C562" i="3"/>
  <c r="D562" i="3" s="1"/>
  <c r="C563" i="3"/>
  <c r="D563" i="3" s="1"/>
  <c r="C564" i="3"/>
  <c r="D564" i="3" s="1"/>
  <c r="C565" i="3"/>
  <c r="D565" i="3" s="1"/>
  <c r="C566" i="3"/>
  <c r="D566" i="3" s="1"/>
  <c r="C567" i="3"/>
  <c r="D567" i="3" s="1"/>
  <c r="C568" i="3"/>
  <c r="D568" i="3" s="1"/>
  <c r="C569" i="3"/>
  <c r="D569" i="3" s="1"/>
  <c r="C570" i="3"/>
  <c r="D570" i="3" s="1"/>
  <c r="C571" i="3"/>
  <c r="D571" i="3" s="1"/>
  <c r="C572" i="3"/>
  <c r="D572" i="3" s="1"/>
  <c r="C573" i="3"/>
  <c r="D573" i="3" s="1"/>
  <c r="C574" i="3"/>
  <c r="D574" i="3" s="1"/>
  <c r="C575" i="3"/>
  <c r="D575" i="3" s="1"/>
  <c r="C576" i="3"/>
  <c r="D576" i="3" s="1"/>
  <c r="C577" i="3"/>
  <c r="D577" i="3" s="1"/>
  <c r="C578" i="3"/>
  <c r="D578" i="3" s="1"/>
  <c r="C579" i="3"/>
  <c r="D579" i="3" s="1"/>
  <c r="C580" i="3"/>
  <c r="D580" i="3" s="1"/>
  <c r="C581" i="3"/>
  <c r="D581" i="3" s="1"/>
  <c r="C582" i="3"/>
  <c r="D582" i="3" s="1"/>
  <c r="C583" i="3"/>
  <c r="D583" i="3" s="1"/>
  <c r="C584" i="3"/>
  <c r="D584" i="3" s="1"/>
  <c r="C585" i="3"/>
  <c r="D585" i="3" s="1"/>
  <c r="C586" i="3"/>
  <c r="D586" i="3" s="1"/>
  <c r="C587" i="3"/>
  <c r="D587" i="3" s="1"/>
  <c r="C588" i="3"/>
  <c r="D588" i="3" s="1"/>
  <c r="C589" i="3"/>
  <c r="D589" i="3" s="1"/>
  <c r="C590" i="3"/>
  <c r="D590" i="3" s="1"/>
  <c r="C591" i="3"/>
  <c r="D591" i="3" s="1"/>
  <c r="C592" i="3"/>
  <c r="D592" i="3" s="1"/>
  <c r="C593" i="3"/>
  <c r="D593" i="3" s="1"/>
  <c r="C594" i="3"/>
  <c r="D594" i="3" s="1"/>
  <c r="C595" i="3"/>
  <c r="D595" i="3" s="1"/>
  <c r="C596" i="3"/>
  <c r="D596" i="3" s="1"/>
  <c r="C597" i="3"/>
  <c r="D597" i="3" s="1"/>
  <c r="C598" i="3"/>
  <c r="D598" i="3" s="1"/>
  <c r="C599" i="3"/>
  <c r="D599" i="3" s="1"/>
  <c r="C600" i="3"/>
  <c r="D600" i="3" s="1"/>
  <c r="C601" i="3"/>
  <c r="D601" i="3" s="1"/>
  <c r="C602" i="3"/>
  <c r="D602" i="3" s="1"/>
  <c r="C603" i="3"/>
  <c r="D603" i="3" s="1"/>
  <c r="C604" i="3"/>
  <c r="D604" i="3" s="1"/>
  <c r="C605" i="3"/>
  <c r="D605" i="3" s="1"/>
  <c r="C606" i="3"/>
  <c r="D606" i="3" s="1"/>
  <c r="C607" i="3"/>
  <c r="D607" i="3" s="1"/>
  <c r="C608" i="3"/>
  <c r="D608" i="3" s="1"/>
  <c r="C609" i="3"/>
  <c r="D609" i="3" s="1"/>
  <c r="C610" i="3"/>
  <c r="D610" i="3" s="1"/>
  <c r="C611" i="3"/>
  <c r="D611" i="3" s="1"/>
  <c r="C612" i="3"/>
  <c r="D612" i="3" s="1"/>
  <c r="C613" i="3"/>
  <c r="D613" i="3" s="1"/>
  <c r="C614" i="3"/>
  <c r="D614" i="3" s="1"/>
  <c r="C615" i="3"/>
  <c r="D615" i="3" s="1"/>
  <c r="C616" i="3"/>
  <c r="D616" i="3" s="1"/>
  <c r="C617" i="3"/>
  <c r="D617" i="3" s="1"/>
  <c r="C618" i="3"/>
  <c r="D618" i="3" s="1"/>
  <c r="C619" i="3"/>
  <c r="D619" i="3" s="1"/>
  <c r="C620" i="3"/>
  <c r="D620" i="3" s="1"/>
  <c r="C621" i="3"/>
  <c r="D621" i="3" s="1"/>
  <c r="C622" i="3"/>
  <c r="D622" i="3" s="1"/>
  <c r="C623" i="3"/>
  <c r="D623" i="3" s="1"/>
  <c r="C624" i="3"/>
  <c r="D624" i="3" s="1"/>
  <c r="C625" i="3"/>
  <c r="D625" i="3" s="1"/>
  <c r="C626" i="3"/>
  <c r="D626" i="3" s="1"/>
  <c r="C627" i="3"/>
  <c r="D627" i="3" s="1"/>
  <c r="C628" i="3"/>
  <c r="D628" i="3" s="1"/>
  <c r="C629" i="3"/>
  <c r="D629" i="3" s="1"/>
  <c r="C630" i="3"/>
  <c r="D630" i="3" s="1"/>
  <c r="C631" i="3"/>
  <c r="D631" i="3" s="1"/>
  <c r="C632" i="3"/>
  <c r="D632" i="3" s="1"/>
  <c r="C633" i="3"/>
  <c r="D633" i="3" s="1"/>
  <c r="C634" i="3"/>
  <c r="D634" i="3" s="1"/>
  <c r="C635" i="3"/>
  <c r="D635" i="3" s="1"/>
  <c r="C636" i="3"/>
  <c r="D636" i="3" s="1"/>
  <c r="C637" i="3"/>
  <c r="D637" i="3" s="1"/>
  <c r="C638" i="3"/>
  <c r="D638" i="3" s="1"/>
  <c r="C639" i="3"/>
  <c r="D639" i="3" s="1"/>
  <c r="C640" i="3"/>
  <c r="D640" i="3" s="1"/>
  <c r="C641" i="3"/>
  <c r="D641" i="3" s="1"/>
  <c r="C642" i="3"/>
  <c r="D642" i="3" s="1"/>
  <c r="C643" i="3"/>
  <c r="D643" i="3" s="1"/>
  <c r="C644" i="3"/>
  <c r="D644" i="3" s="1"/>
  <c r="C645" i="3"/>
  <c r="D645" i="3" s="1"/>
  <c r="C646" i="3"/>
  <c r="D646" i="3" s="1"/>
  <c r="C647" i="3"/>
  <c r="D647" i="3" s="1"/>
  <c r="C648" i="3"/>
  <c r="D648" i="3" s="1"/>
  <c r="C649" i="3"/>
  <c r="D649" i="3" s="1"/>
  <c r="C650" i="3"/>
  <c r="D650" i="3" s="1"/>
  <c r="C651" i="3"/>
  <c r="D651" i="3" s="1"/>
  <c r="C652" i="3"/>
  <c r="D652" i="3" s="1"/>
  <c r="C653" i="3"/>
  <c r="D653" i="3" s="1"/>
  <c r="C654" i="3"/>
  <c r="D654" i="3" s="1"/>
  <c r="C655" i="3"/>
  <c r="D655" i="3" s="1"/>
  <c r="C656" i="3"/>
  <c r="D656" i="3" s="1"/>
  <c r="C657" i="3"/>
  <c r="D657" i="3" s="1"/>
  <c r="C658" i="3"/>
  <c r="D658" i="3" s="1"/>
  <c r="C659" i="3"/>
  <c r="D659" i="3" s="1"/>
  <c r="C660" i="3"/>
  <c r="D660" i="3" s="1"/>
  <c r="C661" i="3"/>
  <c r="D661" i="3" s="1"/>
  <c r="C662" i="3"/>
  <c r="D662" i="3" s="1"/>
  <c r="C663" i="3"/>
  <c r="D663" i="3" s="1"/>
  <c r="C664" i="3"/>
  <c r="D664" i="3" s="1"/>
  <c r="C665" i="3"/>
  <c r="D665" i="3" s="1"/>
  <c r="C666" i="3"/>
  <c r="D666" i="3" s="1"/>
  <c r="C667" i="3"/>
  <c r="D667" i="3" s="1"/>
  <c r="C668" i="3"/>
  <c r="D668" i="3" s="1"/>
  <c r="C669" i="3"/>
  <c r="D669" i="3" s="1"/>
  <c r="C670" i="3"/>
  <c r="D670" i="3" s="1"/>
  <c r="C671" i="3"/>
  <c r="D671" i="3" s="1"/>
  <c r="C672" i="3"/>
  <c r="D672" i="3" s="1"/>
  <c r="C673" i="3"/>
  <c r="D673" i="3" s="1"/>
  <c r="C674" i="3"/>
  <c r="D674" i="3" s="1"/>
  <c r="C675" i="3"/>
  <c r="D675" i="3" s="1"/>
  <c r="C676" i="3"/>
  <c r="D676" i="3" s="1"/>
  <c r="C677" i="3"/>
  <c r="D677" i="3" s="1"/>
  <c r="C678" i="3"/>
  <c r="D678" i="3" s="1"/>
  <c r="C679" i="3"/>
  <c r="D679" i="3" s="1"/>
  <c r="C680" i="3"/>
  <c r="D680" i="3" s="1"/>
  <c r="C681" i="3"/>
  <c r="D681" i="3" s="1"/>
  <c r="C682" i="3"/>
  <c r="D682" i="3" s="1"/>
  <c r="C683" i="3"/>
  <c r="D683" i="3" s="1"/>
  <c r="C684" i="3"/>
  <c r="D684" i="3" s="1"/>
  <c r="C685" i="3"/>
  <c r="D685" i="3" s="1"/>
  <c r="C686" i="3"/>
  <c r="D686" i="3" s="1"/>
  <c r="C687" i="3"/>
  <c r="D687" i="3" s="1"/>
  <c r="C688" i="3"/>
  <c r="D688" i="3" s="1"/>
  <c r="C689" i="3"/>
  <c r="D689" i="3" s="1"/>
  <c r="C690" i="3"/>
  <c r="D690" i="3" s="1"/>
  <c r="C691" i="3"/>
  <c r="D691" i="3" s="1"/>
  <c r="C692" i="3"/>
  <c r="D692" i="3" s="1"/>
  <c r="C693" i="3"/>
  <c r="D693" i="3" s="1"/>
  <c r="C694" i="3"/>
  <c r="D694" i="3" s="1"/>
  <c r="C695" i="3"/>
  <c r="D695" i="3" s="1"/>
  <c r="C696" i="3"/>
  <c r="D696" i="3" s="1"/>
  <c r="C697" i="3"/>
  <c r="D697" i="3" s="1"/>
  <c r="C698" i="3"/>
  <c r="D698" i="3" s="1"/>
  <c r="C699" i="3"/>
  <c r="D699" i="3" s="1"/>
  <c r="C700" i="3"/>
  <c r="D700" i="3" s="1"/>
  <c r="C701" i="3"/>
  <c r="D701" i="3" s="1"/>
  <c r="C702" i="3"/>
  <c r="D702" i="3" s="1"/>
  <c r="C703" i="3"/>
  <c r="D703" i="3" s="1"/>
  <c r="C704" i="3"/>
  <c r="D704" i="3" s="1"/>
  <c r="C705" i="3"/>
  <c r="D705" i="3" s="1"/>
  <c r="C706" i="3"/>
  <c r="D706" i="3" s="1"/>
  <c r="C707" i="3"/>
  <c r="D707" i="3" s="1"/>
  <c r="C708" i="3"/>
  <c r="D708" i="3" s="1"/>
  <c r="C709" i="3"/>
  <c r="D709" i="3" s="1"/>
  <c r="C710" i="3"/>
  <c r="D710" i="3" s="1"/>
  <c r="C711" i="3"/>
  <c r="D711" i="3" s="1"/>
  <c r="C712" i="3"/>
  <c r="D712" i="3" s="1"/>
  <c r="C713" i="3"/>
  <c r="D713" i="3" s="1"/>
  <c r="C714" i="3"/>
  <c r="D714" i="3" s="1"/>
  <c r="C715" i="3"/>
  <c r="D715" i="3" s="1"/>
  <c r="C716" i="3"/>
  <c r="D716" i="3" s="1"/>
  <c r="C717" i="3"/>
  <c r="D717" i="3" s="1"/>
  <c r="C718" i="3"/>
  <c r="D718" i="3" s="1"/>
  <c r="C719" i="3"/>
  <c r="D719" i="3" s="1"/>
  <c r="C720" i="3"/>
  <c r="D720" i="3" s="1"/>
  <c r="C721" i="3"/>
  <c r="D721" i="3" s="1"/>
  <c r="C722" i="3"/>
  <c r="D722" i="3" s="1"/>
  <c r="C723" i="3"/>
  <c r="D723" i="3" s="1"/>
  <c r="C724" i="3"/>
  <c r="D724" i="3" s="1"/>
  <c r="C725" i="3"/>
  <c r="D725" i="3" s="1"/>
  <c r="C726" i="3"/>
  <c r="D726" i="3" s="1"/>
  <c r="C727" i="3"/>
  <c r="D727" i="3" s="1"/>
  <c r="C728" i="3"/>
  <c r="D728" i="3" s="1"/>
  <c r="C729" i="3"/>
  <c r="D729" i="3" s="1"/>
  <c r="C730" i="3"/>
  <c r="D730" i="3" s="1"/>
  <c r="C731" i="3"/>
  <c r="D731" i="3" s="1"/>
  <c r="C732" i="3"/>
  <c r="D732" i="3" s="1"/>
  <c r="C733" i="3"/>
  <c r="D733" i="3" s="1"/>
  <c r="C734" i="3"/>
  <c r="D734" i="3" s="1"/>
  <c r="C735" i="3"/>
  <c r="D735" i="3" s="1"/>
  <c r="C736" i="3"/>
  <c r="D736" i="3" s="1"/>
  <c r="C737" i="3"/>
  <c r="D737" i="3" s="1"/>
  <c r="C738" i="3"/>
  <c r="D738" i="3" s="1"/>
  <c r="C739" i="3"/>
  <c r="D739" i="3" s="1"/>
  <c r="C740" i="3"/>
  <c r="D740" i="3" s="1"/>
  <c r="C741" i="3"/>
  <c r="D741" i="3" s="1"/>
  <c r="C742" i="3"/>
  <c r="D742" i="3" s="1"/>
  <c r="C743" i="3"/>
  <c r="D743" i="3" s="1"/>
  <c r="C744" i="3"/>
  <c r="D744" i="3" s="1"/>
  <c r="C745" i="3"/>
  <c r="D745" i="3" s="1"/>
  <c r="C746" i="3"/>
  <c r="D746" i="3" s="1"/>
  <c r="C747" i="3"/>
  <c r="D747" i="3" s="1"/>
  <c r="C748" i="3"/>
  <c r="D748" i="3" s="1"/>
  <c r="C749" i="3"/>
  <c r="D749" i="3" s="1"/>
  <c r="C750" i="3"/>
  <c r="D750" i="3" s="1"/>
  <c r="C751" i="3"/>
  <c r="D751" i="3" s="1"/>
  <c r="C752" i="3"/>
  <c r="D752" i="3" s="1"/>
  <c r="C753" i="3"/>
  <c r="D753" i="3" s="1"/>
  <c r="C754" i="3"/>
  <c r="D754" i="3" s="1"/>
  <c r="C755" i="3"/>
  <c r="D755" i="3" s="1"/>
  <c r="C756" i="3"/>
  <c r="D756" i="3" s="1"/>
  <c r="C757" i="3"/>
  <c r="D757" i="3" s="1"/>
  <c r="C758" i="3"/>
  <c r="D758" i="3" s="1"/>
  <c r="C759" i="3"/>
  <c r="D759" i="3" s="1"/>
  <c r="C760" i="3"/>
  <c r="D760" i="3" s="1"/>
  <c r="C761" i="3"/>
  <c r="D761" i="3" s="1"/>
  <c r="C762" i="3"/>
  <c r="D762" i="3" s="1"/>
  <c r="C763" i="3"/>
  <c r="D763" i="3" s="1"/>
  <c r="C764" i="3"/>
  <c r="D764" i="3" s="1"/>
  <c r="C765" i="3"/>
  <c r="D765" i="3" s="1"/>
  <c r="C766" i="3"/>
  <c r="D766" i="3" s="1"/>
  <c r="C767" i="3"/>
  <c r="D767" i="3" s="1"/>
  <c r="C768" i="3"/>
  <c r="D768" i="3" s="1"/>
  <c r="C769" i="3"/>
  <c r="D769" i="3" s="1"/>
  <c r="C770" i="3"/>
  <c r="D770" i="3" s="1"/>
  <c r="C771" i="3"/>
  <c r="D771" i="3" s="1"/>
  <c r="C772" i="3"/>
  <c r="D772" i="3" s="1"/>
  <c r="C773" i="3"/>
  <c r="D773" i="3" s="1"/>
  <c r="C774" i="3"/>
  <c r="D774" i="3" s="1"/>
  <c r="C775" i="3"/>
  <c r="D775" i="3" s="1"/>
  <c r="C776" i="3"/>
  <c r="D776" i="3" s="1"/>
  <c r="C777" i="3"/>
  <c r="D777" i="3" s="1"/>
  <c r="C778" i="3"/>
  <c r="D778" i="3" s="1"/>
  <c r="C779" i="3"/>
  <c r="D779" i="3" s="1"/>
  <c r="C780" i="3"/>
  <c r="D780" i="3" s="1"/>
  <c r="C781" i="3"/>
  <c r="D781" i="3" s="1"/>
  <c r="C782" i="3"/>
  <c r="D782" i="3" s="1"/>
  <c r="C783" i="3"/>
  <c r="D783" i="3" s="1"/>
  <c r="C784" i="3"/>
  <c r="D784" i="3" s="1"/>
  <c r="C785" i="3"/>
  <c r="D785" i="3" s="1"/>
  <c r="C786" i="3"/>
  <c r="D786" i="3" s="1"/>
  <c r="C787" i="3"/>
  <c r="D787" i="3" s="1"/>
  <c r="C788" i="3"/>
  <c r="D788" i="3" s="1"/>
  <c r="C789" i="3"/>
  <c r="D789" i="3" s="1"/>
  <c r="C790" i="3"/>
  <c r="D790" i="3" s="1"/>
  <c r="C791" i="3"/>
  <c r="D791" i="3" s="1"/>
  <c r="C792" i="3"/>
  <c r="D792" i="3" s="1"/>
  <c r="C793" i="3"/>
  <c r="D793" i="3" s="1"/>
  <c r="C794" i="3"/>
  <c r="D794" i="3" s="1"/>
  <c r="C795" i="3"/>
  <c r="D795" i="3" s="1"/>
  <c r="C796" i="3"/>
  <c r="D796" i="3" s="1"/>
  <c r="C797" i="3"/>
  <c r="D797" i="3" s="1"/>
  <c r="C798" i="3"/>
  <c r="D798" i="3" s="1"/>
  <c r="C799" i="3"/>
  <c r="D799" i="3" s="1"/>
  <c r="C800" i="3"/>
  <c r="D800" i="3" s="1"/>
  <c r="C801" i="3"/>
  <c r="D801" i="3" s="1"/>
  <c r="C802" i="3"/>
  <c r="D802" i="3" s="1"/>
  <c r="C803" i="3"/>
  <c r="D803" i="3" s="1"/>
  <c r="C804" i="3"/>
  <c r="D804" i="3" s="1"/>
  <c r="C805" i="3"/>
  <c r="D805" i="3" s="1"/>
  <c r="C806" i="3"/>
  <c r="D806" i="3" s="1"/>
  <c r="C807" i="3"/>
  <c r="D807" i="3" s="1"/>
  <c r="C808" i="3"/>
  <c r="D808" i="3" s="1"/>
  <c r="C809" i="3"/>
  <c r="D809" i="3" s="1"/>
  <c r="C810" i="3"/>
  <c r="D810" i="3" s="1"/>
  <c r="C811" i="3"/>
  <c r="D811" i="3" s="1"/>
  <c r="C812" i="3"/>
  <c r="D812" i="3" s="1"/>
  <c r="C813" i="3"/>
  <c r="D813" i="3" s="1"/>
  <c r="C814" i="3"/>
  <c r="D814" i="3" s="1"/>
  <c r="C815" i="3"/>
  <c r="D815" i="3" s="1"/>
  <c r="C816" i="3"/>
  <c r="D816" i="3" s="1"/>
  <c r="C817" i="3"/>
  <c r="D817" i="3" s="1"/>
  <c r="C818" i="3"/>
  <c r="D818" i="3" s="1"/>
  <c r="C819" i="3"/>
  <c r="D819" i="3" s="1"/>
  <c r="C820" i="3"/>
  <c r="D820" i="3" s="1"/>
  <c r="C821" i="3"/>
  <c r="D821" i="3" s="1"/>
  <c r="C822" i="3"/>
  <c r="D822" i="3" s="1"/>
  <c r="C823" i="3"/>
  <c r="D823" i="3" s="1"/>
  <c r="C824" i="3"/>
  <c r="D824" i="3" s="1"/>
  <c r="C825" i="3"/>
  <c r="D825" i="3" s="1"/>
  <c r="C826" i="3"/>
  <c r="D826" i="3" s="1"/>
  <c r="C827" i="3"/>
  <c r="D827" i="3" s="1"/>
  <c r="C828" i="3"/>
  <c r="D828" i="3" s="1"/>
  <c r="C829" i="3"/>
  <c r="D829" i="3" s="1"/>
  <c r="C830" i="3"/>
  <c r="D830" i="3" s="1"/>
  <c r="C831" i="3"/>
  <c r="D831" i="3" s="1"/>
  <c r="C832" i="3"/>
  <c r="D832" i="3" s="1"/>
  <c r="C833" i="3"/>
  <c r="D833" i="3" s="1"/>
  <c r="C834" i="3"/>
  <c r="D834" i="3" s="1"/>
  <c r="C835" i="3"/>
  <c r="D835" i="3" s="1"/>
  <c r="C836" i="3"/>
  <c r="D836" i="3" s="1"/>
  <c r="C837" i="3"/>
  <c r="D837" i="3" s="1"/>
  <c r="C838" i="3"/>
  <c r="D838" i="3" s="1"/>
  <c r="C839" i="3"/>
  <c r="D839" i="3" s="1"/>
  <c r="C840" i="3"/>
  <c r="D840" i="3" s="1"/>
  <c r="C841" i="3"/>
  <c r="D841" i="3" s="1"/>
  <c r="C842" i="3"/>
  <c r="D842" i="3" s="1"/>
  <c r="C843" i="3"/>
  <c r="D843" i="3" s="1"/>
  <c r="C844" i="3"/>
  <c r="D844" i="3" s="1"/>
  <c r="C845" i="3"/>
  <c r="D845" i="3" s="1"/>
  <c r="C846" i="3"/>
  <c r="D846" i="3" s="1"/>
  <c r="C847" i="3"/>
  <c r="D847" i="3" s="1"/>
  <c r="C848" i="3"/>
  <c r="D848" i="3" s="1"/>
  <c r="C849" i="3"/>
  <c r="D849" i="3" s="1"/>
  <c r="C850" i="3"/>
  <c r="D850" i="3" s="1"/>
  <c r="C851" i="3"/>
  <c r="D851" i="3" s="1"/>
  <c r="C852" i="3"/>
  <c r="D852" i="3" s="1"/>
  <c r="C853" i="3"/>
  <c r="D853" i="3" s="1"/>
  <c r="C854" i="3"/>
  <c r="D854" i="3" s="1"/>
  <c r="C855" i="3"/>
  <c r="D855" i="3" s="1"/>
  <c r="C856" i="3"/>
  <c r="D856" i="3" s="1"/>
  <c r="C857" i="3"/>
  <c r="D857" i="3" s="1"/>
  <c r="C858" i="3"/>
  <c r="D858" i="3" s="1"/>
  <c r="C859" i="3"/>
  <c r="D859" i="3" s="1"/>
  <c r="C860" i="3"/>
  <c r="D860" i="3" s="1"/>
  <c r="C861" i="3"/>
  <c r="D861" i="3" s="1"/>
  <c r="C862" i="3"/>
  <c r="D862" i="3" s="1"/>
  <c r="C863" i="3"/>
  <c r="D863" i="3" s="1"/>
  <c r="C864" i="3"/>
  <c r="D864" i="3" s="1"/>
  <c r="C865" i="3"/>
  <c r="D865" i="3" s="1"/>
  <c r="C866" i="3"/>
  <c r="D866" i="3" s="1"/>
  <c r="C867" i="3"/>
  <c r="D867" i="3" s="1"/>
  <c r="C868" i="3"/>
  <c r="D868" i="3" s="1"/>
  <c r="C869" i="3"/>
  <c r="D869" i="3" s="1"/>
  <c r="C870" i="3"/>
  <c r="D870" i="3" s="1"/>
  <c r="C871" i="3"/>
  <c r="D871" i="3" s="1"/>
  <c r="C872" i="3"/>
  <c r="D872" i="3" s="1"/>
  <c r="C873" i="3"/>
  <c r="D873" i="3" s="1"/>
  <c r="C874" i="3"/>
  <c r="D874" i="3" s="1"/>
  <c r="C875" i="3"/>
  <c r="D875" i="3" s="1"/>
  <c r="C876" i="3"/>
  <c r="D876" i="3" s="1"/>
  <c r="C877" i="3"/>
  <c r="D877" i="3" s="1"/>
  <c r="C878" i="3"/>
  <c r="D878" i="3" s="1"/>
  <c r="C879" i="3"/>
  <c r="D879" i="3" s="1"/>
  <c r="C880" i="3"/>
  <c r="D880" i="3" s="1"/>
  <c r="C881" i="3"/>
  <c r="D881" i="3" s="1"/>
  <c r="C882" i="3"/>
  <c r="D882" i="3" s="1"/>
  <c r="C883" i="3"/>
  <c r="D883" i="3" s="1"/>
  <c r="C884" i="3"/>
  <c r="D884" i="3" s="1"/>
  <c r="C885" i="3"/>
  <c r="D885" i="3" s="1"/>
  <c r="C886" i="3"/>
  <c r="D886" i="3" s="1"/>
  <c r="C887" i="3"/>
  <c r="D887" i="3" s="1"/>
  <c r="C888" i="3"/>
  <c r="D888" i="3" s="1"/>
  <c r="C889" i="3"/>
  <c r="D889" i="3" s="1"/>
  <c r="C890" i="3"/>
  <c r="D890" i="3" s="1"/>
  <c r="C891" i="3"/>
  <c r="D891" i="3" s="1"/>
  <c r="C892" i="3"/>
  <c r="D892" i="3" s="1"/>
  <c r="C893" i="3"/>
  <c r="D893" i="3" s="1"/>
  <c r="C894" i="3"/>
  <c r="D894" i="3" s="1"/>
  <c r="C895" i="3"/>
  <c r="D895" i="3" s="1"/>
  <c r="C896" i="3"/>
  <c r="D896" i="3" s="1"/>
  <c r="C897" i="3"/>
  <c r="D897" i="3" s="1"/>
  <c r="C898" i="3"/>
  <c r="D898" i="3" s="1"/>
  <c r="C899" i="3"/>
  <c r="D899" i="3" s="1"/>
  <c r="C900" i="3"/>
  <c r="D900" i="3" s="1"/>
  <c r="C901" i="3"/>
  <c r="D901" i="3" s="1"/>
  <c r="C902" i="3"/>
  <c r="D902" i="3" s="1"/>
  <c r="C903" i="3"/>
  <c r="D903" i="3" s="1"/>
  <c r="C904" i="3"/>
  <c r="D904" i="3" s="1"/>
  <c r="C905" i="3"/>
  <c r="D905" i="3" s="1"/>
  <c r="C906" i="3"/>
  <c r="D906" i="3" s="1"/>
  <c r="C907" i="3"/>
  <c r="D907" i="3" s="1"/>
  <c r="C908" i="3"/>
  <c r="D908" i="3" s="1"/>
  <c r="C909" i="3"/>
  <c r="D909" i="3" s="1"/>
  <c r="C910" i="3"/>
  <c r="D910" i="3" s="1"/>
  <c r="C911" i="3"/>
  <c r="D911" i="3" s="1"/>
  <c r="C912" i="3"/>
  <c r="D912" i="3" s="1"/>
  <c r="C913" i="3"/>
  <c r="D913" i="3" s="1"/>
  <c r="C914" i="3"/>
  <c r="D914" i="3" s="1"/>
  <c r="C915" i="3"/>
  <c r="D915" i="3" s="1"/>
  <c r="C916" i="3"/>
  <c r="D916" i="3" s="1"/>
  <c r="C917" i="3"/>
  <c r="D917" i="3" s="1"/>
  <c r="C918" i="3"/>
  <c r="D918" i="3" s="1"/>
  <c r="C919" i="3"/>
  <c r="D919" i="3" s="1"/>
  <c r="C920" i="3"/>
  <c r="D920" i="3" s="1"/>
  <c r="C921" i="3"/>
  <c r="D921" i="3" s="1"/>
  <c r="C922" i="3"/>
  <c r="D922" i="3" s="1"/>
  <c r="C923" i="3"/>
  <c r="D923" i="3" s="1"/>
  <c r="C924" i="3"/>
  <c r="D924" i="3" s="1"/>
  <c r="C925" i="3"/>
  <c r="D925" i="3" s="1"/>
  <c r="C926" i="3"/>
  <c r="D926" i="3" s="1"/>
  <c r="C927" i="3"/>
  <c r="D927" i="3" s="1"/>
  <c r="C928" i="3"/>
  <c r="D928" i="3" s="1"/>
  <c r="C929" i="3"/>
  <c r="D929" i="3" s="1"/>
  <c r="C930" i="3"/>
  <c r="D930" i="3" s="1"/>
  <c r="C931" i="3"/>
  <c r="D931" i="3" s="1"/>
  <c r="C932" i="3"/>
  <c r="D932" i="3" s="1"/>
  <c r="C933" i="3"/>
  <c r="D933" i="3" s="1"/>
  <c r="C934" i="3"/>
  <c r="D934" i="3" s="1"/>
  <c r="C935" i="3"/>
  <c r="D935" i="3" s="1"/>
  <c r="C936" i="3"/>
  <c r="D936" i="3" s="1"/>
  <c r="C937" i="3"/>
  <c r="D937" i="3" s="1"/>
  <c r="C938" i="3"/>
  <c r="D938" i="3" s="1"/>
  <c r="C939" i="3"/>
  <c r="D939" i="3" s="1"/>
  <c r="C940" i="3"/>
  <c r="D940" i="3" s="1"/>
  <c r="C941" i="3"/>
  <c r="D941" i="3" s="1"/>
  <c r="C942" i="3"/>
  <c r="D942" i="3" s="1"/>
  <c r="C943" i="3"/>
  <c r="D943" i="3" s="1"/>
  <c r="C944" i="3"/>
  <c r="D944" i="3" s="1"/>
  <c r="C945" i="3"/>
  <c r="D945" i="3" s="1"/>
  <c r="C946" i="3"/>
  <c r="D946" i="3" s="1"/>
  <c r="C947" i="3"/>
  <c r="D947" i="3" s="1"/>
  <c r="C948" i="3"/>
  <c r="D948" i="3" s="1"/>
  <c r="C949" i="3"/>
  <c r="D949" i="3" s="1"/>
  <c r="C950" i="3"/>
  <c r="D950" i="3" s="1"/>
  <c r="C951" i="3"/>
  <c r="D951" i="3" s="1"/>
  <c r="C952" i="3"/>
  <c r="D952" i="3" s="1"/>
  <c r="C953" i="3"/>
  <c r="D953" i="3" s="1"/>
  <c r="C954" i="3"/>
  <c r="D954" i="3" s="1"/>
  <c r="C955" i="3"/>
  <c r="D955" i="3" s="1"/>
  <c r="C956" i="3"/>
  <c r="D956" i="3" s="1"/>
  <c r="C957" i="3"/>
  <c r="D957" i="3" s="1"/>
  <c r="C958" i="3"/>
  <c r="D958" i="3" s="1"/>
  <c r="C959" i="3"/>
  <c r="D959" i="3" s="1"/>
  <c r="C960" i="3"/>
  <c r="D960" i="3" s="1"/>
  <c r="C961" i="3"/>
  <c r="D961" i="3" s="1"/>
  <c r="C962" i="3"/>
  <c r="D962" i="3" s="1"/>
  <c r="C963" i="3"/>
  <c r="D963" i="3" s="1"/>
  <c r="C964" i="3"/>
  <c r="D964" i="3" s="1"/>
  <c r="C965" i="3"/>
  <c r="D965" i="3" s="1"/>
  <c r="C966" i="3"/>
  <c r="D966" i="3" s="1"/>
  <c r="C967" i="3"/>
  <c r="D967" i="3" s="1"/>
  <c r="C968" i="3"/>
  <c r="D968" i="3" s="1"/>
  <c r="C969" i="3"/>
  <c r="D969" i="3" s="1"/>
  <c r="C970" i="3"/>
  <c r="D970" i="3" s="1"/>
  <c r="C971" i="3"/>
  <c r="D971" i="3" s="1"/>
  <c r="C972" i="3"/>
  <c r="D972" i="3" s="1"/>
  <c r="C973" i="3"/>
  <c r="D973" i="3" s="1"/>
  <c r="C974" i="3"/>
  <c r="D974" i="3" s="1"/>
  <c r="C975" i="3"/>
  <c r="D975" i="3" s="1"/>
  <c r="C976" i="3"/>
  <c r="D976" i="3" s="1"/>
  <c r="C977" i="3"/>
  <c r="D977" i="3" s="1"/>
  <c r="C978" i="3"/>
  <c r="D978" i="3" s="1"/>
  <c r="C979" i="3"/>
  <c r="D979" i="3" s="1"/>
  <c r="C980" i="3"/>
  <c r="D980" i="3" s="1"/>
  <c r="C981" i="3"/>
  <c r="D981" i="3" s="1"/>
  <c r="C982" i="3"/>
  <c r="D982" i="3" s="1"/>
  <c r="C983" i="3"/>
  <c r="D983" i="3" s="1"/>
  <c r="C984" i="3"/>
  <c r="D984" i="3" s="1"/>
  <c r="C985" i="3"/>
  <c r="D985" i="3" s="1"/>
  <c r="C986" i="3"/>
  <c r="D986" i="3" s="1"/>
  <c r="C987" i="3"/>
  <c r="D987" i="3" s="1"/>
  <c r="C988" i="3"/>
  <c r="D988" i="3" s="1"/>
  <c r="C989" i="3"/>
  <c r="D989" i="3" s="1"/>
  <c r="C990" i="3"/>
  <c r="D990" i="3" s="1"/>
  <c r="C991" i="3"/>
  <c r="D991" i="3" s="1"/>
  <c r="C992" i="3"/>
  <c r="D992" i="3" s="1"/>
  <c r="C993" i="3"/>
  <c r="D993" i="3" s="1"/>
  <c r="C994" i="3"/>
  <c r="D994" i="3" s="1"/>
  <c r="C995" i="3"/>
  <c r="D995" i="3" s="1"/>
  <c r="C996" i="3"/>
  <c r="D996" i="3" s="1"/>
  <c r="C997" i="3"/>
  <c r="D997" i="3" s="1"/>
  <c r="C998" i="3"/>
  <c r="D998" i="3" s="1"/>
  <c r="C999" i="3"/>
  <c r="D999" i="3" s="1"/>
  <c r="C1000" i="3"/>
  <c r="D1000" i="3" s="1"/>
  <c r="C1001" i="3"/>
  <c r="D1001" i="3" s="1"/>
  <c r="C1002" i="3"/>
  <c r="D1002" i="3" s="1"/>
  <c r="C1003" i="3"/>
  <c r="D1003" i="3" s="1"/>
  <c r="C1004" i="3"/>
  <c r="D1004" i="3" s="1"/>
  <c r="C1005" i="3"/>
  <c r="D1005" i="3" s="1"/>
  <c r="C1006" i="3"/>
  <c r="D1006" i="3" s="1"/>
  <c r="C1007" i="3"/>
  <c r="D1007" i="3" s="1"/>
  <c r="C1008" i="3"/>
  <c r="D1008" i="3" s="1"/>
  <c r="C1009" i="3"/>
  <c r="D1009" i="3" s="1"/>
  <c r="C1010" i="3"/>
  <c r="D1010" i="3" s="1"/>
  <c r="C1011" i="3"/>
  <c r="D1011" i="3" s="1"/>
  <c r="C1012" i="3"/>
  <c r="D1012" i="3" s="1"/>
  <c r="C1013" i="3"/>
  <c r="D1013" i="3" s="1"/>
  <c r="C1014" i="3"/>
  <c r="D1014" i="3" s="1"/>
  <c r="C1015" i="3"/>
  <c r="D1015" i="3" s="1"/>
  <c r="C1016" i="3"/>
  <c r="D1016" i="3" s="1"/>
  <c r="C1017" i="3"/>
  <c r="D1017" i="3" s="1"/>
  <c r="C1018" i="3"/>
  <c r="D1018" i="3" s="1"/>
  <c r="C1019" i="3"/>
  <c r="D1019" i="3" s="1"/>
  <c r="C1020" i="3"/>
  <c r="D1020" i="3" s="1"/>
  <c r="C1021" i="3"/>
  <c r="D1021" i="3" s="1"/>
  <c r="C1022" i="3"/>
  <c r="D1022" i="3" s="1"/>
  <c r="C1023" i="3"/>
  <c r="D1023" i="3" s="1"/>
  <c r="C1024" i="3"/>
  <c r="D1024" i="3" s="1"/>
  <c r="C1025" i="3"/>
  <c r="D1025" i="3" s="1"/>
  <c r="C1026" i="3"/>
  <c r="D1026" i="3" s="1"/>
  <c r="C1027" i="3"/>
  <c r="D1027" i="3" s="1"/>
  <c r="C1028" i="3"/>
  <c r="D1028" i="3" s="1"/>
  <c r="C1029" i="3"/>
  <c r="D1029" i="3" s="1"/>
  <c r="C1030" i="3"/>
  <c r="D1030" i="3" s="1"/>
  <c r="C1031" i="3"/>
  <c r="D1031" i="3" s="1"/>
  <c r="C1032" i="3"/>
  <c r="D1032" i="3" s="1"/>
  <c r="C1033" i="3"/>
  <c r="D1033" i="3" s="1"/>
  <c r="C1034" i="3"/>
  <c r="D1034" i="3" s="1"/>
  <c r="C1035" i="3"/>
  <c r="D1035" i="3" s="1"/>
  <c r="C1036" i="3"/>
  <c r="D1036" i="3" s="1"/>
  <c r="C1037" i="3"/>
  <c r="D1037" i="3" s="1"/>
  <c r="C1038" i="3"/>
  <c r="D1038" i="3" s="1"/>
  <c r="C1039" i="3"/>
  <c r="D1039" i="3" s="1"/>
  <c r="C1040" i="3"/>
  <c r="D1040" i="3" s="1"/>
  <c r="C1041" i="3"/>
  <c r="D1041" i="3" s="1"/>
  <c r="C1042" i="3"/>
  <c r="D1042" i="3" s="1"/>
  <c r="C1043" i="3"/>
  <c r="D1043" i="3" s="1"/>
  <c r="C1044" i="3"/>
  <c r="D1044" i="3" s="1"/>
  <c r="C1045" i="3"/>
  <c r="D1045" i="3" s="1"/>
  <c r="C1046" i="3"/>
  <c r="D1046" i="3" s="1"/>
  <c r="C1047" i="3"/>
  <c r="D1047" i="3" s="1"/>
  <c r="C1048" i="3"/>
  <c r="D1048" i="3" s="1"/>
  <c r="C1049" i="3"/>
  <c r="D1049" i="3" s="1"/>
  <c r="C1050" i="3"/>
  <c r="D1050" i="3" s="1"/>
  <c r="C1051" i="3"/>
  <c r="D1051" i="3" s="1"/>
  <c r="C1052" i="3"/>
  <c r="D1052" i="3" s="1"/>
  <c r="C1053" i="3"/>
  <c r="D1053" i="3" s="1"/>
  <c r="C1054" i="3"/>
  <c r="D1054" i="3" s="1"/>
  <c r="C1055" i="3"/>
  <c r="D1055" i="3" s="1"/>
  <c r="C1056" i="3"/>
  <c r="D1056" i="3" s="1"/>
  <c r="C1057" i="3"/>
  <c r="D1057" i="3" s="1"/>
  <c r="C1058" i="3"/>
  <c r="D1058" i="3" s="1"/>
  <c r="C1059" i="3"/>
  <c r="D1059" i="3" s="1"/>
  <c r="C1060" i="3"/>
  <c r="D1060" i="3" s="1"/>
  <c r="C1061" i="3"/>
  <c r="D1061" i="3" s="1"/>
  <c r="C1062" i="3"/>
  <c r="D1062" i="3" s="1"/>
  <c r="C1063" i="3"/>
  <c r="D1063" i="3" s="1"/>
  <c r="C1064" i="3"/>
  <c r="D1064" i="3" s="1"/>
  <c r="C1065" i="3"/>
  <c r="D1065" i="3" s="1"/>
  <c r="C1066" i="3"/>
  <c r="D1066" i="3" s="1"/>
  <c r="C1067" i="3"/>
  <c r="D1067" i="3" s="1"/>
  <c r="C1068" i="3"/>
  <c r="D1068" i="3" s="1"/>
  <c r="C1069" i="3"/>
  <c r="D1069" i="3" s="1"/>
  <c r="C1070" i="3"/>
  <c r="D1070" i="3" s="1"/>
  <c r="C1071" i="3"/>
  <c r="D1071" i="3" s="1"/>
  <c r="C1072" i="3"/>
  <c r="D1072" i="3" s="1"/>
  <c r="C1073" i="3"/>
  <c r="D1073" i="3" s="1"/>
  <c r="C1074" i="3"/>
  <c r="D1074" i="3" s="1"/>
  <c r="C1075" i="3"/>
  <c r="D1075" i="3" s="1"/>
  <c r="C1076" i="3"/>
  <c r="D1076" i="3" s="1"/>
  <c r="C1077" i="3"/>
  <c r="D1077" i="3" s="1"/>
  <c r="C1078" i="3"/>
  <c r="D1078" i="3" s="1"/>
  <c r="C1079" i="3"/>
  <c r="D1079" i="3" s="1"/>
  <c r="C1080" i="3"/>
  <c r="D1080" i="3" s="1"/>
  <c r="C1081" i="3"/>
  <c r="D1081" i="3" s="1"/>
  <c r="C1082" i="3"/>
  <c r="D1082" i="3" s="1"/>
  <c r="C1083" i="3"/>
  <c r="D1083" i="3" s="1"/>
  <c r="C1084" i="3"/>
  <c r="D1084" i="3" s="1"/>
  <c r="C1085" i="3"/>
  <c r="D1085" i="3" s="1"/>
  <c r="C1086" i="3"/>
  <c r="D1086" i="3" s="1"/>
  <c r="C1087" i="3"/>
  <c r="D1087" i="3" s="1"/>
  <c r="C1088" i="3"/>
  <c r="D1088" i="3" s="1"/>
  <c r="C1089" i="3"/>
  <c r="D1089" i="3" s="1"/>
  <c r="C1090" i="3"/>
  <c r="D1090" i="3" s="1"/>
  <c r="C1091" i="3"/>
  <c r="D1091" i="3" s="1"/>
  <c r="C1092" i="3"/>
  <c r="D1092" i="3" s="1"/>
  <c r="C1093" i="3"/>
  <c r="D1093" i="3" s="1"/>
  <c r="C1094" i="3"/>
  <c r="D1094" i="3" s="1"/>
  <c r="C1095" i="3"/>
  <c r="D1095" i="3" s="1"/>
  <c r="C1096" i="3"/>
  <c r="D1096" i="3" s="1"/>
  <c r="C1097" i="3"/>
  <c r="D1097" i="3" s="1"/>
  <c r="C1098" i="3"/>
  <c r="D1098" i="3" s="1"/>
  <c r="C1099" i="3"/>
  <c r="D1099" i="3" s="1"/>
  <c r="C1100" i="3"/>
  <c r="D1100" i="3" s="1"/>
  <c r="C1101" i="3"/>
  <c r="D1101" i="3" s="1"/>
  <c r="C1102" i="3"/>
  <c r="D1102" i="3" s="1"/>
  <c r="C1103" i="3"/>
  <c r="D1103" i="3" s="1"/>
  <c r="C1104" i="3"/>
  <c r="D1104" i="3" s="1"/>
  <c r="C1105" i="3"/>
  <c r="D1105" i="3" s="1"/>
  <c r="C1106" i="3"/>
  <c r="D1106" i="3" s="1"/>
  <c r="C1107" i="3"/>
  <c r="D1107" i="3" s="1"/>
  <c r="C1108" i="3"/>
  <c r="D1108" i="3" s="1"/>
  <c r="C1109" i="3"/>
  <c r="D1109" i="3" s="1"/>
  <c r="C1110" i="3"/>
  <c r="D1110" i="3" s="1"/>
  <c r="C1111" i="3"/>
  <c r="D1111" i="3" s="1"/>
  <c r="C1112" i="3"/>
  <c r="D1112" i="3" s="1"/>
  <c r="C1113" i="3"/>
  <c r="D1113" i="3" s="1"/>
  <c r="C1114" i="3"/>
  <c r="D1114" i="3" s="1"/>
  <c r="C1115" i="3"/>
  <c r="D1115" i="3" s="1"/>
  <c r="C1116" i="3"/>
  <c r="D1116" i="3" s="1"/>
  <c r="C1117" i="3"/>
  <c r="D1117" i="3" s="1"/>
  <c r="C1118" i="3"/>
  <c r="D1118" i="3" s="1"/>
  <c r="C1119" i="3"/>
  <c r="D1119" i="3" s="1"/>
  <c r="C1120" i="3"/>
  <c r="D1120" i="3" s="1"/>
  <c r="C1121" i="3"/>
  <c r="D1121" i="3" s="1"/>
  <c r="C1122" i="3"/>
  <c r="D1122" i="3" s="1"/>
  <c r="C1123" i="3"/>
  <c r="D1123" i="3" s="1"/>
  <c r="C1124" i="3"/>
  <c r="D1124" i="3" s="1"/>
  <c r="C1125" i="3"/>
  <c r="D1125" i="3" s="1"/>
  <c r="C1126" i="3"/>
  <c r="D1126" i="3" s="1"/>
  <c r="C1127" i="3"/>
  <c r="D1127" i="3" s="1"/>
  <c r="C1128" i="3"/>
  <c r="D1128" i="3" s="1"/>
  <c r="C1129" i="3"/>
  <c r="D1129" i="3" s="1"/>
  <c r="C1130" i="3"/>
  <c r="D1130" i="3" s="1"/>
  <c r="C1131" i="3"/>
  <c r="D1131" i="3" s="1"/>
  <c r="C1132" i="3"/>
  <c r="D1132" i="3" s="1"/>
  <c r="C1133" i="3"/>
  <c r="D1133" i="3" s="1"/>
  <c r="C1134" i="3"/>
  <c r="D1134" i="3" s="1"/>
  <c r="C1135" i="3"/>
  <c r="D1135" i="3" s="1"/>
  <c r="C1136" i="3"/>
  <c r="D1136" i="3" s="1"/>
  <c r="C1137" i="3"/>
  <c r="D1137" i="3" s="1"/>
  <c r="C1138" i="3"/>
  <c r="D1138" i="3" s="1"/>
  <c r="C1139" i="3"/>
  <c r="D1139" i="3" s="1"/>
  <c r="C1140" i="3"/>
  <c r="D1140" i="3" s="1"/>
  <c r="C1141" i="3"/>
  <c r="D1141" i="3" s="1"/>
  <c r="C1142" i="3"/>
  <c r="D1142" i="3" s="1"/>
  <c r="C1143" i="3"/>
  <c r="D1143" i="3" s="1"/>
  <c r="C1144" i="3"/>
  <c r="D1144" i="3" s="1"/>
  <c r="C1145" i="3"/>
  <c r="D1145" i="3" s="1"/>
  <c r="C1146" i="3"/>
  <c r="D1146" i="3" s="1"/>
  <c r="C1147" i="3"/>
  <c r="D1147" i="3" s="1"/>
  <c r="C1148" i="3"/>
  <c r="D1148" i="3" s="1"/>
  <c r="C1149" i="3"/>
  <c r="D1149" i="3" s="1"/>
  <c r="C1150" i="3"/>
  <c r="D1150" i="3" s="1"/>
  <c r="C1151" i="3"/>
  <c r="D1151" i="3" s="1"/>
  <c r="C1152" i="3"/>
  <c r="D1152" i="3" s="1"/>
  <c r="C1153" i="3"/>
  <c r="D1153" i="3" s="1"/>
  <c r="C1154" i="3"/>
  <c r="D1154" i="3" s="1"/>
  <c r="C1155" i="3"/>
  <c r="D1155" i="3" s="1"/>
  <c r="C1156" i="3"/>
  <c r="D1156" i="3" s="1"/>
  <c r="C1157" i="3"/>
  <c r="D1157" i="3" s="1"/>
  <c r="C1158" i="3"/>
  <c r="D1158" i="3" s="1"/>
  <c r="C1159" i="3"/>
  <c r="D1159" i="3" s="1"/>
  <c r="C1160" i="3"/>
  <c r="D1160" i="3" s="1"/>
  <c r="C1161" i="3"/>
  <c r="D1161" i="3" s="1"/>
  <c r="C1162" i="3"/>
  <c r="D1162" i="3" s="1"/>
  <c r="C1163" i="3"/>
  <c r="D1163" i="3" s="1"/>
  <c r="C1164" i="3"/>
  <c r="D1164" i="3" s="1"/>
  <c r="C1165" i="3"/>
  <c r="D1165" i="3" s="1"/>
  <c r="C1166" i="3"/>
  <c r="D1166" i="3" s="1"/>
  <c r="C1167" i="3"/>
  <c r="D1167" i="3" s="1"/>
  <c r="C1168" i="3"/>
  <c r="D1168" i="3" s="1"/>
  <c r="C1169" i="3"/>
  <c r="D1169" i="3" s="1"/>
  <c r="C1170" i="3"/>
  <c r="D1170" i="3" s="1"/>
  <c r="C1171" i="3"/>
  <c r="D1171" i="3" s="1"/>
  <c r="C1172" i="3"/>
  <c r="D1172" i="3" s="1"/>
  <c r="C1173" i="3"/>
  <c r="D1173" i="3" s="1"/>
  <c r="C1174" i="3"/>
  <c r="D1174" i="3" s="1"/>
  <c r="C1175" i="3"/>
  <c r="D1175" i="3" s="1"/>
  <c r="C1176" i="3"/>
  <c r="D1176" i="3" s="1"/>
  <c r="C1177" i="3"/>
  <c r="D1177" i="3" s="1"/>
  <c r="C1178" i="3"/>
  <c r="D1178" i="3" s="1"/>
  <c r="C1179" i="3"/>
  <c r="D1179" i="3" s="1"/>
  <c r="C1180" i="3"/>
  <c r="D1180" i="3" s="1"/>
  <c r="C1181" i="3"/>
  <c r="D1181" i="3" s="1"/>
  <c r="C1182" i="3"/>
  <c r="D1182" i="3" s="1"/>
  <c r="C1183" i="3"/>
  <c r="D1183" i="3" s="1"/>
  <c r="C1184" i="3"/>
  <c r="D1184" i="3" s="1"/>
  <c r="C1185" i="3"/>
  <c r="D1185" i="3" s="1"/>
  <c r="C1186" i="3"/>
  <c r="D1186" i="3" s="1"/>
  <c r="C1187" i="3"/>
  <c r="D1187" i="3" s="1"/>
  <c r="C1188" i="3"/>
  <c r="D1188" i="3" s="1"/>
  <c r="C1189" i="3"/>
  <c r="D1189" i="3" s="1"/>
  <c r="C1190" i="3"/>
  <c r="D1190" i="3" s="1"/>
  <c r="C1191" i="3"/>
  <c r="D1191" i="3" s="1"/>
  <c r="C1192" i="3"/>
  <c r="D1192" i="3" s="1"/>
  <c r="C1193" i="3"/>
  <c r="D1193" i="3" s="1"/>
  <c r="C1194" i="3"/>
  <c r="D1194" i="3" s="1"/>
  <c r="C1195" i="3"/>
  <c r="D1195" i="3" s="1"/>
  <c r="C1196" i="3"/>
  <c r="D1196" i="3" s="1"/>
  <c r="C1197" i="3"/>
  <c r="D1197" i="3" s="1"/>
  <c r="C1198" i="3"/>
  <c r="D1198" i="3" s="1"/>
  <c r="C1199" i="3"/>
  <c r="D1199" i="3" s="1"/>
  <c r="C1200" i="3"/>
  <c r="D1200" i="3" s="1"/>
  <c r="C1201" i="3"/>
  <c r="D1201" i="3" s="1"/>
  <c r="C1202" i="3"/>
  <c r="D1202" i="3" s="1"/>
  <c r="C1203" i="3"/>
  <c r="D1203" i="3" s="1"/>
  <c r="C1204" i="3"/>
  <c r="D1204" i="3" s="1"/>
  <c r="C1205" i="3"/>
  <c r="D1205" i="3" s="1"/>
  <c r="C1206" i="3"/>
  <c r="D1206" i="3" s="1"/>
  <c r="C1207" i="3"/>
  <c r="D1207" i="3" s="1"/>
  <c r="C1208" i="3"/>
  <c r="D1208" i="3" s="1"/>
  <c r="C1209" i="3"/>
  <c r="D1209" i="3" s="1"/>
  <c r="C1210" i="3"/>
  <c r="D1210" i="3" s="1"/>
  <c r="C1211" i="3"/>
  <c r="D1211" i="3" s="1"/>
  <c r="C1212" i="3"/>
  <c r="D1212" i="3" s="1"/>
  <c r="C1213" i="3"/>
  <c r="D1213" i="3" s="1"/>
  <c r="C1214" i="3"/>
  <c r="D1214" i="3" s="1"/>
  <c r="C1215" i="3"/>
  <c r="D1215" i="3" s="1"/>
  <c r="C1216" i="3"/>
  <c r="D1216" i="3" s="1"/>
  <c r="C1217" i="3"/>
  <c r="D1217" i="3" s="1"/>
  <c r="C1218" i="3"/>
  <c r="D1218" i="3" s="1"/>
  <c r="C1219" i="3"/>
  <c r="D1219" i="3" s="1"/>
  <c r="C1220" i="3"/>
  <c r="D1220" i="3" s="1"/>
  <c r="C1221" i="3"/>
  <c r="D1221" i="3" s="1"/>
  <c r="C1222" i="3"/>
  <c r="D1222" i="3" s="1"/>
  <c r="C1223" i="3"/>
  <c r="D1223" i="3" s="1"/>
  <c r="C1224" i="3"/>
  <c r="D1224" i="3" s="1"/>
  <c r="C1225" i="3"/>
  <c r="D1225" i="3" s="1"/>
  <c r="C1226" i="3"/>
  <c r="D1226" i="3" s="1"/>
  <c r="C1227" i="3"/>
  <c r="D1227" i="3" s="1"/>
  <c r="C1228" i="3"/>
  <c r="D1228" i="3" s="1"/>
  <c r="C1229" i="3"/>
  <c r="D1229" i="3" s="1"/>
  <c r="C1230" i="3"/>
  <c r="D1230" i="3" s="1"/>
  <c r="C1231" i="3"/>
  <c r="D1231" i="3" s="1"/>
  <c r="C1232" i="3"/>
  <c r="D1232" i="3" s="1"/>
  <c r="C1233" i="3"/>
  <c r="D1233" i="3" s="1"/>
  <c r="C1234" i="3"/>
  <c r="D1234" i="3" s="1"/>
  <c r="C1235" i="3"/>
  <c r="D1235" i="3" s="1"/>
  <c r="C1236" i="3"/>
  <c r="D1236" i="3" s="1"/>
  <c r="C1237" i="3"/>
  <c r="D1237" i="3" s="1"/>
  <c r="C1238" i="3"/>
  <c r="D1238" i="3" s="1"/>
  <c r="C1239" i="3"/>
  <c r="D1239" i="3" s="1"/>
  <c r="C1240" i="3"/>
  <c r="D1240" i="3" s="1"/>
  <c r="C1241" i="3"/>
  <c r="D1241" i="3" s="1"/>
  <c r="C1242" i="3"/>
  <c r="D1242" i="3" s="1"/>
  <c r="C1243" i="3"/>
  <c r="D1243" i="3" s="1"/>
  <c r="C1244" i="3"/>
  <c r="D1244" i="3" s="1"/>
  <c r="C1245" i="3"/>
  <c r="D1245" i="3" s="1"/>
  <c r="C1246" i="3"/>
  <c r="D1246" i="3" s="1"/>
  <c r="C1247" i="3"/>
  <c r="D1247" i="3" s="1"/>
  <c r="C1248" i="3"/>
  <c r="D1248" i="3" s="1"/>
  <c r="C1249" i="3"/>
  <c r="D1249" i="3" s="1"/>
  <c r="C1250" i="3"/>
  <c r="D1250" i="3" s="1"/>
  <c r="C1251" i="3"/>
  <c r="D1251" i="3" s="1"/>
  <c r="C1252" i="3"/>
  <c r="D1252" i="3" s="1"/>
  <c r="C1253" i="3"/>
  <c r="D1253" i="3" s="1"/>
  <c r="C1254" i="3"/>
  <c r="D1254" i="3" s="1"/>
  <c r="C1255" i="3"/>
  <c r="D1255" i="3" s="1"/>
  <c r="C1256" i="3"/>
  <c r="D1256" i="3" s="1"/>
  <c r="C1257" i="3"/>
  <c r="D1257" i="3" s="1"/>
  <c r="C1258" i="3"/>
  <c r="D1258" i="3" s="1"/>
  <c r="C1259" i="3"/>
  <c r="D1259" i="3" s="1"/>
  <c r="C1260" i="3"/>
  <c r="D1260" i="3" s="1"/>
  <c r="C1261" i="3"/>
  <c r="D1261" i="3" s="1"/>
  <c r="C1262" i="3"/>
  <c r="D1262" i="3" s="1"/>
  <c r="C1263" i="3"/>
  <c r="D1263" i="3" s="1"/>
  <c r="C1264" i="3"/>
  <c r="D1264" i="3" s="1"/>
  <c r="C1265" i="3"/>
  <c r="D1265" i="3" s="1"/>
  <c r="C1266" i="3"/>
  <c r="D1266" i="3" s="1"/>
  <c r="C1267" i="3"/>
  <c r="D1267" i="3" s="1"/>
  <c r="C1268" i="3"/>
  <c r="D1268" i="3" s="1"/>
  <c r="C1269" i="3"/>
  <c r="D1269" i="3" s="1"/>
  <c r="C1270" i="3"/>
  <c r="D1270" i="3" s="1"/>
  <c r="C1271" i="3"/>
  <c r="D1271" i="3" s="1"/>
  <c r="C1272" i="3"/>
  <c r="D1272" i="3" s="1"/>
  <c r="C1273" i="3"/>
  <c r="D1273" i="3" s="1"/>
  <c r="C1274" i="3"/>
  <c r="D1274" i="3" s="1"/>
  <c r="C1275" i="3"/>
  <c r="D1275" i="3" s="1"/>
  <c r="C1276" i="3"/>
  <c r="D1276" i="3" s="1"/>
  <c r="C1277" i="3"/>
  <c r="D1277" i="3" s="1"/>
  <c r="C1278" i="3"/>
  <c r="D1278" i="3" s="1"/>
  <c r="C1279" i="3"/>
  <c r="D1279" i="3" s="1"/>
  <c r="C1280" i="3"/>
  <c r="D1280" i="3" s="1"/>
  <c r="C1281" i="3"/>
  <c r="D1281" i="3" s="1"/>
  <c r="C1282" i="3"/>
  <c r="D1282" i="3" s="1"/>
  <c r="C1283" i="3"/>
  <c r="D1283" i="3" s="1"/>
  <c r="C1284" i="3"/>
  <c r="D1284" i="3" s="1"/>
  <c r="C1285" i="3"/>
  <c r="D1285" i="3" s="1"/>
  <c r="C1286" i="3"/>
  <c r="D1286" i="3" s="1"/>
  <c r="C1287" i="3"/>
  <c r="D1287" i="3" s="1"/>
  <c r="C1288" i="3"/>
  <c r="D1288" i="3" s="1"/>
  <c r="C1289" i="3"/>
  <c r="D1289" i="3" s="1"/>
  <c r="C1290" i="3"/>
  <c r="D1290" i="3" s="1"/>
  <c r="C1291" i="3"/>
  <c r="D1291" i="3" s="1"/>
  <c r="C1292" i="3"/>
  <c r="D1292" i="3" s="1"/>
  <c r="C1293" i="3"/>
  <c r="D1293" i="3" s="1"/>
  <c r="C1294" i="3"/>
  <c r="D1294" i="3" s="1"/>
  <c r="C1295" i="3"/>
  <c r="D1295" i="3" s="1"/>
  <c r="C1296" i="3"/>
  <c r="D1296" i="3" s="1"/>
  <c r="C1297" i="3"/>
  <c r="D1297" i="3" s="1"/>
  <c r="C1298" i="3"/>
  <c r="D1298" i="3" s="1"/>
  <c r="C1299" i="3"/>
  <c r="D1299" i="3" s="1"/>
  <c r="C1300" i="3"/>
  <c r="D1300" i="3" s="1"/>
  <c r="C1301" i="3"/>
  <c r="D1301" i="3" s="1"/>
  <c r="C1302" i="3"/>
  <c r="D1302" i="3" s="1"/>
  <c r="C1303" i="3"/>
  <c r="D1303" i="3" s="1"/>
  <c r="C1304" i="3"/>
  <c r="D1304" i="3" s="1"/>
  <c r="C1305" i="3"/>
  <c r="D1305" i="3" s="1"/>
  <c r="C1306" i="3"/>
  <c r="D1306" i="3" s="1"/>
  <c r="C1307" i="3"/>
  <c r="D1307" i="3" s="1"/>
  <c r="C1308" i="3"/>
  <c r="D1308" i="3" s="1"/>
  <c r="C1309" i="3"/>
  <c r="D1309" i="3" s="1"/>
  <c r="C1310" i="3"/>
  <c r="D1310" i="3" s="1"/>
  <c r="C1311" i="3"/>
  <c r="D1311" i="3" s="1"/>
  <c r="C1312" i="3"/>
  <c r="D1312" i="3" s="1"/>
  <c r="C1313" i="3"/>
  <c r="D1313" i="3" s="1"/>
  <c r="C1314" i="3"/>
  <c r="D1314" i="3" s="1"/>
  <c r="C1315" i="3"/>
  <c r="D1315" i="3" s="1"/>
  <c r="C1316" i="3"/>
  <c r="D1316" i="3" s="1"/>
  <c r="C1317" i="3"/>
  <c r="D1317" i="3" s="1"/>
  <c r="C1318" i="3"/>
  <c r="D1318" i="3" s="1"/>
  <c r="C1319" i="3"/>
  <c r="D1319" i="3" s="1"/>
  <c r="C1320" i="3"/>
  <c r="D1320" i="3" s="1"/>
  <c r="C1321" i="3"/>
  <c r="D1321" i="3" s="1"/>
  <c r="C1322" i="3"/>
  <c r="D1322" i="3" s="1"/>
  <c r="C1323" i="3"/>
  <c r="D1323" i="3" s="1"/>
  <c r="C1324" i="3"/>
  <c r="D1324" i="3" s="1"/>
  <c r="C1325" i="3"/>
  <c r="D1325" i="3" s="1"/>
  <c r="C1326" i="3"/>
  <c r="D1326" i="3" s="1"/>
  <c r="C1327" i="3"/>
  <c r="D1327" i="3" s="1"/>
  <c r="C1328" i="3"/>
  <c r="D1328" i="3" s="1"/>
  <c r="C1329" i="3"/>
  <c r="D1329" i="3" s="1"/>
  <c r="C1330" i="3"/>
  <c r="D1330" i="3" s="1"/>
  <c r="C1331" i="3"/>
  <c r="D1331" i="3" s="1"/>
  <c r="C1332" i="3"/>
  <c r="D1332" i="3" s="1"/>
  <c r="C1333" i="3"/>
  <c r="D1333" i="3" s="1"/>
  <c r="C1334" i="3"/>
  <c r="D1334" i="3" s="1"/>
  <c r="C1335" i="3"/>
  <c r="D1335" i="3" s="1"/>
  <c r="C1336" i="3"/>
  <c r="D1336" i="3" s="1"/>
  <c r="C1337" i="3"/>
  <c r="D1337" i="3" s="1"/>
  <c r="C1338" i="3"/>
  <c r="D1338" i="3" s="1"/>
  <c r="C1339" i="3"/>
  <c r="D1339" i="3" s="1"/>
  <c r="C1340" i="3"/>
  <c r="D1340" i="3" s="1"/>
  <c r="C1341" i="3"/>
  <c r="D1341" i="3" s="1"/>
  <c r="C1342" i="3"/>
  <c r="D1342" i="3" s="1"/>
  <c r="C1343" i="3"/>
  <c r="D1343" i="3" s="1"/>
  <c r="C1344" i="3"/>
  <c r="D1344" i="3" s="1"/>
  <c r="C1345" i="3"/>
  <c r="D1345" i="3" s="1"/>
  <c r="C1346" i="3"/>
  <c r="D1346" i="3" s="1"/>
  <c r="C1347" i="3"/>
  <c r="D1347" i="3" s="1"/>
  <c r="C1348" i="3"/>
  <c r="D1348" i="3" s="1"/>
  <c r="C1349" i="3"/>
  <c r="D1349" i="3" s="1"/>
  <c r="C1350" i="3"/>
  <c r="D1350" i="3" s="1"/>
  <c r="C1351" i="3"/>
  <c r="D1351" i="3" s="1"/>
  <c r="C1352" i="3"/>
  <c r="D1352" i="3" s="1"/>
  <c r="C1353" i="3"/>
  <c r="D1353" i="3" s="1"/>
  <c r="C1354" i="3"/>
  <c r="D1354" i="3" s="1"/>
  <c r="C1355" i="3"/>
  <c r="D1355" i="3" s="1"/>
  <c r="C1356" i="3"/>
  <c r="D1356" i="3" s="1"/>
  <c r="C1357" i="3"/>
  <c r="D1357" i="3" s="1"/>
  <c r="C1358" i="3"/>
  <c r="D1358" i="3" s="1"/>
  <c r="C1359" i="3"/>
  <c r="D1359" i="3" s="1"/>
  <c r="C1360" i="3"/>
  <c r="D1360" i="3" s="1"/>
  <c r="C1361" i="3"/>
  <c r="D1361" i="3" s="1"/>
  <c r="C1362" i="3"/>
  <c r="D1362" i="3" s="1"/>
  <c r="C1363" i="3"/>
  <c r="D1363" i="3" s="1"/>
  <c r="C1364" i="3"/>
  <c r="D1364" i="3" s="1"/>
  <c r="C1365" i="3"/>
  <c r="D1365" i="3" s="1"/>
  <c r="C1366" i="3"/>
  <c r="D1366" i="3" s="1"/>
  <c r="C1367" i="3"/>
  <c r="D1367" i="3" s="1"/>
  <c r="C1368" i="3"/>
  <c r="D1368" i="3" s="1"/>
  <c r="C1369" i="3"/>
  <c r="D1369" i="3" s="1"/>
  <c r="C1370" i="3"/>
  <c r="D1370" i="3" s="1"/>
  <c r="C1371" i="3"/>
  <c r="D1371" i="3" s="1"/>
  <c r="C1372" i="3"/>
  <c r="D1372" i="3" s="1"/>
  <c r="C1373" i="3"/>
  <c r="D1373" i="3" s="1"/>
  <c r="C1374" i="3"/>
  <c r="D1374" i="3" s="1"/>
  <c r="C1375" i="3"/>
  <c r="D1375" i="3" s="1"/>
  <c r="C1376" i="3"/>
  <c r="D1376" i="3" s="1"/>
  <c r="C1377" i="3"/>
  <c r="D1377" i="3" s="1"/>
  <c r="C1378" i="3"/>
  <c r="D1378" i="3" s="1"/>
  <c r="C1379" i="3"/>
  <c r="D1379" i="3" s="1"/>
  <c r="C1380" i="3"/>
  <c r="D1380" i="3" s="1"/>
  <c r="C1381" i="3"/>
  <c r="D1381" i="3" s="1"/>
  <c r="C1382" i="3"/>
  <c r="D1382" i="3" s="1"/>
  <c r="C1383" i="3"/>
  <c r="D1383" i="3" s="1"/>
  <c r="C1384" i="3"/>
  <c r="D1384" i="3" s="1"/>
  <c r="C1385" i="3"/>
  <c r="D1385" i="3" s="1"/>
  <c r="C1386" i="3"/>
  <c r="D1386" i="3" s="1"/>
  <c r="C1387" i="3"/>
  <c r="D1387" i="3" s="1"/>
  <c r="C1388" i="3"/>
  <c r="D1388" i="3" s="1"/>
  <c r="C1389" i="3"/>
  <c r="D1389" i="3" s="1"/>
  <c r="C1390" i="3"/>
  <c r="D1390" i="3" s="1"/>
  <c r="C1391" i="3"/>
  <c r="D1391" i="3" s="1"/>
  <c r="C1392" i="3"/>
  <c r="D1392" i="3" s="1"/>
  <c r="C1393" i="3"/>
  <c r="D1393" i="3" s="1"/>
  <c r="C1394" i="3"/>
  <c r="D1394" i="3" s="1"/>
  <c r="C1395" i="3"/>
  <c r="D1395" i="3" s="1"/>
  <c r="C1396" i="3"/>
  <c r="D1396" i="3" s="1"/>
  <c r="C1397" i="3"/>
  <c r="D1397" i="3" s="1"/>
  <c r="C1398" i="3"/>
  <c r="D1398" i="3" s="1"/>
  <c r="C1399" i="3"/>
  <c r="D1399" i="3" s="1"/>
  <c r="C1400" i="3"/>
  <c r="D1400" i="3" s="1"/>
  <c r="C1401" i="3"/>
  <c r="D1401" i="3" s="1"/>
  <c r="C1402" i="3"/>
  <c r="D1402" i="3" s="1"/>
  <c r="C1403" i="3"/>
  <c r="D1403" i="3" s="1"/>
  <c r="C1404" i="3"/>
  <c r="D1404" i="3" s="1"/>
  <c r="C1405" i="3"/>
  <c r="D1405" i="3" s="1"/>
  <c r="C1406" i="3"/>
  <c r="D1406" i="3" s="1"/>
  <c r="C1407" i="3"/>
  <c r="D1407" i="3" s="1"/>
  <c r="C1408" i="3"/>
  <c r="D1408" i="3" s="1"/>
  <c r="C1409" i="3"/>
  <c r="D1409" i="3" s="1"/>
  <c r="C1410" i="3"/>
  <c r="D1410" i="3" s="1"/>
  <c r="C1411" i="3"/>
  <c r="D1411" i="3" s="1"/>
  <c r="C1412" i="3"/>
  <c r="D1412" i="3" s="1"/>
  <c r="C1413" i="3"/>
  <c r="D1413" i="3" s="1"/>
  <c r="C1414" i="3"/>
  <c r="D1414" i="3" s="1"/>
  <c r="C1415" i="3"/>
  <c r="D1415" i="3" s="1"/>
  <c r="C1416" i="3"/>
  <c r="D1416" i="3" s="1"/>
  <c r="C1417" i="3"/>
  <c r="D1417" i="3" s="1"/>
  <c r="C1418" i="3"/>
  <c r="D1418" i="3" s="1"/>
  <c r="C1419" i="3"/>
  <c r="D1419" i="3" s="1"/>
  <c r="C1420" i="3"/>
  <c r="D1420" i="3" s="1"/>
  <c r="C1421" i="3"/>
  <c r="D1421" i="3" s="1"/>
  <c r="C1422" i="3"/>
  <c r="D1422" i="3" s="1"/>
  <c r="C1423" i="3"/>
  <c r="D1423" i="3" s="1"/>
  <c r="C1424" i="3"/>
  <c r="D1424" i="3" s="1"/>
  <c r="C1425" i="3"/>
  <c r="D1425" i="3" s="1"/>
  <c r="C1426" i="3"/>
  <c r="D1426" i="3" s="1"/>
  <c r="C1427" i="3"/>
  <c r="D1427" i="3" s="1"/>
  <c r="C1428" i="3"/>
  <c r="D1428" i="3" s="1"/>
  <c r="C1429" i="3"/>
  <c r="D1429" i="3" s="1"/>
  <c r="C1430" i="3"/>
  <c r="D1430" i="3" s="1"/>
  <c r="C1431" i="3"/>
  <c r="D1431" i="3" s="1"/>
  <c r="C1432" i="3"/>
  <c r="D1432" i="3" s="1"/>
  <c r="C1433" i="3"/>
  <c r="D1433" i="3" s="1"/>
  <c r="C1434" i="3"/>
  <c r="D1434" i="3" s="1"/>
  <c r="C1435" i="3"/>
  <c r="D1435" i="3" s="1"/>
  <c r="C1436" i="3"/>
  <c r="D1436" i="3" s="1"/>
  <c r="C1437" i="3"/>
  <c r="D1437" i="3" s="1"/>
  <c r="C1438" i="3"/>
  <c r="D1438" i="3" s="1"/>
  <c r="C1439" i="3"/>
  <c r="D1439" i="3" s="1"/>
  <c r="C1440" i="3"/>
  <c r="D1440" i="3" s="1"/>
  <c r="C1441" i="3"/>
  <c r="D1441" i="3" s="1"/>
  <c r="C1442" i="3"/>
  <c r="D1442" i="3" s="1"/>
  <c r="C1443" i="3"/>
  <c r="D1443" i="3" s="1"/>
  <c r="C1444" i="3"/>
  <c r="D1444" i="3" s="1"/>
  <c r="C1445" i="3"/>
  <c r="D1445" i="3" s="1"/>
  <c r="C1446" i="3"/>
  <c r="D1446" i="3" s="1"/>
  <c r="C1447" i="3"/>
  <c r="D1447" i="3" s="1"/>
  <c r="C1448" i="3"/>
  <c r="D1448" i="3" s="1"/>
  <c r="C1449" i="3"/>
  <c r="D1449" i="3" s="1"/>
  <c r="C1450" i="3"/>
  <c r="D1450" i="3" s="1"/>
  <c r="C1451" i="3"/>
  <c r="D1451" i="3" s="1"/>
  <c r="C1452" i="3"/>
  <c r="D1452" i="3" s="1"/>
  <c r="C1453" i="3"/>
  <c r="D1453" i="3" s="1"/>
  <c r="C1454" i="3"/>
  <c r="D1454" i="3" s="1"/>
  <c r="C1455" i="3"/>
  <c r="D1455" i="3" s="1"/>
  <c r="C1456" i="3"/>
  <c r="D1456" i="3" s="1"/>
  <c r="C1457" i="3"/>
  <c r="D1457" i="3" s="1"/>
  <c r="C1458" i="3"/>
  <c r="D1458" i="3" s="1"/>
  <c r="C1459" i="3"/>
  <c r="D1459" i="3" s="1"/>
  <c r="C1460" i="3"/>
  <c r="D1460" i="3" s="1"/>
  <c r="C1461" i="3"/>
  <c r="D1461" i="3" s="1"/>
  <c r="C1462" i="3"/>
  <c r="D1462" i="3" s="1"/>
  <c r="C1463" i="3"/>
  <c r="D1463" i="3" s="1"/>
  <c r="C1464" i="3"/>
  <c r="D1464" i="3" s="1"/>
  <c r="C1465" i="3"/>
  <c r="D1465" i="3" s="1"/>
  <c r="C1466" i="3"/>
  <c r="D1466" i="3" s="1"/>
  <c r="C1467" i="3"/>
  <c r="D1467" i="3" s="1"/>
  <c r="C1468" i="3"/>
  <c r="D1468" i="3" s="1"/>
  <c r="C1469" i="3"/>
  <c r="D1469" i="3" s="1"/>
  <c r="C1470" i="3"/>
  <c r="D1470" i="3" s="1"/>
  <c r="C1471" i="3"/>
  <c r="D1471" i="3" s="1"/>
  <c r="C1472" i="3"/>
  <c r="D1472" i="3" s="1"/>
  <c r="C1473" i="3"/>
  <c r="D1473" i="3" s="1"/>
  <c r="C1474" i="3"/>
  <c r="D1474" i="3" s="1"/>
  <c r="C1475" i="3"/>
  <c r="D1475" i="3" s="1"/>
  <c r="C1476" i="3"/>
  <c r="D1476" i="3" s="1"/>
  <c r="C1477" i="3"/>
  <c r="D1477" i="3" s="1"/>
  <c r="C1478" i="3"/>
  <c r="D1478" i="3" s="1"/>
  <c r="C1479" i="3"/>
  <c r="D1479" i="3" s="1"/>
  <c r="C1480" i="3"/>
  <c r="D1480" i="3" s="1"/>
  <c r="C1481" i="3"/>
  <c r="D1481" i="3" s="1"/>
  <c r="C1482" i="3"/>
  <c r="D1482" i="3" s="1"/>
  <c r="C1483" i="3"/>
  <c r="D1483" i="3" s="1"/>
  <c r="C1484" i="3"/>
  <c r="D1484" i="3" s="1"/>
  <c r="C1485" i="3"/>
  <c r="D1485" i="3" s="1"/>
  <c r="C1486" i="3"/>
  <c r="D1486" i="3" s="1"/>
  <c r="C1487" i="3"/>
  <c r="D1487" i="3" s="1"/>
  <c r="C1488" i="3"/>
  <c r="D1488" i="3" s="1"/>
  <c r="C1489" i="3"/>
  <c r="D1489" i="3" s="1"/>
  <c r="C1490" i="3"/>
  <c r="D1490" i="3" s="1"/>
  <c r="C1491" i="3"/>
  <c r="D1491" i="3" s="1"/>
  <c r="C1492" i="3"/>
  <c r="D1492" i="3" s="1"/>
  <c r="C1493" i="3"/>
  <c r="D1493" i="3" s="1"/>
  <c r="C1494" i="3"/>
  <c r="D1494" i="3" s="1"/>
  <c r="C1495" i="3"/>
  <c r="D1495" i="3" s="1"/>
  <c r="C1496" i="3"/>
  <c r="D1496" i="3" s="1"/>
  <c r="C1497" i="3"/>
  <c r="D1497" i="3" s="1"/>
  <c r="C1498" i="3"/>
  <c r="D1498" i="3" s="1"/>
  <c r="C1499" i="3"/>
  <c r="D1499" i="3" s="1"/>
  <c r="C1500" i="3"/>
  <c r="D1500" i="3" s="1"/>
  <c r="C1501" i="3"/>
  <c r="D1501" i="3" s="1"/>
  <c r="C1502" i="3"/>
  <c r="D1502" i="3" s="1"/>
  <c r="C1503" i="3"/>
  <c r="D1503" i="3" s="1"/>
  <c r="C1504" i="3"/>
  <c r="D1504" i="3" s="1"/>
  <c r="C1505" i="3"/>
  <c r="D1505" i="3" s="1"/>
  <c r="C1506" i="3"/>
  <c r="D1506" i="3" s="1"/>
  <c r="C1507" i="3"/>
  <c r="D1507" i="3" s="1"/>
  <c r="C1508" i="3"/>
  <c r="D1508" i="3" s="1"/>
  <c r="C1509" i="3"/>
  <c r="D1509" i="3" s="1"/>
  <c r="C1510" i="3"/>
  <c r="D1510" i="3" s="1"/>
  <c r="C1511" i="3"/>
  <c r="D1511" i="3" s="1"/>
  <c r="C1512" i="3"/>
  <c r="D1512" i="3" s="1"/>
  <c r="C1513" i="3"/>
  <c r="D1513" i="3" s="1"/>
  <c r="C1514" i="3"/>
  <c r="D1514" i="3" s="1"/>
  <c r="C1515" i="3"/>
  <c r="D1515" i="3" s="1"/>
  <c r="C1516" i="3"/>
  <c r="D1516" i="3" s="1"/>
  <c r="C1517" i="3"/>
  <c r="D1517" i="3" s="1"/>
  <c r="C1518" i="3"/>
  <c r="D1518" i="3" s="1"/>
  <c r="C1519" i="3"/>
  <c r="D1519" i="3" s="1"/>
  <c r="C1520" i="3"/>
  <c r="D1520" i="3" s="1"/>
  <c r="C1521" i="3"/>
  <c r="D1521" i="3" s="1"/>
  <c r="C1522" i="3"/>
  <c r="D1522" i="3" s="1"/>
  <c r="C1523" i="3"/>
  <c r="D1523" i="3" s="1"/>
  <c r="C1524" i="3"/>
  <c r="D1524" i="3" s="1"/>
  <c r="C1525" i="3"/>
  <c r="D1525" i="3" s="1"/>
  <c r="C1526" i="3"/>
  <c r="D1526" i="3" s="1"/>
  <c r="C1527" i="3"/>
  <c r="D1527" i="3" s="1"/>
  <c r="C1528" i="3"/>
  <c r="D1528" i="3" s="1"/>
  <c r="C1529" i="3"/>
  <c r="D1529" i="3" s="1"/>
  <c r="C1530" i="3"/>
  <c r="D1530" i="3" s="1"/>
  <c r="C1531" i="3"/>
  <c r="D1531" i="3" s="1"/>
  <c r="C1532" i="3"/>
  <c r="D1532" i="3" s="1"/>
  <c r="C1533" i="3"/>
  <c r="D1533" i="3" s="1"/>
  <c r="C1534" i="3"/>
  <c r="D1534" i="3" s="1"/>
  <c r="C1535" i="3"/>
  <c r="D1535" i="3" s="1"/>
  <c r="C1536" i="3"/>
  <c r="D1536" i="3" s="1"/>
  <c r="C1537" i="3"/>
  <c r="D1537" i="3" s="1"/>
  <c r="C1538" i="3"/>
  <c r="D1538" i="3" s="1"/>
  <c r="C1539" i="3"/>
  <c r="D1539" i="3" s="1"/>
  <c r="C1540" i="3"/>
  <c r="D1540" i="3" s="1"/>
  <c r="C1541" i="3"/>
  <c r="D1541" i="3" s="1"/>
  <c r="C1542" i="3"/>
  <c r="D1542" i="3" s="1"/>
  <c r="C1543" i="3"/>
  <c r="D1543" i="3" s="1"/>
  <c r="C1544" i="3"/>
  <c r="D1544" i="3" s="1"/>
  <c r="C1545" i="3"/>
  <c r="D1545" i="3" s="1"/>
  <c r="C1546" i="3"/>
  <c r="D1546" i="3" s="1"/>
  <c r="C1547" i="3"/>
  <c r="D1547" i="3" s="1"/>
  <c r="C1548" i="3"/>
  <c r="D1548" i="3" s="1"/>
  <c r="C1549" i="3"/>
  <c r="D1549" i="3" s="1"/>
  <c r="C1550" i="3"/>
  <c r="D1550" i="3" s="1"/>
  <c r="C1551" i="3"/>
  <c r="D1551" i="3" s="1"/>
  <c r="C1552" i="3"/>
  <c r="D1552" i="3" s="1"/>
  <c r="C1553" i="3"/>
  <c r="D1553" i="3" s="1"/>
  <c r="C1554" i="3"/>
  <c r="D1554" i="3" s="1"/>
  <c r="C1555" i="3"/>
  <c r="D1555" i="3" s="1"/>
  <c r="C1556" i="3"/>
  <c r="D1556" i="3" s="1"/>
  <c r="C1557" i="3"/>
  <c r="D1557" i="3" s="1"/>
  <c r="C1558" i="3"/>
  <c r="D1558" i="3" s="1"/>
  <c r="C1559" i="3"/>
  <c r="D1559" i="3" s="1"/>
  <c r="C1560" i="3"/>
  <c r="D1560" i="3" s="1"/>
  <c r="C1561" i="3"/>
  <c r="D1561" i="3" s="1"/>
  <c r="C1562" i="3"/>
  <c r="D1562" i="3" s="1"/>
  <c r="C1563" i="3"/>
  <c r="D1563" i="3" s="1"/>
  <c r="C1564" i="3"/>
  <c r="D1564" i="3" s="1"/>
  <c r="C1565" i="3"/>
  <c r="D1565" i="3" s="1"/>
  <c r="C1566" i="3"/>
  <c r="D1566" i="3" s="1"/>
  <c r="C1567" i="3"/>
  <c r="D1567" i="3" s="1"/>
  <c r="C1568" i="3"/>
  <c r="D1568" i="3" s="1"/>
  <c r="C1569" i="3"/>
  <c r="D1569" i="3" s="1"/>
  <c r="C1570" i="3"/>
  <c r="D1570" i="3" s="1"/>
  <c r="C1571" i="3"/>
  <c r="D1571" i="3" s="1"/>
  <c r="C1572" i="3"/>
  <c r="D1572" i="3" s="1"/>
  <c r="C1573" i="3"/>
  <c r="D1573" i="3" s="1"/>
  <c r="C1574" i="3"/>
  <c r="D1574" i="3" s="1"/>
  <c r="C1575" i="3"/>
  <c r="D1575" i="3" s="1"/>
  <c r="C1576" i="3"/>
  <c r="D1576" i="3" s="1"/>
  <c r="C1577" i="3"/>
  <c r="D1577" i="3" s="1"/>
  <c r="C1578" i="3"/>
  <c r="D1578" i="3" s="1"/>
  <c r="C1579" i="3"/>
  <c r="D1579" i="3" s="1"/>
  <c r="C1580" i="3"/>
  <c r="D1580" i="3" s="1"/>
  <c r="C1581" i="3"/>
  <c r="D1581" i="3" s="1"/>
  <c r="C1582" i="3"/>
  <c r="D1582" i="3" s="1"/>
  <c r="C1583" i="3"/>
  <c r="D1583" i="3" s="1"/>
  <c r="C1584" i="3"/>
  <c r="D1584" i="3" s="1"/>
  <c r="C1585" i="3"/>
  <c r="D1585" i="3" s="1"/>
  <c r="C1586" i="3"/>
  <c r="D1586" i="3" s="1"/>
  <c r="C1587" i="3"/>
  <c r="D1587" i="3" s="1"/>
  <c r="C1588" i="3"/>
  <c r="D1588" i="3" s="1"/>
  <c r="C1589" i="3"/>
  <c r="D1589" i="3" s="1"/>
  <c r="C1590" i="3"/>
  <c r="D1590" i="3" s="1"/>
  <c r="C1591" i="3"/>
  <c r="D1591" i="3" s="1"/>
  <c r="C1592" i="3"/>
  <c r="D1592" i="3" s="1"/>
  <c r="C1593" i="3"/>
  <c r="D1593" i="3" s="1"/>
  <c r="C1594" i="3"/>
  <c r="D1594" i="3" s="1"/>
  <c r="C1595" i="3"/>
  <c r="D1595" i="3" s="1"/>
  <c r="C1596" i="3"/>
  <c r="D1596" i="3" s="1"/>
  <c r="C1597" i="3"/>
  <c r="D1597" i="3" s="1"/>
  <c r="C1598" i="3"/>
  <c r="D1598" i="3" s="1"/>
  <c r="C1599" i="3"/>
  <c r="D1599" i="3" s="1"/>
  <c r="C1600" i="3"/>
  <c r="D1600" i="3" s="1"/>
  <c r="C1601" i="3"/>
  <c r="D1601" i="3" s="1"/>
  <c r="C1602" i="3"/>
  <c r="D1602" i="3" s="1"/>
  <c r="C1603" i="3"/>
  <c r="D1603" i="3" s="1"/>
  <c r="C1604" i="3"/>
  <c r="D1604" i="3" s="1"/>
  <c r="C1605" i="3"/>
  <c r="D1605" i="3" s="1"/>
  <c r="C1606" i="3"/>
  <c r="D1606" i="3" s="1"/>
  <c r="C1607" i="3"/>
  <c r="D1607" i="3" s="1"/>
  <c r="C1608" i="3"/>
  <c r="D1608" i="3" s="1"/>
  <c r="C1609" i="3"/>
  <c r="D1609" i="3" s="1"/>
  <c r="C1610" i="3"/>
  <c r="D1610" i="3" s="1"/>
  <c r="C1611" i="3"/>
  <c r="D1611" i="3" s="1"/>
  <c r="C1612" i="3"/>
  <c r="D1612" i="3" s="1"/>
  <c r="C1613" i="3"/>
  <c r="D1613" i="3" s="1"/>
  <c r="C1614" i="3"/>
  <c r="D1614" i="3" s="1"/>
  <c r="C1615" i="3"/>
  <c r="D1615" i="3" s="1"/>
  <c r="C1616" i="3"/>
  <c r="D1616" i="3" s="1"/>
  <c r="C1617" i="3"/>
  <c r="D1617" i="3" s="1"/>
  <c r="C1618" i="3"/>
  <c r="D1618" i="3" s="1"/>
  <c r="C1619" i="3"/>
  <c r="D1619" i="3" s="1"/>
  <c r="C1620" i="3"/>
  <c r="D1620" i="3" s="1"/>
  <c r="C1621" i="3"/>
  <c r="D1621" i="3" s="1"/>
  <c r="C1622" i="3"/>
  <c r="D1622" i="3" s="1"/>
  <c r="C1623" i="3"/>
  <c r="D1623" i="3" s="1"/>
  <c r="C1624" i="3"/>
  <c r="D1624" i="3" s="1"/>
  <c r="C1625" i="3"/>
  <c r="D1625" i="3" s="1"/>
  <c r="C1626" i="3"/>
  <c r="D1626" i="3" s="1"/>
  <c r="C1627" i="3"/>
  <c r="D1627" i="3" s="1"/>
  <c r="C1628" i="3"/>
  <c r="D1628" i="3" s="1"/>
  <c r="C1629" i="3"/>
  <c r="D1629" i="3" s="1"/>
  <c r="C1630" i="3"/>
  <c r="D1630" i="3" s="1"/>
  <c r="C1631" i="3"/>
  <c r="D1631" i="3" s="1"/>
  <c r="C1632" i="3"/>
  <c r="D1632" i="3" s="1"/>
  <c r="C1633" i="3"/>
  <c r="D1633" i="3" s="1"/>
  <c r="C1634" i="3"/>
  <c r="D1634" i="3" s="1"/>
  <c r="C1635" i="3"/>
  <c r="D1635" i="3" s="1"/>
  <c r="C1636" i="3"/>
  <c r="D1636" i="3" s="1"/>
  <c r="C1637" i="3"/>
  <c r="D1637" i="3" s="1"/>
  <c r="C1638" i="3"/>
  <c r="D1638" i="3" s="1"/>
  <c r="C1639" i="3"/>
  <c r="D1639" i="3" s="1"/>
  <c r="C1640" i="3"/>
  <c r="D1640" i="3" s="1"/>
  <c r="C1641" i="3"/>
  <c r="D1641" i="3" s="1"/>
  <c r="C1642" i="3"/>
  <c r="D1642" i="3" s="1"/>
  <c r="C1643" i="3"/>
  <c r="D1643" i="3" s="1"/>
  <c r="C1644" i="3"/>
  <c r="D1644" i="3" s="1"/>
  <c r="C1645" i="3"/>
  <c r="D1645" i="3" s="1"/>
  <c r="C1646" i="3"/>
  <c r="D1646" i="3" s="1"/>
  <c r="C1647" i="3"/>
  <c r="D1647" i="3" s="1"/>
  <c r="C1648" i="3"/>
  <c r="D1648" i="3" s="1"/>
  <c r="C1649" i="3"/>
  <c r="D1649" i="3" s="1"/>
  <c r="C1650" i="3"/>
  <c r="D1650" i="3" s="1"/>
  <c r="C1651" i="3"/>
  <c r="D1651" i="3" s="1"/>
  <c r="C1652" i="3"/>
  <c r="D1652" i="3" s="1"/>
  <c r="C1653" i="3"/>
  <c r="D1653" i="3" s="1"/>
  <c r="C1654" i="3"/>
  <c r="D1654" i="3" s="1"/>
  <c r="C1655" i="3"/>
  <c r="D1655" i="3" s="1"/>
  <c r="C1656" i="3"/>
  <c r="D1656" i="3" s="1"/>
  <c r="C1657" i="3"/>
  <c r="D1657" i="3" s="1"/>
  <c r="C1658" i="3"/>
  <c r="D1658" i="3" s="1"/>
  <c r="C1659" i="3"/>
  <c r="D1659" i="3" s="1"/>
  <c r="C1660" i="3"/>
  <c r="D1660" i="3" s="1"/>
  <c r="C1661" i="3"/>
  <c r="D1661" i="3" s="1"/>
  <c r="C1662" i="3"/>
  <c r="D1662" i="3" s="1"/>
  <c r="C1663" i="3"/>
  <c r="D1663" i="3" s="1"/>
  <c r="C1664" i="3"/>
  <c r="D1664" i="3" s="1"/>
  <c r="C1665" i="3"/>
  <c r="D1665" i="3" s="1"/>
  <c r="C1666" i="3"/>
  <c r="D1666" i="3" s="1"/>
  <c r="C1667" i="3"/>
  <c r="D1667" i="3" s="1"/>
  <c r="C1668" i="3"/>
  <c r="D1668" i="3" s="1"/>
  <c r="C1669" i="3"/>
  <c r="D1669" i="3" s="1"/>
  <c r="C1670" i="3"/>
  <c r="D1670" i="3" s="1"/>
  <c r="C1671" i="3"/>
  <c r="D1671" i="3" s="1"/>
  <c r="C1672" i="3"/>
  <c r="D1672" i="3" s="1"/>
  <c r="C1673" i="3"/>
  <c r="D1673" i="3" s="1"/>
  <c r="C1674" i="3"/>
  <c r="D1674" i="3" s="1"/>
  <c r="C1675" i="3"/>
  <c r="D1675" i="3" s="1"/>
  <c r="C1676" i="3"/>
  <c r="D1676" i="3" s="1"/>
  <c r="C1677" i="3"/>
  <c r="D1677" i="3" s="1"/>
  <c r="C1678" i="3"/>
  <c r="D1678" i="3" s="1"/>
  <c r="C1679" i="3"/>
  <c r="D1679" i="3" s="1"/>
  <c r="C1680" i="3"/>
  <c r="D1680" i="3" s="1"/>
  <c r="C1681" i="3"/>
  <c r="D1681" i="3" s="1"/>
  <c r="C1682" i="3"/>
  <c r="D1682" i="3" s="1"/>
  <c r="C1683" i="3"/>
  <c r="D1683" i="3" s="1"/>
  <c r="C1684" i="3"/>
  <c r="D1684" i="3" s="1"/>
  <c r="C1685" i="3"/>
  <c r="D1685" i="3" s="1"/>
  <c r="C1686" i="3"/>
  <c r="D1686" i="3" s="1"/>
  <c r="C1687" i="3"/>
  <c r="D1687" i="3" s="1"/>
  <c r="C1688" i="3"/>
  <c r="D1688" i="3" s="1"/>
  <c r="C1689" i="3"/>
  <c r="D1689" i="3" s="1"/>
  <c r="C1690" i="3"/>
  <c r="D1690" i="3" s="1"/>
  <c r="C1691" i="3"/>
  <c r="D1691" i="3" s="1"/>
  <c r="C1692" i="3"/>
  <c r="D1692" i="3" s="1"/>
  <c r="C1693" i="3"/>
  <c r="D1693" i="3" s="1"/>
  <c r="C1694" i="3"/>
  <c r="D1694" i="3" s="1"/>
  <c r="C1695" i="3"/>
  <c r="D1695" i="3" s="1"/>
  <c r="C1696" i="3"/>
  <c r="D1696" i="3" s="1"/>
  <c r="C1697" i="3"/>
  <c r="D1697" i="3" s="1"/>
  <c r="C1698" i="3"/>
  <c r="D1698" i="3" s="1"/>
  <c r="C1699" i="3"/>
  <c r="D1699" i="3" s="1"/>
  <c r="C1700" i="3"/>
  <c r="D1700" i="3" s="1"/>
  <c r="C1701" i="3"/>
  <c r="D1701" i="3" s="1"/>
  <c r="C1702" i="3"/>
  <c r="D1702" i="3" s="1"/>
  <c r="C1703" i="3"/>
  <c r="D1703" i="3" s="1"/>
  <c r="C1704" i="3"/>
  <c r="D1704" i="3" s="1"/>
  <c r="C1705" i="3"/>
  <c r="D1705" i="3" s="1"/>
  <c r="C1706" i="3"/>
  <c r="D1706" i="3" s="1"/>
  <c r="C1707" i="3"/>
  <c r="D1707" i="3" s="1"/>
  <c r="C1708" i="3"/>
  <c r="D1708" i="3" s="1"/>
  <c r="C1709" i="3"/>
  <c r="D1709" i="3" s="1"/>
  <c r="C1710" i="3"/>
  <c r="D1710" i="3" s="1"/>
  <c r="C1711" i="3"/>
  <c r="D1711" i="3" s="1"/>
  <c r="C1712" i="3"/>
  <c r="D1712" i="3" s="1"/>
  <c r="C1713" i="3"/>
  <c r="D1713" i="3" s="1"/>
  <c r="C1714" i="3"/>
  <c r="D1714" i="3" s="1"/>
  <c r="C1715" i="3"/>
  <c r="D1715" i="3" s="1"/>
  <c r="C1716" i="3"/>
  <c r="D1716" i="3" s="1"/>
  <c r="C1717" i="3"/>
  <c r="D1717" i="3" s="1"/>
  <c r="C1718" i="3"/>
  <c r="D1718" i="3" s="1"/>
  <c r="C1719" i="3"/>
  <c r="D1719" i="3" s="1"/>
  <c r="C1720" i="3"/>
  <c r="D1720" i="3" s="1"/>
  <c r="C1721" i="3"/>
  <c r="D1721" i="3" s="1"/>
  <c r="C1722" i="3"/>
  <c r="D1722" i="3" s="1"/>
  <c r="C1723" i="3"/>
  <c r="D1723" i="3" s="1"/>
  <c r="C1724" i="3"/>
  <c r="D1724" i="3" s="1"/>
  <c r="C1725" i="3"/>
  <c r="D1725" i="3" s="1"/>
  <c r="C1726" i="3"/>
  <c r="D1726" i="3" s="1"/>
  <c r="C1727" i="3"/>
  <c r="D1727" i="3" s="1"/>
  <c r="C1728" i="3"/>
  <c r="D1728" i="3" s="1"/>
  <c r="C1729" i="3"/>
  <c r="D1729" i="3" s="1"/>
  <c r="C1730" i="3"/>
  <c r="D1730" i="3" s="1"/>
  <c r="C1731" i="3"/>
  <c r="D1731" i="3" s="1"/>
  <c r="C1732" i="3"/>
  <c r="D1732" i="3" s="1"/>
  <c r="C1733" i="3"/>
  <c r="D1733" i="3" s="1"/>
  <c r="C1734" i="3"/>
  <c r="D1734" i="3" s="1"/>
  <c r="C1735" i="3"/>
  <c r="D1735" i="3" s="1"/>
  <c r="C1736" i="3"/>
  <c r="D1736" i="3" s="1"/>
  <c r="C1737" i="3"/>
  <c r="D1737" i="3" s="1"/>
  <c r="C1738" i="3"/>
  <c r="D1738" i="3" s="1"/>
  <c r="C1739" i="3"/>
  <c r="D1739" i="3" s="1"/>
  <c r="C1740" i="3"/>
  <c r="D1740" i="3" s="1"/>
  <c r="C1741" i="3"/>
  <c r="D1741" i="3" s="1"/>
  <c r="C1742" i="3"/>
  <c r="D1742" i="3" s="1"/>
  <c r="C1743" i="3"/>
  <c r="D1743" i="3" s="1"/>
  <c r="C1744" i="3"/>
  <c r="D1744" i="3" s="1"/>
  <c r="C1745" i="3"/>
  <c r="D1745" i="3" s="1"/>
  <c r="C1746" i="3"/>
  <c r="D1746" i="3" s="1"/>
  <c r="C1747" i="3"/>
  <c r="D1747" i="3" s="1"/>
  <c r="C1748" i="3"/>
  <c r="D1748" i="3" s="1"/>
  <c r="C1749" i="3"/>
  <c r="D1749" i="3" s="1"/>
  <c r="C1750" i="3"/>
  <c r="D1750" i="3" s="1"/>
  <c r="C1751" i="3"/>
  <c r="D1751" i="3" s="1"/>
  <c r="C1752" i="3"/>
  <c r="D1752" i="3" s="1"/>
  <c r="C1753" i="3"/>
  <c r="D1753" i="3" s="1"/>
  <c r="C1754" i="3"/>
  <c r="D1754" i="3" s="1"/>
  <c r="C1755" i="3"/>
  <c r="D1755" i="3" s="1"/>
  <c r="C1756" i="3"/>
  <c r="D1756" i="3" s="1"/>
  <c r="C1757" i="3"/>
  <c r="D1757" i="3" s="1"/>
  <c r="C1758" i="3"/>
  <c r="D1758" i="3" s="1"/>
  <c r="C1759" i="3"/>
  <c r="D1759" i="3" s="1"/>
  <c r="C1760" i="3"/>
  <c r="D1760" i="3" s="1"/>
  <c r="C1761" i="3"/>
  <c r="D1761" i="3" s="1"/>
  <c r="C1762" i="3"/>
  <c r="D1762" i="3" s="1"/>
  <c r="C1763" i="3"/>
  <c r="D1763" i="3" s="1"/>
  <c r="C1764" i="3"/>
  <c r="D1764" i="3" s="1"/>
  <c r="C1765" i="3"/>
  <c r="D1765" i="3" s="1"/>
  <c r="C1766" i="3"/>
  <c r="D1766" i="3" s="1"/>
  <c r="C1767" i="3"/>
  <c r="D1767" i="3" s="1"/>
  <c r="C1768" i="3"/>
  <c r="D1768" i="3" s="1"/>
  <c r="C1769" i="3"/>
  <c r="D1769" i="3" s="1"/>
  <c r="C1770" i="3"/>
  <c r="D1770" i="3" s="1"/>
  <c r="C1771" i="3"/>
  <c r="D1771" i="3" s="1"/>
  <c r="C1772" i="3"/>
  <c r="D1772" i="3" s="1"/>
  <c r="C1773" i="3"/>
  <c r="D1773" i="3" s="1"/>
  <c r="C1774" i="3"/>
  <c r="D1774" i="3" s="1"/>
  <c r="C1775" i="3"/>
  <c r="D1775" i="3" s="1"/>
  <c r="C1776" i="3"/>
  <c r="D1776" i="3" s="1"/>
  <c r="C1777" i="3"/>
  <c r="D1777" i="3" s="1"/>
  <c r="C1778" i="3"/>
  <c r="D1778" i="3" s="1"/>
  <c r="C1779" i="3"/>
  <c r="D1779" i="3" s="1"/>
  <c r="C1780" i="3"/>
  <c r="D1780" i="3" s="1"/>
  <c r="C1781" i="3"/>
  <c r="D1781" i="3" s="1"/>
  <c r="C1782" i="3"/>
  <c r="D1782" i="3" s="1"/>
  <c r="C1783" i="3"/>
  <c r="D1783" i="3" s="1"/>
  <c r="C1784" i="3"/>
  <c r="D1784" i="3" s="1"/>
  <c r="C1785" i="3"/>
  <c r="D1785" i="3" s="1"/>
  <c r="C1786" i="3"/>
  <c r="D1786" i="3" s="1"/>
  <c r="C1787" i="3"/>
  <c r="D1787" i="3" s="1"/>
  <c r="C1788" i="3"/>
  <c r="D1788" i="3" s="1"/>
  <c r="C1789" i="3"/>
  <c r="D1789" i="3" s="1"/>
  <c r="C1790" i="3"/>
  <c r="D1790" i="3" s="1"/>
  <c r="C1791" i="3"/>
  <c r="D1791" i="3" s="1"/>
  <c r="C1792" i="3"/>
  <c r="D1792" i="3" s="1"/>
  <c r="C1793" i="3"/>
  <c r="D1793" i="3" s="1"/>
  <c r="C1794" i="3"/>
  <c r="D1794" i="3" s="1"/>
  <c r="C1795" i="3"/>
  <c r="D1795" i="3" s="1"/>
  <c r="C1796" i="3"/>
  <c r="D1796" i="3" s="1"/>
  <c r="C1797" i="3"/>
  <c r="D1797" i="3" s="1"/>
  <c r="C1798" i="3"/>
  <c r="D1798" i="3" s="1"/>
  <c r="C1799" i="3"/>
  <c r="D1799" i="3" s="1"/>
  <c r="C1800" i="3"/>
  <c r="D1800" i="3" s="1"/>
  <c r="C1801" i="3"/>
  <c r="D1801" i="3" s="1"/>
  <c r="C1802" i="3"/>
  <c r="D1802" i="3" s="1"/>
  <c r="C1803" i="3"/>
  <c r="D1803" i="3" s="1"/>
  <c r="C1804" i="3"/>
  <c r="D1804" i="3" s="1"/>
  <c r="C1805" i="3"/>
  <c r="D1805" i="3" s="1"/>
  <c r="C1806" i="3"/>
  <c r="D1806" i="3" s="1"/>
  <c r="C1807" i="3"/>
  <c r="D1807" i="3" s="1"/>
  <c r="C1808" i="3"/>
  <c r="D1808" i="3" s="1"/>
  <c r="C1809" i="3"/>
  <c r="D1809" i="3" s="1"/>
  <c r="C1810" i="3"/>
  <c r="D1810" i="3" s="1"/>
  <c r="C1811" i="3"/>
  <c r="D1811" i="3" s="1"/>
  <c r="C1812" i="3"/>
  <c r="D1812" i="3" s="1"/>
  <c r="C1813" i="3"/>
  <c r="D1813" i="3" s="1"/>
  <c r="C1814" i="3"/>
  <c r="D1814" i="3" s="1"/>
  <c r="C1815" i="3"/>
  <c r="D1815" i="3" s="1"/>
  <c r="C1816" i="3"/>
  <c r="D1816" i="3" s="1"/>
  <c r="C1817" i="3"/>
  <c r="D1817" i="3" s="1"/>
  <c r="C1818" i="3"/>
  <c r="D1818" i="3" s="1"/>
  <c r="C1819" i="3"/>
  <c r="D1819" i="3" s="1"/>
  <c r="C1820" i="3"/>
  <c r="D1820" i="3" s="1"/>
  <c r="C1821" i="3"/>
  <c r="D1821" i="3" s="1"/>
  <c r="C1822" i="3"/>
  <c r="D1822" i="3" s="1"/>
  <c r="C1823" i="3"/>
  <c r="D1823" i="3" s="1"/>
  <c r="C1824" i="3"/>
  <c r="D1824" i="3" s="1"/>
  <c r="C1825" i="3"/>
  <c r="D1825" i="3" s="1"/>
  <c r="C1826" i="3"/>
  <c r="D1826" i="3" s="1"/>
  <c r="C1827" i="3"/>
  <c r="D1827" i="3" s="1"/>
  <c r="C1828" i="3"/>
  <c r="D1828" i="3" s="1"/>
  <c r="C1829" i="3"/>
  <c r="D1829" i="3" s="1"/>
  <c r="C1830" i="3"/>
  <c r="D1830" i="3" s="1"/>
  <c r="C1831" i="3"/>
  <c r="D1831" i="3" s="1"/>
  <c r="C1832" i="3"/>
  <c r="D1832" i="3" s="1"/>
  <c r="C1833" i="3"/>
  <c r="D1833" i="3" s="1"/>
  <c r="C1834" i="3"/>
  <c r="D1834" i="3" s="1"/>
  <c r="C1835" i="3"/>
  <c r="D1835" i="3" s="1"/>
  <c r="C1836" i="3"/>
  <c r="D1836" i="3" s="1"/>
  <c r="C1837" i="3"/>
  <c r="D1837" i="3" s="1"/>
  <c r="C1838" i="3"/>
  <c r="D1838" i="3" s="1"/>
  <c r="C1839" i="3"/>
  <c r="D1839" i="3" s="1"/>
  <c r="C1840" i="3"/>
  <c r="D1840" i="3" s="1"/>
  <c r="C1841" i="3"/>
  <c r="D1841" i="3" s="1"/>
  <c r="C1842" i="3"/>
  <c r="D1842" i="3" s="1"/>
  <c r="C1843" i="3"/>
  <c r="D1843" i="3" s="1"/>
  <c r="C1844" i="3"/>
  <c r="D1844" i="3" s="1"/>
  <c r="C1845" i="3"/>
  <c r="D1845" i="3" s="1"/>
  <c r="C1846" i="3"/>
  <c r="D1846" i="3" s="1"/>
  <c r="C1847" i="3"/>
  <c r="D1847" i="3" s="1"/>
  <c r="C1848" i="3"/>
  <c r="D1848" i="3" s="1"/>
  <c r="C1849" i="3"/>
  <c r="D1849" i="3" s="1"/>
  <c r="C1850" i="3"/>
  <c r="D1850" i="3" s="1"/>
  <c r="C1851" i="3"/>
  <c r="D1851" i="3" s="1"/>
  <c r="C1852" i="3"/>
  <c r="D1852" i="3" s="1"/>
  <c r="C1853" i="3"/>
  <c r="D1853" i="3" s="1"/>
  <c r="C1854" i="3"/>
  <c r="D1854" i="3" s="1"/>
  <c r="C1855" i="3"/>
  <c r="D1855" i="3" s="1"/>
  <c r="C1856" i="3"/>
  <c r="D1856" i="3" s="1"/>
  <c r="C1857" i="3"/>
  <c r="D1857" i="3" s="1"/>
  <c r="C1858" i="3"/>
  <c r="D1858" i="3" s="1"/>
  <c r="C1859" i="3"/>
  <c r="D1859" i="3" s="1"/>
  <c r="C1860" i="3"/>
  <c r="D1860" i="3" s="1"/>
  <c r="C1861" i="3"/>
  <c r="D1861" i="3" s="1"/>
  <c r="C1862" i="3"/>
  <c r="D1862" i="3" s="1"/>
  <c r="C1863" i="3"/>
  <c r="D1863" i="3" s="1"/>
  <c r="C1864" i="3"/>
  <c r="D1864" i="3" s="1"/>
  <c r="C1865" i="3"/>
  <c r="D1865" i="3" s="1"/>
  <c r="C1866" i="3"/>
  <c r="D1866" i="3" s="1"/>
  <c r="C1867" i="3"/>
  <c r="D1867" i="3" s="1"/>
  <c r="C1868" i="3"/>
  <c r="D1868" i="3" s="1"/>
  <c r="C1869" i="3"/>
  <c r="D1869" i="3" s="1"/>
  <c r="C1870" i="3"/>
  <c r="D1870" i="3" s="1"/>
  <c r="C1871" i="3"/>
  <c r="D1871" i="3" s="1"/>
  <c r="C1872" i="3"/>
  <c r="D1872" i="3" s="1"/>
  <c r="C1873" i="3"/>
  <c r="D1873" i="3" s="1"/>
  <c r="C1874" i="3"/>
  <c r="D1874" i="3" s="1"/>
  <c r="C1875" i="3"/>
  <c r="D1875" i="3" s="1"/>
  <c r="C1876" i="3"/>
  <c r="D1876" i="3" s="1"/>
  <c r="C1877" i="3"/>
  <c r="D1877" i="3" s="1"/>
  <c r="C1878" i="3"/>
  <c r="D1878" i="3" s="1"/>
  <c r="C1879" i="3"/>
  <c r="D1879" i="3" s="1"/>
  <c r="C1880" i="3"/>
  <c r="D1880" i="3" s="1"/>
  <c r="C1881" i="3"/>
  <c r="D1881" i="3" s="1"/>
  <c r="C1882" i="3"/>
  <c r="D1882" i="3" s="1"/>
  <c r="C1883" i="3"/>
  <c r="D1883" i="3" s="1"/>
  <c r="C1884" i="3"/>
  <c r="D1884" i="3" s="1"/>
  <c r="C1885" i="3"/>
  <c r="D1885" i="3" s="1"/>
  <c r="C1886" i="3"/>
  <c r="D1886" i="3" s="1"/>
  <c r="C1887" i="3"/>
  <c r="D1887" i="3" s="1"/>
  <c r="C1888" i="3"/>
  <c r="D1888" i="3" s="1"/>
  <c r="C1889" i="3"/>
  <c r="D1889" i="3" s="1"/>
  <c r="C1890" i="3"/>
  <c r="D1890" i="3" s="1"/>
  <c r="C1891" i="3"/>
  <c r="D1891" i="3" s="1"/>
  <c r="C1892" i="3"/>
  <c r="D1892" i="3" s="1"/>
  <c r="C1893" i="3"/>
  <c r="D1893" i="3" s="1"/>
  <c r="C1894" i="3"/>
  <c r="D1894" i="3" s="1"/>
  <c r="C1895" i="3"/>
  <c r="D1895" i="3" s="1"/>
  <c r="C1896" i="3"/>
  <c r="D1896" i="3" s="1"/>
  <c r="C1897" i="3"/>
  <c r="D1897" i="3" s="1"/>
  <c r="C1898" i="3"/>
  <c r="D1898" i="3" s="1"/>
  <c r="C1899" i="3"/>
  <c r="D1899" i="3" s="1"/>
  <c r="C1900" i="3"/>
  <c r="D1900" i="3" s="1"/>
  <c r="C1901" i="3"/>
  <c r="D1901" i="3" s="1"/>
  <c r="C1902" i="3"/>
  <c r="D1902" i="3" s="1"/>
  <c r="C1903" i="3"/>
  <c r="D1903" i="3" s="1"/>
  <c r="C1904" i="3"/>
  <c r="D1904" i="3" s="1"/>
  <c r="C1905" i="3"/>
  <c r="D1905" i="3" s="1"/>
  <c r="C1906" i="3"/>
  <c r="D1906" i="3" s="1"/>
  <c r="C1907" i="3"/>
  <c r="D1907" i="3" s="1"/>
  <c r="C1908" i="3"/>
  <c r="D1908" i="3" s="1"/>
  <c r="C1909" i="3"/>
  <c r="D1909" i="3" s="1"/>
  <c r="C1910" i="3"/>
  <c r="D1910" i="3" s="1"/>
  <c r="C1911" i="3"/>
  <c r="D1911" i="3" s="1"/>
  <c r="C1912" i="3"/>
  <c r="D1912" i="3" s="1"/>
  <c r="C1913" i="3"/>
  <c r="D1913" i="3" s="1"/>
  <c r="C1914" i="3"/>
  <c r="D1914" i="3" s="1"/>
  <c r="C1915" i="3"/>
  <c r="D1915" i="3" s="1"/>
  <c r="C1916" i="3"/>
  <c r="D1916" i="3" s="1"/>
  <c r="C1917" i="3"/>
  <c r="D1917" i="3" s="1"/>
  <c r="C1918" i="3"/>
  <c r="D1918" i="3" s="1"/>
  <c r="C1919" i="3"/>
  <c r="D1919" i="3" s="1"/>
  <c r="C1920" i="3"/>
  <c r="D1920" i="3" s="1"/>
  <c r="C1921" i="3"/>
  <c r="D1921" i="3" s="1"/>
  <c r="C1922" i="3"/>
  <c r="D1922" i="3" s="1"/>
  <c r="C1923" i="3"/>
  <c r="D1923" i="3" s="1"/>
  <c r="C1924" i="3"/>
  <c r="D1924" i="3" s="1"/>
  <c r="C1925" i="3"/>
  <c r="D1925" i="3" s="1"/>
  <c r="C1926" i="3"/>
  <c r="D1926" i="3" s="1"/>
  <c r="C1927" i="3"/>
  <c r="D1927" i="3" s="1"/>
  <c r="C1928" i="3"/>
  <c r="D1928" i="3" s="1"/>
  <c r="C1929" i="3"/>
  <c r="D1929" i="3" s="1"/>
  <c r="C1930" i="3"/>
  <c r="D1930" i="3" s="1"/>
  <c r="C1931" i="3"/>
  <c r="D1931" i="3" s="1"/>
  <c r="C1932" i="3"/>
  <c r="D1932" i="3" s="1"/>
  <c r="C1933" i="3"/>
  <c r="D1933" i="3" s="1"/>
  <c r="C1934" i="3"/>
  <c r="D1934" i="3" s="1"/>
  <c r="C1935" i="3"/>
  <c r="D1935" i="3" s="1"/>
  <c r="C1936" i="3"/>
  <c r="D1936" i="3" s="1"/>
  <c r="C1937" i="3"/>
  <c r="D1937" i="3" s="1"/>
  <c r="C1938" i="3"/>
  <c r="D1938" i="3" s="1"/>
  <c r="C1939" i="3"/>
  <c r="D1939" i="3" s="1"/>
  <c r="C1940" i="3"/>
  <c r="D1940" i="3" s="1"/>
  <c r="C1941" i="3"/>
  <c r="D1941" i="3" s="1"/>
  <c r="C1942" i="3"/>
  <c r="D1942" i="3" s="1"/>
  <c r="C1943" i="3"/>
  <c r="D1943" i="3" s="1"/>
  <c r="C1944" i="3"/>
  <c r="D1944" i="3" s="1"/>
  <c r="C1945" i="3"/>
  <c r="D1945" i="3" s="1"/>
  <c r="C1946" i="3"/>
  <c r="D1946" i="3" s="1"/>
  <c r="C1947" i="3"/>
  <c r="D1947" i="3" s="1"/>
  <c r="C1948" i="3"/>
  <c r="D1948" i="3" s="1"/>
  <c r="C1949" i="3"/>
  <c r="D1949" i="3" s="1"/>
  <c r="C1950" i="3"/>
  <c r="D1950" i="3" s="1"/>
  <c r="C1951" i="3"/>
  <c r="D1951" i="3" s="1"/>
  <c r="C1952" i="3"/>
  <c r="D1952" i="3" s="1"/>
  <c r="C1953" i="3"/>
  <c r="D1953" i="3" s="1"/>
  <c r="C1954" i="3"/>
  <c r="D1954" i="3" s="1"/>
  <c r="C1955" i="3"/>
  <c r="D1955" i="3" s="1"/>
  <c r="C1956" i="3"/>
  <c r="D1956" i="3" s="1"/>
  <c r="C1957" i="3"/>
  <c r="D1957" i="3" s="1"/>
  <c r="C1958" i="3"/>
  <c r="D1958" i="3" s="1"/>
  <c r="C1959" i="3"/>
  <c r="D1959" i="3" s="1"/>
  <c r="C1960" i="3"/>
  <c r="D1960" i="3" s="1"/>
  <c r="C1961" i="3"/>
  <c r="D1961" i="3" s="1"/>
  <c r="C1962" i="3"/>
  <c r="D1962" i="3" s="1"/>
  <c r="C1963" i="3"/>
  <c r="D1963" i="3" s="1"/>
  <c r="C1964" i="3"/>
  <c r="D1964" i="3" s="1"/>
  <c r="C1965" i="3"/>
  <c r="D1965" i="3" s="1"/>
  <c r="C1966" i="3"/>
  <c r="D1966" i="3" s="1"/>
  <c r="C1967" i="3"/>
  <c r="D1967" i="3" s="1"/>
  <c r="C1968" i="3"/>
  <c r="D1968" i="3" s="1"/>
  <c r="C1969" i="3"/>
  <c r="D1969" i="3" s="1"/>
  <c r="C1970" i="3"/>
  <c r="D1970" i="3" s="1"/>
  <c r="C1971" i="3"/>
  <c r="D1971" i="3" s="1"/>
  <c r="C1972" i="3"/>
  <c r="D1972" i="3" s="1"/>
  <c r="C1973" i="3"/>
  <c r="D1973" i="3" s="1"/>
  <c r="C1974" i="3"/>
  <c r="D1974" i="3" s="1"/>
  <c r="C1975" i="3"/>
  <c r="D1975" i="3" s="1"/>
  <c r="C1976" i="3"/>
  <c r="D1976" i="3" s="1"/>
  <c r="C1977" i="3"/>
  <c r="D1977" i="3" s="1"/>
  <c r="C1978" i="3"/>
  <c r="D1978" i="3" s="1"/>
  <c r="C1979" i="3"/>
  <c r="D1979" i="3" s="1"/>
  <c r="C1980" i="3"/>
  <c r="D1980" i="3" s="1"/>
  <c r="C1981" i="3"/>
  <c r="D1981" i="3" s="1"/>
  <c r="C1982" i="3"/>
  <c r="D1982" i="3" s="1"/>
  <c r="C1983" i="3"/>
  <c r="D1983" i="3" s="1"/>
  <c r="C1984" i="3"/>
  <c r="D1984" i="3" s="1"/>
  <c r="C1985" i="3"/>
  <c r="D1985" i="3" s="1"/>
  <c r="C1986" i="3"/>
  <c r="D1986" i="3" s="1"/>
  <c r="C1987" i="3"/>
  <c r="D1987" i="3" s="1"/>
  <c r="C1988" i="3"/>
  <c r="D1988" i="3" s="1"/>
  <c r="C1989" i="3"/>
  <c r="D1989" i="3" s="1"/>
  <c r="C1990" i="3"/>
  <c r="D1990" i="3" s="1"/>
  <c r="C1991" i="3"/>
  <c r="D1991" i="3" s="1"/>
  <c r="C1992" i="3"/>
  <c r="D1992" i="3" s="1"/>
  <c r="C1993" i="3"/>
  <c r="D1993" i="3" s="1"/>
  <c r="C1994" i="3"/>
  <c r="D1994" i="3" s="1"/>
  <c r="C1995" i="3"/>
  <c r="D1995" i="3" s="1"/>
  <c r="C1996" i="3"/>
  <c r="D1996" i="3" s="1"/>
  <c r="C1997" i="3"/>
  <c r="D1997" i="3" s="1"/>
  <c r="C1998" i="3"/>
  <c r="D1998" i="3" s="1"/>
  <c r="C1999" i="3"/>
  <c r="D1999" i="3" s="1"/>
  <c r="C2000" i="3"/>
  <c r="D2000" i="3" s="1"/>
  <c r="C2001" i="3"/>
  <c r="D2001" i="3" s="1"/>
  <c r="C2002" i="3"/>
  <c r="D2002" i="3" s="1"/>
  <c r="C2003" i="3"/>
  <c r="D2003" i="3" s="1"/>
  <c r="C2004" i="3"/>
  <c r="D2004" i="3" s="1"/>
  <c r="C2005" i="3"/>
  <c r="D2005" i="3" s="1"/>
  <c r="C2006" i="3"/>
  <c r="D2006" i="3" s="1"/>
  <c r="C2007" i="3"/>
  <c r="D2007" i="3" s="1"/>
  <c r="C2008" i="3"/>
  <c r="D2008" i="3" s="1"/>
  <c r="C2009" i="3"/>
  <c r="D2009" i="3" s="1"/>
  <c r="C2010" i="3"/>
  <c r="D2010" i="3" s="1"/>
  <c r="C2011" i="3"/>
  <c r="D2011" i="3" s="1"/>
  <c r="C2012" i="3"/>
  <c r="D2012" i="3" s="1"/>
  <c r="C2013" i="3"/>
  <c r="D2013" i="3" s="1"/>
  <c r="C2014" i="3"/>
  <c r="D2014" i="3" s="1"/>
  <c r="C2015" i="3"/>
  <c r="D2015" i="3" s="1"/>
  <c r="C2016" i="3"/>
  <c r="D2016" i="3" s="1"/>
  <c r="C2017" i="3"/>
  <c r="D2017" i="3" s="1"/>
  <c r="C2018" i="3"/>
  <c r="D2018" i="3" s="1"/>
  <c r="C2019" i="3"/>
  <c r="D2019" i="3" s="1"/>
  <c r="C2020" i="3"/>
  <c r="D2020" i="3" s="1"/>
  <c r="C2021" i="3"/>
  <c r="D2021" i="3" s="1"/>
  <c r="C2022" i="3"/>
  <c r="D2022" i="3" s="1"/>
  <c r="C2023" i="3"/>
  <c r="D2023" i="3" s="1"/>
  <c r="C2024" i="3"/>
  <c r="D2024" i="3" s="1"/>
  <c r="C2025" i="3"/>
  <c r="D2025" i="3" s="1"/>
  <c r="C2026" i="3"/>
  <c r="D2026" i="3" s="1"/>
  <c r="C2027" i="3"/>
  <c r="D2027" i="3" s="1"/>
  <c r="C2028" i="3"/>
  <c r="D2028" i="3" s="1"/>
  <c r="C2029" i="3"/>
  <c r="D2029" i="3" s="1"/>
  <c r="C2030" i="3"/>
  <c r="D2030" i="3" s="1"/>
  <c r="C2031" i="3"/>
  <c r="D2031" i="3" s="1"/>
  <c r="C2032" i="3"/>
  <c r="D2032" i="3" s="1"/>
  <c r="C2033" i="3"/>
  <c r="D2033" i="3" s="1"/>
  <c r="C2034" i="3"/>
  <c r="D2034" i="3" s="1"/>
  <c r="C2035" i="3"/>
  <c r="D2035" i="3" s="1"/>
  <c r="C2036" i="3"/>
  <c r="D2036" i="3" s="1"/>
  <c r="C2037" i="3"/>
  <c r="D2037" i="3" s="1"/>
  <c r="C2038" i="3"/>
  <c r="D2038" i="3" s="1"/>
  <c r="C2039" i="3"/>
  <c r="D2039" i="3" s="1"/>
  <c r="C2040" i="3"/>
  <c r="D2040" i="3" s="1"/>
  <c r="C2041" i="3"/>
  <c r="D2041" i="3" s="1"/>
  <c r="C2042" i="3"/>
  <c r="D2042" i="3" s="1"/>
  <c r="C2043" i="3"/>
  <c r="D2043" i="3" s="1"/>
  <c r="C2044" i="3"/>
  <c r="D2044" i="3" s="1"/>
  <c r="C2045" i="3"/>
  <c r="D2045" i="3" s="1"/>
  <c r="C2046" i="3"/>
  <c r="D2046" i="3" s="1"/>
  <c r="C2047" i="3"/>
  <c r="D2047" i="3" s="1"/>
  <c r="C2048" i="3"/>
  <c r="D2048" i="3" s="1"/>
  <c r="C2049" i="3"/>
  <c r="D2049" i="3" s="1"/>
  <c r="C2050" i="3"/>
  <c r="D2050" i="3" s="1"/>
  <c r="C2051" i="3"/>
  <c r="D2051" i="3" s="1"/>
  <c r="C2052" i="3"/>
  <c r="D2052" i="3" s="1"/>
  <c r="C2053" i="3"/>
  <c r="D2053" i="3" s="1"/>
  <c r="C2054" i="3"/>
  <c r="D2054" i="3" s="1"/>
  <c r="C2055" i="3"/>
  <c r="D2055" i="3" s="1"/>
  <c r="C2056" i="3"/>
  <c r="D2056" i="3" s="1"/>
  <c r="C2057" i="3"/>
  <c r="D2057" i="3" s="1"/>
  <c r="C2058" i="3"/>
  <c r="D2058" i="3" s="1"/>
  <c r="C2059" i="3"/>
  <c r="D2059" i="3" s="1"/>
  <c r="C2060" i="3"/>
  <c r="D2060" i="3" s="1"/>
  <c r="C2061" i="3"/>
  <c r="D2061" i="3" s="1"/>
  <c r="C2062" i="3"/>
  <c r="D2062" i="3" s="1"/>
  <c r="C2063" i="3"/>
  <c r="D2063" i="3" s="1"/>
  <c r="C2064" i="3"/>
  <c r="D2064" i="3" s="1"/>
  <c r="C2065" i="3"/>
  <c r="D2065" i="3" s="1"/>
  <c r="C2066" i="3"/>
  <c r="D2066" i="3" s="1"/>
  <c r="C2067" i="3"/>
  <c r="D2067" i="3" s="1"/>
  <c r="C2068" i="3"/>
  <c r="D2068" i="3" s="1"/>
  <c r="C2069" i="3"/>
  <c r="D2069" i="3" s="1"/>
  <c r="C2070" i="3"/>
  <c r="D2070" i="3" s="1"/>
  <c r="C2071" i="3"/>
  <c r="D2071" i="3" s="1"/>
  <c r="C2072" i="3"/>
  <c r="D2072" i="3" s="1"/>
  <c r="C2073" i="3"/>
  <c r="D2073" i="3" s="1"/>
  <c r="C2074" i="3"/>
  <c r="D2074" i="3" s="1"/>
  <c r="C2075" i="3"/>
  <c r="D2075" i="3" s="1"/>
  <c r="C2076" i="3"/>
  <c r="D2076" i="3" s="1"/>
  <c r="C2077" i="3"/>
  <c r="D2077" i="3" s="1"/>
  <c r="C2078" i="3"/>
  <c r="D2078" i="3" s="1"/>
  <c r="C2079" i="3"/>
  <c r="D2079" i="3" s="1"/>
  <c r="C2080" i="3"/>
  <c r="D2080" i="3" s="1"/>
  <c r="C2081" i="3"/>
  <c r="D2081" i="3" s="1"/>
  <c r="C2082" i="3"/>
  <c r="D2082" i="3" s="1"/>
  <c r="C2083" i="3"/>
  <c r="D2083" i="3" s="1"/>
  <c r="C2084" i="3"/>
  <c r="D2084" i="3" s="1"/>
  <c r="C2085" i="3"/>
  <c r="D2085" i="3" s="1"/>
  <c r="C2086" i="3"/>
  <c r="D2086" i="3" s="1"/>
  <c r="C2087" i="3"/>
  <c r="D2087" i="3" s="1"/>
  <c r="C2088" i="3"/>
  <c r="D2088" i="3" s="1"/>
  <c r="C2089" i="3"/>
  <c r="D2089" i="3" s="1"/>
  <c r="C2090" i="3"/>
  <c r="D2090" i="3" s="1"/>
  <c r="C2091" i="3"/>
  <c r="D2091" i="3" s="1"/>
  <c r="C2092" i="3"/>
  <c r="D2092" i="3" s="1"/>
  <c r="C2093" i="3"/>
  <c r="D2093" i="3" s="1"/>
  <c r="C2094" i="3"/>
  <c r="D2094" i="3" s="1"/>
  <c r="C2095" i="3"/>
  <c r="D2095" i="3" s="1"/>
  <c r="C2096" i="3"/>
  <c r="D2096" i="3" s="1"/>
  <c r="C2097" i="3"/>
  <c r="D2097" i="3" s="1"/>
  <c r="C2098" i="3"/>
  <c r="D2098" i="3" s="1"/>
  <c r="C2099" i="3"/>
  <c r="D2099" i="3" s="1"/>
  <c r="C2100" i="3"/>
  <c r="D2100" i="3" s="1"/>
  <c r="C2101" i="3"/>
  <c r="D2101" i="3" s="1"/>
  <c r="C2102" i="3"/>
  <c r="D2102" i="3" s="1"/>
  <c r="C2103" i="3"/>
  <c r="D2103" i="3" s="1"/>
  <c r="C2104" i="3"/>
  <c r="D2104" i="3" s="1"/>
  <c r="C2105" i="3"/>
  <c r="D2105" i="3" s="1"/>
  <c r="C2106" i="3"/>
  <c r="D2106" i="3" s="1"/>
  <c r="C2107" i="3"/>
  <c r="D2107" i="3" s="1"/>
  <c r="C2108" i="3"/>
  <c r="D2108" i="3" s="1"/>
  <c r="C2109" i="3"/>
  <c r="D2109" i="3" s="1"/>
  <c r="C2110" i="3"/>
  <c r="D2110" i="3" s="1"/>
  <c r="C2111" i="3"/>
  <c r="D2111" i="3" s="1"/>
  <c r="C2112" i="3"/>
  <c r="D2112" i="3" s="1"/>
  <c r="C2113" i="3"/>
  <c r="D2113" i="3" s="1"/>
  <c r="C2114" i="3"/>
  <c r="D2114" i="3" s="1"/>
  <c r="C2115" i="3"/>
  <c r="D2115" i="3" s="1"/>
  <c r="C2116" i="3"/>
  <c r="D2116" i="3" s="1"/>
  <c r="C2117" i="3"/>
  <c r="D2117" i="3" s="1"/>
  <c r="C2118" i="3"/>
  <c r="D2118" i="3" s="1"/>
  <c r="C2119" i="3"/>
  <c r="D2119" i="3" s="1"/>
  <c r="C2120" i="3"/>
  <c r="D2120" i="3" s="1"/>
  <c r="C2121" i="3"/>
  <c r="D2121" i="3" s="1"/>
  <c r="C2122" i="3"/>
  <c r="D2122" i="3" s="1"/>
  <c r="C2123" i="3"/>
  <c r="D2123" i="3" s="1"/>
  <c r="C2124" i="3"/>
  <c r="D2124" i="3" s="1"/>
  <c r="C2125" i="3"/>
  <c r="D2125" i="3" s="1"/>
  <c r="C2126" i="3"/>
  <c r="D2126" i="3" s="1"/>
  <c r="C2127" i="3"/>
  <c r="D2127" i="3" s="1"/>
  <c r="C2128" i="3"/>
  <c r="D2128" i="3" s="1"/>
  <c r="C2129" i="3"/>
  <c r="D2129" i="3" s="1"/>
  <c r="C2130" i="3"/>
  <c r="D2130" i="3" s="1"/>
  <c r="C2131" i="3"/>
  <c r="D2131" i="3" s="1"/>
  <c r="C2132" i="3"/>
  <c r="D2132" i="3" s="1"/>
  <c r="C2133" i="3"/>
  <c r="D2133" i="3" s="1"/>
  <c r="C2134" i="3"/>
  <c r="D2134" i="3" s="1"/>
  <c r="C2135" i="3"/>
  <c r="D2135" i="3" s="1"/>
  <c r="C2136" i="3"/>
  <c r="D2136" i="3" s="1"/>
  <c r="C2137" i="3"/>
  <c r="D2137" i="3" s="1"/>
  <c r="C2138" i="3"/>
  <c r="D2138" i="3" s="1"/>
  <c r="C2139" i="3"/>
  <c r="D2139" i="3" s="1"/>
  <c r="C2140" i="3"/>
  <c r="D2140" i="3" s="1"/>
  <c r="C2141" i="3"/>
  <c r="D2141" i="3" s="1"/>
  <c r="C2142" i="3"/>
  <c r="D2142" i="3" s="1"/>
  <c r="C2143" i="3"/>
  <c r="D2143" i="3" s="1"/>
  <c r="C2144" i="3"/>
  <c r="D2144" i="3" s="1"/>
  <c r="C2145" i="3"/>
  <c r="D2145" i="3" s="1"/>
  <c r="C2146" i="3"/>
  <c r="D2146" i="3" s="1"/>
  <c r="C2147" i="3"/>
  <c r="D2147" i="3" s="1"/>
  <c r="C2148" i="3"/>
  <c r="D2148" i="3" s="1"/>
  <c r="C2149" i="3"/>
  <c r="D2149" i="3" s="1"/>
  <c r="C2150" i="3"/>
  <c r="D2150" i="3" s="1"/>
  <c r="C2151" i="3"/>
  <c r="D2151" i="3" s="1"/>
  <c r="C2152" i="3"/>
  <c r="D2152" i="3" s="1"/>
  <c r="C2153" i="3"/>
  <c r="D2153" i="3" s="1"/>
  <c r="C2154" i="3"/>
  <c r="D2154" i="3" s="1"/>
  <c r="C2155" i="3"/>
  <c r="D2155" i="3" s="1"/>
  <c r="C2156" i="3"/>
  <c r="D2156" i="3" s="1"/>
  <c r="C2157" i="3"/>
  <c r="D2157" i="3" s="1"/>
  <c r="C2158" i="3"/>
  <c r="D2158" i="3" s="1"/>
  <c r="C2159" i="3"/>
  <c r="D2159" i="3" s="1"/>
  <c r="C2160" i="3"/>
  <c r="D2160" i="3" s="1"/>
  <c r="C2161" i="3"/>
  <c r="D2161" i="3" s="1"/>
  <c r="C2162" i="3"/>
  <c r="D2162" i="3" s="1"/>
  <c r="C2163" i="3"/>
  <c r="D2163" i="3" s="1"/>
  <c r="C2164" i="3"/>
  <c r="D2164" i="3" s="1"/>
  <c r="C2165" i="3"/>
  <c r="D2165" i="3" s="1"/>
  <c r="C2166" i="3"/>
  <c r="D2166" i="3" s="1"/>
  <c r="C2167" i="3"/>
  <c r="D2167" i="3" s="1"/>
  <c r="C2168" i="3"/>
  <c r="D2168" i="3" s="1"/>
  <c r="C2169" i="3"/>
  <c r="D2169" i="3" s="1"/>
  <c r="C2170" i="3"/>
  <c r="D2170" i="3" s="1"/>
  <c r="C2171" i="3"/>
  <c r="D2171" i="3" s="1"/>
  <c r="C2172" i="3"/>
  <c r="D2172" i="3" s="1"/>
  <c r="C2173" i="3"/>
  <c r="D2173" i="3" s="1"/>
  <c r="C2174" i="3"/>
  <c r="D2174" i="3" s="1"/>
  <c r="C2175" i="3"/>
  <c r="D2175" i="3" s="1"/>
  <c r="C2176" i="3"/>
  <c r="D2176" i="3" s="1"/>
  <c r="C2177" i="3"/>
  <c r="D2177" i="3" s="1"/>
  <c r="C2178" i="3"/>
  <c r="D2178" i="3" s="1"/>
  <c r="C2179" i="3"/>
  <c r="D2179" i="3" s="1"/>
  <c r="C2180" i="3"/>
  <c r="D2180" i="3" s="1"/>
  <c r="C2181" i="3"/>
  <c r="D2181" i="3" s="1"/>
  <c r="C2182" i="3"/>
  <c r="D2182" i="3" s="1"/>
  <c r="C2183" i="3"/>
  <c r="D2183" i="3" s="1"/>
  <c r="C2184" i="3"/>
  <c r="D2184" i="3" s="1"/>
  <c r="C2185" i="3"/>
  <c r="D2185" i="3" s="1"/>
  <c r="C2186" i="3"/>
  <c r="D2186" i="3" s="1"/>
  <c r="C2187" i="3"/>
  <c r="D2187" i="3" s="1"/>
  <c r="C2188" i="3"/>
  <c r="D2188" i="3" s="1"/>
  <c r="C2189" i="3"/>
  <c r="D2189" i="3" s="1"/>
  <c r="C2190" i="3"/>
  <c r="D2190" i="3" s="1"/>
  <c r="C2191" i="3"/>
  <c r="D2191" i="3" s="1"/>
  <c r="C2192" i="3"/>
  <c r="D2192" i="3" s="1"/>
  <c r="C2193" i="3"/>
  <c r="D2193" i="3" s="1"/>
  <c r="C2194" i="3"/>
  <c r="D2194" i="3" s="1"/>
  <c r="C2195" i="3"/>
  <c r="D2195" i="3" s="1"/>
  <c r="C2196" i="3"/>
  <c r="D2196" i="3" s="1"/>
  <c r="C2197" i="3"/>
  <c r="D2197" i="3" s="1"/>
  <c r="C2198" i="3"/>
  <c r="D2198" i="3" s="1"/>
  <c r="C2199" i="3"/>
  <c r="D2199" i="3" s="1"/>
  <c r="C2200" i="3"/>
  <c r="D2200" i="3" s="1"/>
  <c r="C2201" i="3"/>
  <c r="D2201" i="3" s="1"/>
  <c r="C2202" i="3"/>
  <c r="D2202" i="3" s="1"/>
  <c r="C2203" i="3"/>
  <c r="D2203" i="3" s="1"/>
  <c r="C2204" i="3"/>
  <c r="D2204" i="3" s="1"/>
  <c r="C2205" i="3"/>
  <c r="D2205" i="3" s="1"/>
  <c r="C2206" i="3"/>
  <c r="D2206" i="3" s="1"/>
  <c r="C2207" i="3"/>
  <c r="D2207" i="3" s="1"/>
  <c r="C2208" i="3"/>
  <c r="D2208" i="3" s="1"/>
  <c r="C2209" i="3"/>
  <c r="D2209" i="3" s="1"/>
  <c r="C2210" i="3"/>
  <c r="D2210" i="3" s="1"/>
  <c r="C2211" i="3"/>
  <c r="D2211" i="3" s="1"/>
  <c r="C2212" i="3"/>
  <c r="D2212" i="3" s="1"/>
  <c r="C2213" i="3"/>
  <c r="D2213" i="3" s="1"/>
  <c r="C2214" i="3"/>
  <c r="D2214" i="3" s="1"/>
  <c r="C2215" i="3"/>
  <c r="D2215" i="3" s="1"/>
  <c r="C2216" i="3"/>
  <c r="D2216" i="3" s="1"/>
  <c r="C2217" i="3"/>
  <c r="D2217" i="3" s="1"/>
  <c r="C2218" i="3"/>
  <c r="D2218" i="3" s="1"/>
  <c r="C2219" i="3"/>
  <c r="D2219" i="3" s="1"/>
  <c r="C2220" i="3"/>
  <c r="D2220" i="3" s="1"/>
  <c r="C2221" i="3"/>
  <c r="D2221" i="3" s="1"/>
  <c r="C2222" i="3"/>
  <c r="D2222" i="3" s="1"/>
  <c r="C2223" i="3"/>
  <c r="D2223" i="3" s="1"/>
  <c r="C2224" i="3"/>
  <c r="D2224" i="3" s="1"/>
  <c r="C2225" i="3"/>
  <c r="D2225" i="3" s="1"/>
  <c r="C2226" i="3"/>
  <c r="D2226" i="3" s="1"/>
  <c r="C2227" i="3"/>
  <c r="D2227" i="3" s="1"/>
  <c r="C2228" i="3"/>
  <c r="D2228" i="3" s="1"/>
  <c r="C2229" i="3"/>
  <c r="D2229" i="3" s="1"/>
  <c r="C2230" i="3"/>
  <c r="D2230" i="3" s="1"/>
  <c r="C2231" i="3"/>
  <c r="D2231" i="3" s="1"/>
  <c r="C2232" i="3"/>
  <c r="D2232" i="3" s="1"/>
  <c r="C2233" i="3"/>
  <c r="D2233" i="3" s="1"/>
  <c r="C2234" i="3"/>
  <c r="D2234" i="3" s="1"/>
  <c r="C2235" i="3"/>
  <c r="D2235" i="3" s="1"/>
  <c r="C2236" i="3"/>
  <c r="D2236" i="3" s="1"/>
  <c r="C2237" i="3"/>
  <c r="D2237" i="3" s="1"/>
  <c r="C2238" i="3"/>
  <c r="D2238" i="3" s="1"/>
  <c r="C2239" i="3"/>
  <c r="D2239" i="3" s="1"/>
  <c r="C2240" i="3"/>
  <c r="D2240" i="3" s="1"/>
  <c r="C2241" i="3"/>
  <c r="D2241" i="3" s="1"/>
  <c r="C2242" i="3"/>
  <c r="D2242" i="3" s="1"/>
  <c r="C2243" i="3"/>
  <c r="D2243" i="3" s="1"/>
  <c r="C2244" i="3"/>
  <c r="D2244" i="3" s="1"/>
  <c r="C2245" i="3"/>
  <c r="D2245" i="3" s="1"/>
  <c r="C2246" i="3"/>
  <c r="D2246" i="3" s="1"/>
  <c r="C2247" i="3"/>
  <c r="D2247" i="3" s="1"/>
  <c r="C2248" i="3"/>
  <c r="D2248" i="3" s="1"/>
  <c r="C2249" i="3"/>
  <c r="D2249" i="3" s="1"/>
  <c r="C2250" i="3"/>
  <c r="D2250" i="3" s="1"/>
  <c r="C2251" i="3"/>
  <c r="D2251" i="3" s="1"/>
  <c r="C2252" i="3"/>
  <c r="D2252" i="3" s="1"/>
  <c r="C2253" i="3"/>
  <c r="D2253" i="3" s="1"/>
  <c r="C2254" i="3"/>
  <c r="D2254" i="3" s="1"/>
  <c r="C2255" i="3"/>
  <c r="D2255" i="3" s="1"/>
  <c r="C2256" i="3"/>
  <c r="D2256" i="3" s="1"/>
  <c r="C2257" i="3"/>
  <c r="D2257" i="3" s="1"/>
  <c r="C2258" i="3"/>
  <c r="D2258" i="3" s="1"/>
  <c r="C2259" i="3"/>
  <c r="D2259" i="3" s="1"/>
  <c r="C2260" i="3"/>
  <c r="D2260" i="3" s="1"/>
  <c r="C2261" i="3"/>
  <c r="D2261" i="3" s="1"/>
  <c r="C2262" i="3"/>
  <c r="D2262" i="3" s="1"/>
  <c r="C2263" i="3"/>
  <c r="D2263" i="3" s="1"/>
  <c r="C2264" i="3"/>
  <c r="D2264" i="3" s="1"/>
  <c r="C2265" i="3"/>
  <c r="D2265" i="3" s="1"/>
  <c r="C2266" i="3"/>
  <c r="D2266" i="3" s="1"/>
  <c r="C2267" i="3"/>
  <c r="D2267" i="3" s="1"/>
  <c r="C2268" i="3"/>
  <c r="D2268" i="3" s="1"/>
  <c r="C2269" i="3"/>
  <c r="D2269" i="3" s="1"/>
  <c r="C2270" i="3"/>
  <c r="D2270" i="3" s="1"/>
  <c r="C2271" i="3"/>
  <c r="D2271" i="3" s="1"/>
  <c r="C2272" i="3"/>
  <c r="D2272" i="3" s="1"/>
  <c r="C2273" i="3"/>
  <c r="D2273" i="3" s="1"/>
  <c r="C2274" i="3"/>
  <c r="D2274" i="3" s="1"/>
  <c r="C2275" i="3"/>
  <c r="D2275" i="3" s="1"/>
  <c r="C2276" i="3"/>
  <c r="D2276" i="3" s="1"/>
  <c r="C2277" i="3"/>
  <c r="D2277" i="3" s="1"/>
  <c r="C2278" i="3"/>
  <c r="D2278" i="3" s="1"/>
  <c r="C2279" i="3"/>
  <c r="D2279" i="3" s="1"/>
  <c r="C2280" i="3"/>
  <c r="D2280" i="3" s="1"/>
  <c r="C2281" i="3"/>
  <c r="D2281" i="3" s="1"/>
  <c r="C2282" i="3"/>
  <c r="D2282" i="3" s="1"/>
  <c r="C2283" i="3"/>
  <c r="D2283" i="3" s="1"/>
  <c r="C2284" i="3"/>
  <c r="D2284" i="3" s="1"/>
  <c r="C2285" i="3"/>
  <c r="D2285" i="3" s="1"/>
  <c r="C2286" i="3"/>
  <c r="D2286" i="3" s="1"/>
  <c r="C2287" i="3"/>
  <c r="D2287" i="3" s="1"/>
  <c r="C2288" i="3"/>
  <c r="D2288" i="3" s="1"/>
  <c r="C2289" i="3"/>
  <c r="D2289" i="3" s="1"/>
  <c r="C2290" i="3"/>
  <c r="D2290" i="3" s="1"/>
  <c r="C2291" i="3"/>
  <c r="D2291" i="3" s="1"/>
  <c r="C2292" i="3"/>
  <c r="D2292" i="3" s="1"/>
  <c r="C2293" i="3"/>
  <c r="D2293" i="3" s="1"/>
  <c r="C2294" i="3"/>
  <c r="D2294" i="3" s="1"/>
  <c r="C2295" i="3"/>
  <c r="D2295" i="3" s="1"/>
  <c r="C2296" i="3"/>
  <c r="D2296" i="3" s="1"/>
  <c r="C2297" i="3"/>
  <c r="D2297" i="3" s="1"/>
  <c r="C2298" i="3"/>
  <c r="D2298" i="3" s="1"/>
  <c r="C2299" i="3"/>
  <c r="D2299" i="3" s="1"/>
  <c r="C2300" i="3"/>
  <c r="D2300" i="3" s="1"/>
  <c r="C2301" i="3"/>
  <c r="D2301" i="3" s="1"/>
  <c r="C2302" i="3"/>
  <c r="D2302" i="3" s="1"/>
  <c r="C2303" i="3"/>
  <c r="D2303" i="3" s="1"/>
  <c r="C2304" i="3"/>
  <c r="D2304" i="3" s="1"/>
  <c r="C2305" i="3"/>
  <c r="D2305" i="3" s="1"/>
  <c r="C2306" i="3"/>
  <c r="D2306" i="3" s="1"/>
  <c r="C2307" i="3"/>
  <c r="D2307" i="3" s="1"/>
  <c r="C2308" i="3"/>
  <c r="D2308" i="3" s="1"/>
  <c r="C2309" i="3"/>
  <c r="D2309" i="3" s="1"/>
  <c r="C2310" i="3"/>
  <c r="D2310" i="3" s="1"/>
  <c r="C2311" i="3"/>
  <c r="D2311" i="3" s="1"/>
  <c r="C2312" i="3"/>
  <c r="D2312" i="3" s="1"/>
  <c r="C2313" i="3"/>
  <c r="D2313" i="3" s="1"/>
  <c r="C2314" i="3"/>
  <c r="D2314" i="3" s="1"/>
  <c r="C2315" i="3"/>
  <c r="D2315" i="3" s="1"/>
  <c r="C2316" i="3"/>
  <c r="D2316" i="3" s="1"/>
  <c r="C2317" i="3"/>
  <c r="D2317" i="3" s="1"/>
  <c r="C2318" i="3"/>
  <c r="D2318" i="3" s="1"/>
  <c r="C2319" i="3"/>
  <c r="D2319" i="3" s="1"/>
  <c r="C2320" i="3"/>
  <c r="D2320" i="3" s="1"/>
  <c r="C2321" i="3"/>
  <c r="D2321" i="3" s="1"/>
  <c r="C2322" i="3"/>
  <c r="D2322" i="3" s="1"/>
  <c r="C2323" i="3"/>
  <c r="D2323" i="3" s="1"/>
  <c r="C2324" i="3"/>
  <c r="D2324" i="3" s="1"/>
  <c r="C2325" i="3"/>
  <c r="D2325" i="3" s="1"/>
  <c r="C2326" i="3"/>
  <c r="D2326" i="3" s="1"/>
  <c r="C2327" i="3"/>
  <c r="D2327" i="3" s="1"/>
  <c r="C2328" i="3"/>
  <c r="D2328" i="3" s="1"/>
  <c r="C2329" i="3"/>
  <c r="D2329" i="3" s="1"/>
  <c r="C2330" i="3"/>
  <c r="D2330" i="3" s="1"/>
  <c r="C2331" i="3"/>
  <c r="D2331" i="3" s="1"/>
  <c r="C2332" i="3"/>
  <c r="D2332" i="3" s="1"/>
  <c r="C2333" i="3"/>
  <c r="D2333" i="3" s="1"/>
  <c r="C2334" i="3"/>
  <c r="D2334" i="3" s="1"/>
  <c r="C2335" i="3"/>
  <c r="D2335" i="3" s="1"/>
  <c r="C2336" i="3"/>
  <c r="D2336" i="3" s="1"/>
  <c r="C2337" i="3"/>
  <c r="D2337" i="3" s="1"/>
  <c r="C2338" i="3"/>
  <c r="D2338" i="3" s="1"/>
  <c r="C2339" i="3"/>
  <c r="D2339" i="3" s="1"/>
  <c r="C2340" i="3"/>
  <c r="D2340" i="3" s="1"/>
  <c r="C2341" i="3"/>
  <c r="D2341" i="3" s="1"/>
  <c r="C2342" i="3"/>
  <c r="D2342" i="3" s="1"/>
  <c r="C2343" i="3"/>
  <c r="D2343" i="3" s="1"/>
  <c r="C2344" i="3"/>
  <c r="D2344" i="3" s="1"/>
  <c r="C2345" i="3"/>
  <c r="D2345" i="3" s="1"/>
  <c r="C2346" i="3"/>
  <c r="D2346" i="3" s="1"/>
  <c r="C2347" i="3"/>
  <c r="D2347" i="3" s="1"/>
  <c r="C2348" i="3"/>
  <c r="D2348" i="3" s="1"/>
  <c r="C2349" i="3"/>
  <c r="D2349" i="3" s="1"/>
  <c r="C2350" i="3"/>
  <c r="D2350" i="3" s="1"/>
  <c r="C2351" i="3"/>
  <c r="D2351" i="3" s="1"/>
  <c r="C2352" i="3"/>
  <c r="D2352" i="3" s="1"/>
  <c r="C2353" i="3"/>
  <c r="D2353" i="3" s="1"/>
  <c r="C2354" i="3"/>
  <c r="D2354" i="3" s="1"/>
  <c r="C2355" i="3"/>
  <c r="D2355" i="3" s="1"/>
  <c r="C2356" i="3"/>
  <c r="D2356" i="3" s="1"/>
  <c r="C2357" i="3"/>
  <c r="D2357" i="3" s="1"/>
  <c r="C2358" i="3"/>
  <c r="D2358" i="3" s="1"/>
  <c r="C2359" i="3"/>
  <c r="D2359" i="3" s="1"/>
  <c r="C2360" i="3"/>
  <c r="D2360" i="3" s="1"/>
  <c r="C2361" i="3"/>
  <c r="D2361" i="3" s="1"/>
  <c r="C2362" i="3"/>
  <c r="D2362" i="3" s="1"/>
  <c r="C2363" i="3"/>
  <c r="D2363" i="3" s="1"/>
  <c r="C2364" i="3"/>
  <c r="D2364" i="3" s="1"/>
  <c r="C2365" i="3"/>
  <c r="D2365" i="3" s="1"/>
  <c r="C2366" i="3"/>
  <c r="D2366" i="3" s="1"/>
  <c r="C2367" i="3"/>
  <c r="D2367" i="3" s="1"/>
  <c r="C2368" i="3"/>
  <c r="D2368" i="3" s="1"/>
  <c r="C2369" i="3"/>
  <c r="D2369" i="3" s="1"/>
  <c r="C2370" i="3"/>
  <c r="D2370" i="3" s="1"/>
  <c r="C2371" i="3"/>
  <c r="D2371" i="3" s="1"/>
  <c r="C2372" i="3"/>
  <c r="D2372" i="3" s="1"/>
  <c r="C2373" i="3"/>
  <c r="D2373" i="3" s="1"/>
  <c r="C2374" i="3"/>
  <c r="D2374" i="3" s="1"/>
  <c r="C2375" i="3"/>
  <c r="D2375" i="3" s="1"/>
  <c r="C2376" i="3"/>
  <c r="D2376" i="3" s="1"/>
  <c r="C2377" i="3"/>
  <c r="D2377" i="3" s="1"/>
  <c r="C2378" i="3"/>
  <c r="D2378" i="3" s="1"/>
  <c r="C2379" i="3"/>
  <c r="D2379" i="3" s="1"/>
  <c r="C2380" i="3"/>
  <c r="D2380" i="3" s="1"/>
  <c r="C2381" i="3"/>
  <c r="D2381" i="3" s="1"/>
  <c r="C2382" i="3"/>
  <c r="D2382" i="3" s="1"/>
  <c r="C2383" i="3"/>
  <c r="D2383" i="3" s="1"/>
  <c r="C2384" i="3"/>
  <c r="D2384" i="3" s="1"/>
  <c r="C2385" i="3"/>
  <c r="D2385" i="3" s="1"/>
  <c r="C2386" i="3"/>
  <c r="D2386" i="3" s="1"/>
  <c r="C2387" i="3"/>
  <c r="D2387" i="3" s="1"/>
  <c r="C2388" i="3"/>
  <c r="D2388" i="3" s="1"/>
  <c r="C2389" i="3"/>
  <c r="D2389" i="3" s="1"/>
  <c r="C2390" i="3"/>
  <c r="D2390" i="3" s="1"/>
  <c r="C2391" i="3"/>
  <c r="D2391" i="3" s="1"/>
  <c r="C2392" i="3"/>
  <c r="D2392" i="3" s="1"/>
  <c r="C2393" i="3"/>
  <c r="D2393" i="3" s="1"/>
  <c r="C2394" i="3"/>
  <c r="D2394" i="3" s="1"/>
  <c r="C2395" i="3"/>
  <c r="D2395" i="3" s="1"/>
  <c r="C2396" i="3"/>
  <c r="D2396" i="3" s="1"/>
  <c r="C2397" i="3"/>
  <c r="D2397" i="3" s="1"/>
  <c r="C2398" i="3"/>
  <c r="D2398" i="3" s="1"/>
  <c r="C2399" i="3"/>
  <c r="D2399" i="3" s="1"/>
  <c r="C2400" i="3"/>
  <c r="D2400" i="3" s="1"/>
  <c r="C2401" i="3"/>
  <c r="D2401" i="3" s="1"/>
  <c r="C2402" i="3"/>
  <c r="D2402" i="3" s="1"/>
  <c r="C2403" i="3"/>
  <c r="D2403" i="3" s="1"/>
  <c r="C2404" i="3"/>
  <c r="D2404" i="3" s="1"/>
  <c r="C2405" i="3"/>
  <c r="D2405" i="3" s="1"/>
  <c r="C2406" i="3"/>
  <c r="D2406" i="3" s="1"/>
  <c r="C2407" i="3"/>
  <c r="D2407" i="3" s="1"/>
  <c r="C2408" i="3"/>
  <c r="D2408" i="3" s="1"/>
  <c r="C2409" i="3"/>
  <c r="D2409" i="3" s="1"/>
  <c r="C2410" i="3"/>
  <c r="D2410" i="3" s="1"/>
  <c r="C2411" i="3"/>
  <c r="D2411" i="3" s="1"/>
  <c r="C2412" i="3"/>
  <c r="D2412" i="3" s="1"/>
  <c r="C2413" i="3"/>
  <c r="D2413" i="3" s="1"/>
  <c r="C2414" i="3"/>
  <c r="D2414" i="3" s="1"/>
  <c r="C2415" i="3"/>
  <c r="D2415" i="3" s="1"/>
  <c r="C2416" i="3"/>
  <c r="D2416" i="3" s="1"/>
  <c r="C2417" i="3"/>
  <c r="D2417" i="3" s="1"/>
  <c r="C2418" i="3"/>
  <c r="D2418" i="3" s="1"/>
  <c r="C2419" i="3"/>
  <c r="D2419" i="3" s="1"/>
  <c r="C2420" i="3"/>
  <c r="D2420" i="3" s="1"/>
  <c r="C2421" i="3"/>
  <c r="D2421" i="3" s="1"/>
  <c r="C2422" i="3"/>
  <c r="D2422" i="3" s="1"/>
  <c r="C2423" i="3"/>
  <c r="D2423" i="3" s="1"/>
  <c r="C2424" i="3"/>
  <c r="D2424" i="3" s="1"/>
  <c r="C2425" i="3"/>
  <c r="D2425" i="3" s="1"/>
  <c r="C2426" i="3"/>
  <c r="D2426" i="3" s="1"/>
  <c r="C2427" i="3"/>
  <c r="D2427" i="3" s="1"/>
  <c r="C2428" i="3"/>
  <c r="D2428" i="3" s="1"/>
  <c r="C2429" i="3"/>
  <c r="D2429" i="3" s="1"/>
  <c r="C2430" i="3"/>
  <c r="D2430" i="3" s="1"/>
  <c r="C2431" i="3"/>
  <c r="D2431" i="3" s="1"/>
  <c r="C2432" i="3"/>
  <c r="D2432" i="3" s="1"/>
  <c r="C2433" i="3"/>
  <c r="D2433" i="3" s="1"/>
  <c r="C2434" i="3"/>
  <c r="D2434" i="3" s="1"/>
  <c r="C2435" i="3"/>
  <c r="D2435" i="3" s="1"/>
  <c r="C2436" i="3"/>
  <c r="D2436" i="3" s="1"/>
  <c r="C2437" i="3"/>
  <c r="D2437" i="3" s="1"/>
  <c r="C2438" i="3"/>
  <c r="D2438" i="3" s="1"/>
  <c r="C2439" i="3"/>
  <c r="D2439" i="3" s="1"/>
  <c r="C2440" i="3"/>
  <c r="D2440" i="3" s="1"/>
  <c r="C2441" i="3"/>
  <c r="D2441" i="3" s="1"/>
  <c r="C2442" i="3"/>
  <c r="D2442" i="3" s="1"/>
  <c r="C2443" i="3"/>
  <c r="D2443" i="3" s="1"/>
  <c r="C2444" i="3"/>
  <c r="D2444" i="3" s="1"/>
  <c r="C2445" i="3"/>
  <c r="D2445" i="3" s="1"/>
  <c r="C2446" i="3"/>
  <c r="D2446" i="3" s="1"/>
  <c r="C2447" i="3"/>
  <c r="D2447" i="3" s="1"/>
  <c r="C2448" i="3"/>
  <c r="D2448" i="3" s="1"/>
  <c r="C2449" i="3"/>
  <c r="D2449" i="3" s="1"/>
  <c r="C2450" i="3"/>
  <c r="D2450" i="3" s="1"/>
  <c r="C2451" i="3"/>
  <c r="D2451" i="3" s="1"/>
  <c r="C2452" i="3"/>
  <c r="D2452" i="3" s="1"/>
  <c r="C2453" i="3"/>
  <c r="D2453" i="3" s="1"/>
  <c r="C2454" i="3"/>
  <c r="D2454" i="3" s="1"/>
  <c r="C2455" i="3"/>
  <c r="D2455" i="3" s="1"/>
  <c r="C2456" i="3"/>
  <c r="D2456" i="3" s="1"/>
  <c r="C2457" i="3"/>
  <c r="D2457" i="3" s="1"/>
  <c r="C2458" i="3"/>
  <c r="D2458" i="3" s="1"/>
  <c r="C2459" i="3"/>
  <c r="D2459" i="3" s="1"/>
  <c r="C2460" i="3"/>
  <c r="D2460" i="3" s="1"/>
  <c r="C2461" i="3"/>
  <c r="D2461" i="3" s="1"/>
  <c r="C2462" i="3"/>
  <c r="D2462" i="3" s="1"/>
  <c r="C2463" i="3"/>
  <c r="D2463" i="3" s="1"/>
  <c r="C2464" i="3"/>
  <c r="D2464" i="3" s="1"/>
  <c r="C2465" i="3"/>
  <c r="D2465" i="3" s="1"/>
  <c r="C2466" i="3"/>
  <c r="D2466" i="3" s="1"/>
  <c r="C2467" i="3"/>
  <c r="D2467" i="3" s="1"/>
  <c r="C2468" i="3"/>
  <c r="D2468" i="3" s="1"/>
  <c r="C2469" i="3"/>
  <c r="D2469" i="3" s="1"/>
  <c r="C2470" i="3"/>
  <c r="D2470" i="3" s="1"/>
  <c r="C2471" i="3"/>
  <c r="D2471" i="3" s="1"/>
  <c r="C2472" i="3"/>
  <c r="D2472" i="3" s="1"/>
  <c r="C2473" i="3"/>
  <c r="D2473" i="3" s="1"/>
  <c r="C2474" i="3"/>
  <c r="D2474" i="3" s="1"/>
  <c r="C2475" i="3"/>
  <c r="D2475" i="3" s="1"/>
  <c r="C2476" i="3"/>
  <c r="D2476" i="3" s="1"/>
  <c r="C2477" i="3"/>
  <c r="D2477" i="3" s="1"/>
  <c r="C2478" i="3"/>
  <c r="D2478" i="3" s="1"/>
  <c r="C2479" i="3"/>
  <c r="D2479" i="3" s="1"/>
  <c r="C2480" i="3"/>
  <c r="D2480" i="3" s="1"/>
  <c r="C2481" i="3"/>
  <c r="D2481" i="3" s="1"/>
  <c r="C2482" i="3"/>
  <c r="D2482" i="3" s="1"/>
  <c r="C2483" i="3"/>
  <c r="D2483" i="3" s="1"/>
  <c r="C2484" i="3"/>
  <c r="D2484" i="3" s="1"/>
  <c r="C2485" i="3"/>
  <c r="D2485" i="3" s="1"/>
  <c r="C2486" i="3"/>
  <c r="D2486" i="3" s="1"/>
  <c r="C2487" i="3"/>
  <c r="D2487" i="3" s="1"/>
  <c r="C2488" i="3"/>
  <c r="D2488" i="3" s="1"/>
  <c r="C2489" i="3"/>
  <c r="D2489" i="3" s="1"/>
  <c r="C2490" i="3"/>
  <c r="D2490" i="3" s="1"/>
  <c r="C2491" i="3"/>
  <c r="D2491" i="3" s="1"/>
  <c r="C2492" i="3"/>
  <c r="D2492" i="3" s="1"/>
  <c r="C2493" i="3"/>
  <c r="D2493" i="3" s="1"/>
  <c r="C2494" i="3"/>
  <c r="D2494" i="3" s="1"/>
  <c r="C2495" i="3"/>
  <c r="D2495" i="3" s="1"/>
  <c r="C2496" i="3"/>
  <c r="D2496" i="3" s="1"/>
  <c r="C2497" i="3"/>
  <c r="D2497" i="3" s="1"/>
  <c r="C2498" i="3"/>
  <c r="D2498" i="3" s="1"/>
  <c r="C2499" i="3"/>
  <c r="D2499" i="3" s="1"/>
  <c r="C2500" i="3"/>
  <c r="D2500" i="3" s="1"/>
  <c r="C2501" i="3"/>
  <c r="D2501" i="3" s="1"/>
  <c r="C2502" i="3"/>
  <c r="D2502" i="3" s="1"/>
  <c r="C2503" i="3"/>
  <c r="D2503" i="3" s="1"/>
  <c r="C2504" i="3"/>
  <c r="D2504" i="3" s="1"/>
  <c r="C2505" i="3"/>
  <c r="D2505" i="3" s="1"/>
  <c r="C2506" i="3"/>
  <c r="D2506" i="3" s="1"/>
  <c r="C2507" i="3"/>
  <c r="D2507" i="3" s="1"/>
  <c r="C2508" i="3"/>
  <c r="D2508" i="3" s="1"/>
  <c r="C2509" i="3"/>
  <c r="D2509" i="3" s="1"/>
  <c r="C2510" i="3"/>
  <c r="D2510" i="3" s="1"/>
  <c r="C2511" i="3"/>
  <c r="D2511" i="3" s="1"/>
  <c r="C2512" i="3"/>
  <c r="D2512" i="3" s="1"/>
  <c r="C2513" i="3"/>
  <c r="D2513" i="3" s="1"/>
  <c r="C2514" i="3"/>
  <c r="D2514" i="3" s="1"/>
  <c r="C2515" i="3"/>
  <c r="D2515" i="3" s="1"/>
  <c r="C2516" i="3"/>
  <c r="D2516" i="3" s="1"/>
  <c r="C2517" i="3"/>
  <c r="D2517" i="3" s="1"/>
  <c r="C2518" i="3"/>
  <c r="D2518" i="3" s="1"/>
  <c r="C2519" i="3"/>
  <c r="D2519" i="3" s="1"/>
  <c r="C2520" i="3"/>
  <c r="D2520" i="3" s="1"/>
  <c r="C2521" i="3"/>
  <c r="D2521" i="3" s="1"/>
  <c r="C2522" i="3"/>
  <c r="D2522" i="3" s="1"/>
  <c r="C2523" i="3"/>
  <c r="D2523" i="3" s="1"/>
  <c r="C2524" i="3"/>
  <c r="D2524" i="3" s="1"/>
  <c r="C2525" i="3"/>
  <c r="D2525" i="3" s="1"/>
  <c r="C2526" i="3"/>
  <c r="D2526" i="3" s="1"/>
  <c r="C2527" i="3"/>
  <c r="D2527" i="3" s="1"/>
  <c r="C2528" i="3"/>
  <c r="D2528" i="3" s="1"/>
  <c r="C2529" i="3"/>
  <c r="D2529" i="3" s="1"/>
  <c r="C2530" i="3"/>
  <c r="D2530" i="3" s="1"/>
  <c r="C2531" i="3"/>
  <c r="D2531" i="3" s="1"/>
  <c r="C2532" i="3"/>
  <c r="D2532" i="3" s="1"/>
  <c r="C2533" i="3"/>
  <c r="D2533" i="3" s="1"/>
  <c r="C2534" i="3"/>
  <c r="D2534" i="3" s="1"/>
  <c r="C2535" i="3"/>
  <c r="D2535" i="3" s="1"/>
  <c r="C2536" i="3"/>
  <c r="D2536" i="3" s="1"/>
  <c r="C2537" i="3"/>
  <c r="D2537" i="3" s="1"/>
  <c r="C2538" i="3"/>
  <c r="D2538" i="3" s="1"/>
  <c r="C2539" i="3"/>
  <c r="D2539" i="3" s="1"/>
  <c r="C2540" i="3"/>
  <c r="D2540" i="3" s="1"/>
  <c r="C2541" i="3"/>
  <c r="D2541" i="3" s="1"/>
  <c r="C2542" i="3"/>
  <c r="D2542" i="3" s="1"/>
  <c r="C2543" i="3"/>
  <c r="D2543" i="3" s="1"/>
  <c r="C2544" i="3"/>
  <c r="D2544" i="3" s="1"/>
  <c r="C2545" i="3"/>
  <c r="D2545" i="3" s="1"/>
  <c r="C2546" i="3"/>
  <c r="D2546" i="3" s="1"/>
  <c r="C2547" i="3"/>
  <c r="D2547" i="3" s="1"/>
  <c r="C2548" i="3"/>
  <c r="D2548" i="3" s="1"/>
  <c r="C2549" i="3"/>
  <c r="D2549" i="3" s="1"/>
  <c r="C2550" i="3"/>
  <c r="D2550" i="3" s="1"/>
  <c r="C2551" i="3"/>
  <c r="D2551" i="3" s="1"/>
  <c r="C2552" i="3"/>
  <c r="D2552" i="3" s="1"/>
  <c r="C2553" i="3"/>
  <c r="D2553" i="3" s="1"/>
  <c r="C2554" i="3"/>
  <c r="D2554" i="3" s="1"/>
  <c r="C2555" i="3"/>
  <c r="D2555" i="3" s="1"/>
  <c r="C2556" i="3"/>
  <c r="D2556" i="3" s="1"/>
  <c r="C2557" i="3"/>
  <c r="D2557" i="3" s="1"/>
  <c r="C2558" i="3"/>
  <c r="D2558" i="3" s="1"/>
  <c r="C2559" i="3"/>
  <c r="D2559" i="3" s="1"/>
  <c r="C2560" i="3"/>
  <c r="D2560" i="3" s="1"/>
  <c r="C2561" i="3"/>
  <c r="D2561" i="3" s="1"/>
  <c r="C2562" i="3"/>
  <c r="D2562" i="3" s="1"/>
  <c r="C2563" i="3"/>
  <c r="D2563" i="3" s="1"/>
  <c r="C2564" i="3"/>
  <c r="D2564" i="3" s="1"/>
  <c r="C2565" i="3"/>
  <c r="D2565" i="3" s="1"/>
  <c r="C2566" i="3"/>
  <c r="D2566" i="3" s="1"/>
  <c r="C2567" i="3"/>
  <c r="D2567" i="3" s="1"/>
  <c r="C2568" i="3"/>
  <c r="D2568" i="3" s="1"/>
  <c r="C2569" i="3"/>
  <c r="D2569" i="3" s="1"/>
  <c r="C2570" i="3"/>
  <c r="D2570" i="3" s="1"/>
  <c r="C2571" i="3"/>
  <c r="D2571" i="3" s="1"/>
  <c r="C2572" i="3"/>
  <c r="D2572" i="3" s="1"/>
  <c r="C2573" i="3"/>
  <c r="D2573" i="3" s="1"/>
  <c r="C2574" i="3"/>
  <c r="D2574" i="3" s="1"/>
  <c r="C2575" i="3"/>
  <c r="D2575" i="3" s="1"/>
  <c r="C2576" i="3"/>
  <c r="D2576" i="3" s="1"/>
  <c r="C2577" i="3"/>
  <c r="D2577" i="3" s="1"/>
  <c r="C2578" i="3"/>
  <c r="D2578" i="3" s="1"/>
  <c r="C2579" i="3"/>
  <c r="D2579" i="3" s="1"/>
  <c r="C2580" i="3"/>
  <c r="D2580" i="3" s="1"/>
  <c r="C2581" i="3"/>
  <c r="D2581" i="3" s="1"/>
  <c r="C2582" i="3"/>
  <c r="D2582" i="3" s="1"/>
  <c r="C2583" i="3"/>
  <c r="D2583" i="3" s="1"/>
  <c r="C2584" i="3"/>
  <c r="D2584" i="3" s="1"/>
  <c r="C2585" i="3"/>
  <c r="D2585" i="3" s="1"/>
  <c r="C2586" i="3"/>
  <c r="D2586" i="3" s="1"/>
  <c r="C2587" i="3"/>
  <c r="D2587" i="3" s="1"/>
  <c r="C2588" i="3"/>
  <c r="D2588" i="3" s="1"/>
  <c r="C2589" i="3"/>
  <c r="D2589" i="3" s="1"/>
  <c r="C2590" i="3"/>
  <c r="D2590" i="3" s="1"/>
  <c r="C2591" i="3"/>
  <c r="D2591" i="3" s="1"/>
  <c r="C2592" i="3"/>
  <c r="D2592" i="3" s="1"/>
  <c r="C2593" i="3"/>
  <c r="D2593" i="3" s="1"/>
  <c r="C2594" i="3"/>
  <c r="D2594" i="3" s="1"/>
  <c r="C2595" i="3"/>
  <c r="D2595" i="3" s="1"/>
  <c r="C2596" i="3"/>
  <c r="D2596" i="3" s="1"/>
  <c r="C2597" i="3"/>
  <c r="D2597" i="3" s="1"/>
  <c r="C2598" i="3"/>
  <c r="D2598" i="3" s="1"/>
  <c r="C2599" i="3"/>
  <c r="D2599" i="3" s="1"/>
  <c r="C2600" i="3"/>
  <c r="D2600" i="3" s="1"/>
  <c r="C2601" i="3"/>
  <c r="D2601" i="3" s="1"/>
  <c r="C2602" i="3"/>
  <c r="D2602" i="3" s="1"/>
  <c r="C2603" i="3"/>
  <c r="D2603" i="3" s="1"/>
  <c r="C2604" i="3"/>
  <c r="D2604" i="3" s="1"/>
  <c r="C2605" i="3"/>
  <c r="D2605" i="3" s="1"/>
  <c r="C2606" i="3"/>
  <c r="D2606" i="3" s="1"/>
  <c r="C2607" i="3"/>
  <c r="D2607" i="3" s="1"/>
  <c r="C2608" i="3"/>
  <c r="D2608" i="3" s="1"/>
  <c r="C2609" i="3"/>
  <c r="D2609" i="3" s="1"/>
  <c r="C2610" i="3"/>
  <c r="D2610" i="3" s="1"/>
  <c r="C2611" i="3"/>
  <c r="D2611" i="3" s="1"/>
  <c r="C2612" i="3"/>
  <c r="D2612" i="3" s="1"/>
  <c r="C2613" i="3"/>
  <c r="D2613" i="3" s="1"/>
  <c r="C2614" i="3"/>
  <c r="D2614" i="3" s="1"/>
  <c r="C2615" i="3"/>
  <c r="D2615" i="3" s="1"/>
  <c r="C2616" i="3"/>
  <c r="D2616" i="3" s="1"/>
  <c r="C2617" i="3"/>
  <c r="D2617" i="3" s="1"/>
  <c r="C2618" i="3"/>
  <c r="D2618" i="3" s="1"/>
  <c r="C2619" i="3"/>
  <c r="D2619" i="3" s="1"/>
  <c r="C2620" i="3"/>
  <c r="D2620" i="3" s="1"/>
  <c r="C2621" i="3"/>
  <c r="D2621" i="3" s="1"/>
  <c r="C2622" i="3"/>
  <c r="D2622" i="3" s="1"/>
  <c r="C2623" i="3"/>
  <c r="D2623" i="3" s="1"/>
  <c r="C2624" i="3"/>
  <c r="D2624" i="3" s="1"/>
  <c r="C2625" i="3"/>
  <c r="D2625" i="3" s="1"/>
  <c r="C2626" i="3"/>
  <c r="D2626" i="3" s="1"/>
  <c r="C2627" i="3"/>
  <c r="D2627" i="3" s="1"/>
  <c r="C2628" i="3"/>
  <c r="D2628" i="3" s="1"/>
  <c r="C2629" i="3"/>
  <c r="D2629" i="3" s="1"/>
  <c r="C2630" i="3"/>
  <c r="D2630" i="3" s="1"/>
  <c r="C2631" i="3"/>
  <c r="D2631" i="3" s="1"/>
  <c r="C2632" i="3"/>
  <c r="D2632" i="3" s="1"/>
  <c r="C2633" i="3"/>
  <c r="D2633" i="3" s="1"/>
  <c r="C2634" i="3"/>
  <c r="D2634" i="3" s="1"/>
  <c r="C2635" i="3"/>
  <c r="D2635" i="3" s="1"/>
  <c r="C2636" i="3"/>
  <c r="D2636" i="3" s="1"/>
  <c r="C2637" i="3"/>
  <c r="D2637" i="3" s="1"/>
  <c r="C2638" i="3"/>
  <c r="D2638" i="3" s="1"/>
  <c r="C2639" i="3"/>
  <c r="D2639" i="3" s="1"/>
  <c r="C2640" i="3"/>
  <c r="D2640" i="3" s="1"/>
  <c r="C2641" i="3"/>
  <c r="D2641" i="3" s="1"/>
  <c r="C2642" i="3"/>
  <c r="D2642" i="3" s="1"/>
  <c r="C2643" i="3"/>
  <c r="D2643" i="3" s="1"/>
  <c r="C2644" i="3"/>
  <c r="D2644" i="3" s="1"/>
  <c r="C2645" i="3"/>
  <c r="D2645" i="3" s="1"/>
  <c r="C2646" i="3"/>
  <c r="D2646" i="3" s="1"/>
  <c r="C2647" i="3"/>
  <c r="D2647" i="3" s="1"/>
  <c r="C2648" i="3"/>
  <c r="D2648" i="3" s="1"/>
  <c r="C2649" i="3"/>
  <c r="D2649" i="3" s="1"/>
  <c r="C2650" i="3"/>
  <c r="D2650" i="3" s="1"/>
  <c r="C2651" i="3"/>
  <c r="D2651" i="3" s="1"/>
  <c r="C2652" i="3"/>
  <c r="D2652" i="3" s="1"/>
  <c r="C2653" i="3"/>
  <c r="D2653" i="3" s="1"/>
  <c r="C2654" i="3"/>
  <c r="D2654" i="3" s="1"/>
  <c r="C2655" i="3"/>
  <c r="D2655" i="3" s="1"/>
  <c r="C2656" i="3"/>
  <c r="D2656" i="3" s="1"/>
  <c r="C2657" i="3"/>
  <c r="D2657" i="3" s="1"/>
  <c r="C2658" i="3"/>
  <c r="D2658" i="3" s="1"/>
  <c r="C2659" i="3"/>
  <c r="D2659" i="3" s="1"/>
  <c r="C2660" i="3"/>
  <c r="D2660" i="3" s="1"/>
  <c r="C2661" i="3"/>
  <c r="D2661" i="3" s="1"/>
  <c r="C2662" i="3"/>
  <c r="D2662" i="3" s="1"/>
  <c r="C2663" i="3"/>
  <c r="D2663" i="3" s="1"/>
  <c r="C2664" i="3"/>
  <c r="D2664" i="3" s="1"/>
  <c r="C2665" i="3"/>
  <c r="D2665" i="3" s="1"/>
  <c r="C2666" i="3"/>
  <c r="D2666" i="3" s="1"/>
  <c r="C2667" i="3"/>
  <c r="D2667" i="3" s="1"/>
  <c r="C2668" i="3"/>
  <c r="D2668" i="3" s="1"/>
  <c r="C2669" i="3"/>
  <c r="D2669" i="3" s="1"/>
  <c r="C2670" i="3"/>
  <c r="D2670" i="3" s="1"/>
  <c r="C2671" i="3"/>
  <c r="D2671" i="3" s="1"/>
  <c r="C2672" i="3"/>
  <c r="D2672" i="3" s="1"/>
  <c r="C2673" i="3"/>
  <c r="D2673" i="3" s="1"/>
  <c r="C2674" i="3"/>
  <c r="D2674" i="3" s="1"/>
  <c r="C2675" i="3"/>
  <c r="D2675" i="3" s="1"/>
  <c r="C2676" i="3"/>
  <c r="D2676" i="3" s="1"/>
  <c r="C2677" i="3"/>
  <c r="D2677" i="3" s="1"/>
  <c r="C2678" i="3"/>
  <c r="D2678" i="3" s="1"/>
  <c r="C2679" i="3"/>
  <c r="D2679" i="3" s="1"/>
  <c r="C2680" i="3"/>
  <c r="D2680" i="3" s="1"/>
  <c r="C2681" i="3"/>
  <c r="D2681" i="3" s="1"/>
  <c r="C2682" i="3"/>
  <c r="D2682" i="3" s="1"/>
  <c r="C2683" i="3"/>
  <c r="D2683" i="3" s="1"/>
  <c r="C2684" i="3"/>
  <c r="D2684" i="3" s="1"/>
  <c r="C2685" i="3"/>
  <c r="D2685" i="3" s="1"/>
  <c r="C2686" i="3"/>
  <c r="D2686" i="3" s="1"/>
  <c r="C2687" i="3"/>
  <c r="D2687" i="3" s="1"/>
  <c r="C2688" i="3"/>
  <c r="D2688" i="3" s="1"/>
  <c r="C2689" i="3"/>
  <c r="D2689" i="3" s="1"/>
  <c r="C2690" i="3"/>
  <c r="D2690" i="3" s="1"/>
  <c r="C2691" i="3"/>
  <c r="D2691" i="3" s="1"/>
  <c r="C2692" i="3"/>
  <c r="D2692" i="3" s="1"/>
  <c r="C2693" i="3"/>
  <c r="D2693" i="3" s="1"/>
  <c r="C2694" i="3"/>
  <c r="D2694" i="3" s="1"/>
  <c r="C2695" i="3"/>
  <c r="D2695" i="3" s="1"/>
  <c r="C2696" i="3"/>
  <c r="D2696" i="3" s="1"/>
  <c r="C2697" i="3"/>
  <c r="D2697" i="3" s="1"/>
  <c r="C2698" i="3"/>
  <c r="D2698" i="3" s="1"/>
  <c r="C2699" i="3"/>
  <c r="D2699" i="3" s="1"/>
  <c r="C2700" i="3"/>
  <c r="D2700" i="3" s="1"/>
  <c r="C2701" i="3"/>
  <c r="D2701" i="3" s="1"/>
  <c r="C2702" i="3"/>
  <c r="D2702" i="3" s="1"/>
  <c r="C2703" i="3"/>
  <c r="D2703" i="3" s="1"/>
  <c r="C2704" i="3"/>
  <c r="D2704" i="3" s="1"/>
  <c r="C2705" i="3"/>
  <c r="D2705" i="3" s="1"/>
  <c r="C2706" i="3"/>
  <c r="D2706" i="3" s="1"/>
  <c r="C2707" i="3"/>
  <c r="D2707" i="3" s="1"/>
  <c r="C2708" i="3"/>
  <c r="D2708" i="3" s="1"/>
  <c r="C2709" i="3"/>
  <c r="D2709" i="3" s="1"/>
  <c r="C2710" i="3"/>
  <c r="D2710" i="3" s="1"/>
  <c r="C2711" i="3"/>
  <c r="D2711" i="3" s="1"/>
  <c r="C2712" i="3"/>
  <c r="D2712" i="3" s="1"/>
  <c r="C2713" i="3"/>
  <c r="D2713" i="3" s="1"/>
  <c r="C2714" i="3"/>
  <c r="D2714" i="3" s="1"/>
  <c r="C2715" i="3"/>
  <c r="D2715" i="3" s="1"/>
  <c r="C2716" i="3"/>
  <c r="D2716" i="3" s="1"/>
  <c r="C2717" i="3"/>
  <c r="D2717" i="3" s="1"/>
  <c r="C2718" i="3"/>
  <c r="D2718" i="3" s="1"/>
  <c r="C2719" i="3"/>
  <c r="D2719" i="3" s="1"/>
  <c r="C2720" i="3"/>
  <c r="D2720" i="3" s="1"/>
  <c r="C2721" i="3"/>
  <c r="D2721" i="3" s="1"/>
  <c r="C2722" i="3"/>
  <c r="D2722" i="3" s="1"/>
  <c r="C2723" i="3"/>
  <c r="D2723" i="3" s="1"/>
  <c r="C2724" i="3"/>
  <c r="D2724" i="3" s="1"/>
  <c r="C2725" i="3"/>
  <c r="D2725" i="3" s="1"/>
  <c r="C2726" i="3"/>
  <c r="D2726" i="3" s="1"/>
  <c r="C2727" i="3"/>
  <c r="D2727" i="3" s="1"/>
  <c r="C2728" i="3"/>
  <c r="D2728" i="3" s="1"/>
  <c r="C2729" i="3"/>
  <c r="D2729" i="3" s="1"/>
  <c r="C2730" i="3"/>
  <c r="D2730" i="3" s="1"/>
  <c r="C2731" i="3"/>
  <c r="D2731" i="3" s="1"/>
  <c r="C2732" i="3"/>
  <c r="D2732" i="3" s="1"/>
  <c r="C2733" i="3"/>
  <c r="D2733" i="3" s="1"/>
  <c r="C2734" i="3"/>
  <c r="D2734" i="3" s="1"/>
  <c r="D8" i="4" l="1"/>
  <c r="C9" i="4"/>
  <c r="C10" i="4" s="1"/>
  <c r="C11" i="4" s="1"/>
  <c r="C12" i="4" s="1"/>
  <c r="C13" i="4" s="1"/>
  <c r="C14" i="4" s="1"/>
  <c r="C15" i="4" s="1"/>
  <c r="C16" i="4" s="1"/>
  <c r="C9" i="13"/>
  <c r="C10" i="13" s="1"/>
  <c r="C11" i="13" s="1"/>
  <c r="C12" i="13" s="1"/>
  <c r="C13" i="13" s="1"/>
  <c r="C14" i="13" s="1"/>
  <c r="C15" i="13" s="1"/>
  <c r="C16" i="13" s="1"/>
  <c r="C17" i="13" s="1"/>
  <c r="D6" i="14"/>
  <c r="C7" i="14"/>
  <c r="C8" i="14" s="1"/>
  <c r="E8" i="14" s="1"/>
  <c r="F8" i="14" s="1"/>
  <c r="E9" i="12"/>
  <c r="C21" i="12"/>
  <c r="C10" i="12"/>
  <c r="C11" i="12" s="1"/>
  <c r="D11" i="12" s="1"/>
  <c r="E8" i="4"/>
  <c r="E8" i="8"/>
  <c r="B4" i="8" s="1"/>
  <c r="K8" i="8"/>
  <c r="I9" i="8"/>
  <c r="B3" i="3"/>
  <c r="H8" i="3"/>
  <c r="C17" i="4" l="1"/>
  <c r="E9" i="4"/>
  <c r="D9" i="13"/>
  <c r="E9" i="13" s="1"/>
  <c r="G9" i="13" s="1"/>
  <c r="D7" i="14"/>
  <c r="E7" i="14"/>
  <c r="F7" i="14" s="1"/>
  <c r="D8" i="14"/>
  <c r="C9" i="14"/>
  <c r="E9" i="14" s="1"/>
  <c r="F9" i="14" s="1"/>
  <c r="F11" i="12"/>
  <c r="E11" i="12"/>
  <c r="D10" i="12"/>
  <c r="C12" i="12"/>
  <c r="D12" i="12" s="1"/>
  <c r="D9" i="4"/>
  <c r="J9" i="8"/>
  <c r="I10" i="8"/>
  <c r="I11" i="8" s="1"/>
  <c r="I8" i="3"/>
  <c r="H9" i="3"/>
  <c r="F9" i="13" l="1"/>
  <c r="C10" i="14"/>
  <c r="E10" i="14" s="1"/>
  <c r="F10" i="14" s="1"/>
  <c r="D9" i="14"/>
  <c r="F12" i="12"/>
  <c r="E12" i="12"/>
  <c r="F10" i="12"/>
  <c r="E10" i="12"/>
  <c r="C13" i="12"/>
  <c r="D13" i="12" s="1"/>
  <c r="E10" i="4"/>
  <c r="D10" i="4"/>
  <c r="D11" i="4"/>
  <c r="E11" i="4"/>
  <c r="K9" i="8"/>
  <c r="J10" i="8"/>
  <c r="I12" i="8"/>
  <c r="J11" i="8"/>
  <c r="H10" i="3"/>
  <c r="I9" i="3"/>
  <c r="C11" i="14" l="1"/>
  <c r="E11" i="14" s="1"/>
  <c r="F11" i="14" s="1"/>
  <c r="D10" i="14"/>
  <c r="D12" i="13"/>
  <c r="E12" i="13" s="1"/>
  <c r="F13" i="12"/>
  <c r="E13" i="12"/>
  <c r="C14" i="12"/>
  <c r="D14" i="12" s="1"/>
  <c r="D12" i="4"/>
  <c r="E12" i="4"/>
  <c r="K11" i="8"/>
  <c r="K10" i="8"/>
  <c r="I13" i="8"/>
  <c r="J12" i="8"/>
  <c r="H11" i="3"/>
  <c r="I10" i="3"/>
  <c r="C12" i="14" l="1"/>
  <c r="E12" i="14" s="1"/>
  <c r="F12" i="14" s="1"/>
  <c r="D11" i="14"/>
  <c r="G12" i="13"/>
  <c r="F12" i="13"/>
  <c r="D13" i="13"/>
  <c r="E13" i="13" s="1"/>
  <c r="F14" i="12"/>
  <c r="E14" i="12"/>
  <c r="C15" i="12"/>
  <c r="D15" i="12" s="1"/>
  <c r="E13" i="4"/>
  <c r="D13" i="4"/>
  <c r="K12" i="8"/>
  <c r="I14" i="8"/>
  <c r="J13" i="8"/>
  <c r="H12" i="3"/>
  <c r="I11" i="3"/>
  <c r="C13" i="14" l="1"/>
  <c r="E13" i="14" s="1"/>
  <c r="F13" i="14" s="1"/>
  <c r="D12" i="14"/>
  <c r="G13" i="13"/>
  <c r="F13" i="13"/>
  <c r="D14" i="13"/>
  <c r="E14" i="13" s="1"/>
  <c r="F15" i="12"/>
  <c r="E15" i="12"/>
  <c r="C16" i="12"/>
  <c r="D16" i="12" s="1"/>
  <c r="E14" i="4"/>
  <c r="D14" i="4"/>
  <c r="K13" i="8"/>
  <c r="I15" i="8"/>
  <c r="J14" i="8"/>
  <c r="H13" i="3"/>
  <c r="I12" i="3"/>
  <c r="C14" i="14" l="1"/>
  <c r="E14" i="14" s="1"/>
  <c r="F14" i="14" s="1"/>
  <c r="D13" i="14"/>
  <c r="G14" i="13"/>
  <c r="F14" i="13"/>
  <c r="D15" i="13"/>
  <c r="E15" i="13" s="1"/>
  <c r="F16" i="12"/>
  <c r="E16" i="12"/>
  <c r="C17" i="12"/>
  <c r="D17" i="12" s="1"/>
  <c r="E15" i="4"/>
  <c r="D15" i="4"/>
  <c r="K14" i="8"/>
  <c r="I16" i="8"/>
  <c r="J15" i="8"/>
  <c r="H14" i="3"/>
  <c r="I13" i="3"/>
  <c r="E16" i="4" l="1"/>
  <c r="D17" i="4"/>
  <c r="D14" i="14"/>
  <c r="C15" i="14"/>
  <c r="G15" i="13"/>
  <c r="F15" i="13"/>
  <c r="D16" i="13"/>
  <c r="E16" i="13" s="1"/>
  <c r="F17" i="12"/>
  <c r="E17" i="12"/>
  <c r="C18" i="12"/>
  <c r="D18" i="12" s="1"/>
  <c r="D16" i="4"/>
  <c r="K15" i="8"/>
  <c r="I17" i="8"/>
  <c r="J17" i="8" s="1"/>
  <c r="J16" i="8"/>
  <c r="H15" i="3"/>
  <c r="I14" i="3"/>
  <c r="D15" i="14" l="1"/>
  <c r="B3" i="14" s="1"/>
  <c r="E15" i="14"/>
  <c r="F15" i="14" s="1"/>
  <c r="I1" i="14" s="1"/>
  <c r="F16" i="13"/>
  <c r="G16" i="13"/>
  <c r="D17" i="13"/>
  <c r="E17" i="13" s="1"/>
  <c r="F18" i="12"/>
  <c r="H22" i="12" s="1"/>
  <c r="E18" i="12"/>
  <c r="B3" i="12" s="1"/>
  <c r="E17" i="4"/>
  <c r="B3" i="4"/>
  <c r="K16" i="8"/>
  <c r="K17" i="8"/>
  <c r="I18" i="8"/>
  <c r="J18" i="8" s="1"/>
  <c r="H16" i="3"/>
  <c r="I16" i="3" s="1"/>
  <c r="I15" i="3"/>
  <c r="C21" i="4" l="1"/>
  <c r="F17" i="13"/>
  <c r="G17" i="13"/>
  <c r="K18" i="8"/>
  <c r="J20" i="8" s="1"/>
  <c r="J22" i="8" s="1"/>
  <c r="J24" i="8"/>
  <c r="J26" i="8" s="1"/>
  <c r="H17" i="3"/>
  <c r="I17" i="3" s="1"/>
  <c r="I19" i="3" s="1"/>
  <c r="I21" i="3" s="1"/>
  <c r="C18" i="13" l="1"/>
  <c r="D18" i="13" s="1"/>
  <c r="E18" i="13" s="1"/>
  <c r="D10" i="13"/>
  <c r="E10" i="13" s="1"/>
  <c r="D11" i="13"/>
  <c r="E11" i="13" s="1"/>
  <c r="G11" i="13" s="1"/>
  <c r="F18" i="13" l="1"/>
  <c r="G18" i="13"/>
  <c r="F11" i="13"/>
  <c r="G10" i="13"/>
  <c r="I20" i="13" s="1"/>
  <c r="I22" i="13" s="1"/>
  <c r="F10" i="13"/>
  <c r="B4" i="13" l="1"/>
</calcChain>
</file>

<file path=xl/sharedStrings.xml><?xml version="1.0" encoding="utf-8"?>
<sst xmlns="http://schemas.openxmlformats.org/spreadsheetml/2006/main" count="125" uniqueCount="47">
  <si>
    <t>10+</t>
  </si>
  <si>
    <t>x</t>
  </si>
  <si>
    <t>n_x</t>
  </si>
  <si>
    <t>Visits</t>
  </si>
  <si>
    <t>Income</t>
  </si>
  <si>
    <t>Sex</t>
  </si>
  <si>
    <t>Age</t>
  </si>
  <si>
    <t>Size</t>
  </si>
  <si>
    <t>Variable Descriptions</t>
  </si>
  <si>
    <t xml:space="preserve"> Income = LN(household income)</t>
  </si>
  <si>
    <t>Sex = 1 if female; 0 if male</t>
  </si>
  <si>
    <t>Age = LN(age)</t>
  </si>
  <si>
    <t>Size = number of people in household</t>
  </si>
  <si>
    <t>e</t>
  </si>
  <si>
    <t>(blank)</t>
  </si>
  <si>
    <t>Grand Total</t>
  </si>
  <si>
    <t>Count of Visits</t>
  </si>
  <si>
    <t xml:space="preserve">LL </t>
  </si>
  <si>
    <t>r</t>
  </si>
  <si>
    <t xml:space="preserve">alpha </t>
  </si>
  <si>
    <t>t</t>
  </si>
  <si>
    <t>df</t>
  </si>
  <si>
    <t>zerospike</t>
  </si>
  <si>
    <t>chisq</t>
  </si>
  <si>
    <t>pvalue</t>
  </si>
  <si>
    <t>P(x = x)</t>
  </si>
  <si>
    <t>Row Labels</t>
  </si>
  <si>
    <t>visit</t>
  </si>
  <si>
    <t xml:space="preserve">P(x = x) </t>
  </si>
  <si>
    <t xml:space="preserve">spike </t>
  </si>
  <si>
    <t>goodness of fit</t>
  </si>
  <si>
    <t xml:space="preserve">df </t>
  </si>
  <si>
    <t>P(X = x)</t>
  </si>
  <si>
    <t>LL</t>
  </si>
  <si>
    <t>rescale</t>
  </si>
  <si>
    <t>Best N</t>
  </si>
  <si>
    <t>spike@1</t>
  </si>
  <si>
    <t>spike</t>
  </si>
  <si>
    <t>alpha</t>
  </si>
  <si>
    <t>beta</t>
  </si>
  <si>
    <t xml:space="preserve">pred </t>
  </si>
  <si>
    <t xml:space="preserve">% error </t>
  </si>
  <si>
    <t>MAE</t>
  </si>
  <si>
    <t xml:space="preserve">pvalue </t>
  </si>
  <si>
    <t xml:space="preserve"> </t>
  </si>
  <si>
    <t>lrt</t>
  </si>
  <si>
    <t>expected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</si>
</sst>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1" fontId="0" fillId="0" borderId="0" xfId="0" applyNumberFormat="1"/>
    <xf numFmtId="0" fontId="0" fillId="0" borderId="0" xfId="0" applyAlignment="1">
      <alignment horizontal="center"/>
    </xf>
    <xf numFmtId="0" fontId="1" fillId="0" borderId="0" xfId="1" applyAlignment="1">
      <alignment horizontal="right"/>
    </xf>
    <xf numFmtId="0" fontId="1" fillId="0" borderId="0" xfId="1"/>
    <xf numFmtId="2" fontId="1" fillId="0" borderId="0" xfId="1" applyNumberFormat="1"/>
    <xf numFmtId="0" fontId="2" fillId="0" borderId="0" xfId="1" applyFon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" fontId="1" fillId="0" borderId="0" xfId="0" applyNumberFormat="1" applyFont="1"/>
    <xf numFmtId="0" fontId="3" fillId="0" borderId="0" xfId="2"/>
    <xf numFmtId="10" fontId="0" fillId="0" borderId="0" xfId="0" applyNumberFormat="1"/>
  </cellXfs>
  <cellStyles count="3">
    <cellStyle name="Hyperlink" xfId="2" builtinId="8"/>
    <cellStyle name="Normal" xfId="0" builtinId="0"/>
    <cellStyle name="Normal 2" xfId="1" xr:uid="{A3A3FBC2-8703-4B4F-80F8-951781B44B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NBD</a:t>
            </a:r>
            <a:r>
              <a:rPr lang="en-US" baseline="0"/>
              <a:t> Fit KhakiChino No Spike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observed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'part a original'!$F$7:$F$17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10+</c:v>
                </c:pt>
              </c:strCache>
            </c:strRef>
          </c:cat>
          <c:val>
            <c:numRef>
              <c:f>'part a original'!$G$7:$G$17</c:f>
              <c:numCache>
                <c:formatCode>General</c:formatCode>
                <c:ptCount val="11"/>
                <c:pt idx="0">
                  <c:v>2046</c:v>
                </c:pt>
                <c:pt idx="1">
                  <c:v>318</c:v>
                </c:pt>
                <c:pt idx="2">
                  <c:v>129</c:v>
                </c:pt>
                <c:pt idx="3">
                  <c:v>66</c:v>
                </c:pt>
                <c:pt idx="4">
                  <c:v>38</c:v>
                </c:pt>
                <c:pt idx="5">
                  <c:v>30</c:v>
                </c:pt>
                <c:pt idx="6">
                  <c:v>16</c:v>
                </c:pt>
                <c:pt idx="7">
                  <c:v>11</c:v>
                </c:pt>
                <c:pt idx="8">
                  <c:v>9</c:v>
                </c:pt>
                <c:pt idx="9">
                  <c:v>10</c:v>
                </c:pt>
                <c:pt idx="1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09-B443-8B7A-A4DA9B642B51}"/>
            </c:ext>
          </c:extLst>
        </c:ser>
        <c:ser>
          <c:idx val="1"/>
          <c:order val="1"/>
          <c:tx>
            <c:v>expected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'part a original'!$F$7:$F$17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10+</c:v>
                </c:pt>
              </c:strCache>
            </c:strRef>
          </c:cat>
          <c:val>
            <c:numRef>
              <c:f>'part a original'!$I$7:$I$17</c:f>
              <c:numCache>
                <c:formatCode>General</c:formatCode>
                <c:ptCount val="11"/>
                <c:pt idx="0">
                  <c:v>2061.9875910491396</c:v>
                </c:pt>
                <c:pt idx="1">
                  <c:v>241.91517010514161</c:v>
                </c:pt>
                <c:pt idx="2">
                  <c:v>120.20150103866118</c:v>
                </c:pt>
                <c:pt idx="3">
                  <c:v>74.932694611406589</c:v>
                </c:pt>
                <c:pt idx="4">
                  <c:v>51.452625418970598</c:v>
                </c:pt>
                <c:pt idx="5">
                  <c:v>37.282908563009393</c:v>
                </c:pt>
                <c:pt idx="6">
                  <c:v>27.958829060400717</c:v>
                </c:pt>
                <c:pt idx="7">
                  <c:v>21.471934688918815</c:v>
                </c:pt>
                <c:pt idx="8">
                  <c:v>16.781165524852874</c:v>
                </c:pt>
                <c:pt idx="9">
                  <c:v>13.292070315480895</c:v>
                </c:pt>
                <c:pt idx="10">
                  <c:v>60.723509624017858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09-B443-8B7A-A4DA9B642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5854063"/>
        <c:axId val="248371344"/>
      </c:barChart>
      <c:catAx>
        <c:axId val="2035854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visits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371344"/>
        <c:crosses val="autoZero"/>
        <c:auto val="1"/>
        <c:lblAlgn val="ctr"/>
        <c:lblOffset val="100"/>
        <c:noMultiLvlLbl val="0"/>
      </c:catAx>
      <c:valAx>
        <c:axId val="24837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n_x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854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NBD</a:t>
            </a:r>
            <a:r>
              <a:rPr lang="en-US" baseline="0"/>
              <a:t> Fit KhakiChino Spike@0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observed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'part a original'!$F$7:$F$17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10+</c:v>
                </c:pt>
              </c:strCache>
            </c:strRef>
          </c:cat>
          <c:val>
            <c:numRef>
              <c:f>'part a original'!$G$7:$G$17</c:f>
              <c:numCache>
                <c:formatCode>General</c:formatCode>
                <c:ptCount val="11"/>
                <c:pt idx="0">
                  <c:v>2046</c:v>
                </c:pt>
                <c:pt idx="1">
                  <c:v>318</c:v>
                </c:pt>
                <c:pt idx="2">
                  <c:v>129</c:v>
                </c:pt>
                <c:pt idx="3">
                  <c:v>66</c:v>
                </c:pt>
                <c:pt idx="4">
                  <c:v>38</c:v>
                </c:pt>
                <c:pt idx="5">
                  <c:v>30</c:v>
                </c:pt>
                <c:pt idx="6">
                  <c:v>16</c:v>
                </c:pt>
                <c:pt idx="7">
                  <c:v>11</c:v>
                </c:pt>
                <c:pt idx="8">
                  <c:v>9</c:v>
                </c:pt>
                <c:pt idx="9">
                  <c:v>10</c:v>
                </c:pt>
                <c:pt idx="1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7E-3A47-8EA7-B452BD85E700}"/>
            </c:ext>
          </c:extLst>
        </c:ser>
        <c:ser>
          <c:idx val="1"/>
          <c:order val="1"/>
          <c:tx>
            <c:v>expected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'part a original'!$F$7:$F$17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10+</c:v>
                </c:pt>
              </c:strCache>
            </c:strRef>
          </c:cat>
          <c:val>
            <c:numRef>
              <c:f>'part a original'!$I$7:$I$17</c:f>
              <c:numCache>
                <c:formatCode>General</c:formatCode>
                <c:ptCount val="11"/>
                <c:pt idx="0">
                  <c:v>2061.9875910491396</c:v>
                </c:pt>
                <c:pt idx="1">
                  <c:v>241.91517010514161</c:v>
                </c:pt>
                <c:pt idx="2">
                  <c:v>120.20150103866118</c:v>
                </c:pt>
                <c:pt idx="3">
                  <c:v>74.932694611406589</c:v>
                </c:pt>
                <c:pt idx="4">
                  <c:v>51.452625418970598</c:v>
                </c:pt>
                <c:pt idx="5">
                  <c:v>37.282908563009393</c:v>
                </c:pt>
                <c:pt idx="6">
                  <c:v>27.958829060400717</c:v>
                </c:pt>
                <c:pt idx="7">
                  <c:v>21.471934688918815</c:v>
                </c:pt>
                <c:pt idx="8">
                  <c:v>16.781165524852874</c:v>
                </c:pt>
                <c:pt idx="9">
                  <c:v>13.292070315480895</c:v>
                </c:pt>
                <c:pt idx="10">
                  <c:v>60.723509624017858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7E-3A47-8EA7-B452BD85E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5854063"/>
        <c:axId val="248371344"/>
      </c:barChart>
      <c:catAx>
        <c:axId val="2035854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visits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371344"/>
        <c:crosses val="autoZero"/>
        <c:auto val="1"/>
        <c:lblAlgn val="ctr"/>
        <c:lblOffset val="100"/>
        <c:noMultiLvlLbl val="0"/>
      </c:catAx>
      <c:valAx>
        <c:axId val="24837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n_x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854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NBD Fit Albums</a:t>
            </a:r>
            <a:r>
              <a:rPr lang="en-US" baseline="0"/>
              <a:t> Shifted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observed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'part b shift'!$A$8:$A$17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10+</c:v>
                </c:pt>
              </c:strCache>
            </c:strRef>
          </c:cat>
          <c:val>
            <c:numRef>
              <c:f>'part b shift'!$B$8:$B$17</c:f>
              <c:numCache>
                <c:formatCode>0</c:formatCode>
                <c:ptCount val="10"/>
                <c:pt idx="0">
                  <c:v>750</c:v>
                </c:pt>
                <c:pt idx="1">
                  <c:v>383</c:v>
                </c:pt>
                <c:pt idx="2">
                  <c:v>191</c:v>
                </c:pt>
                <c:pt idx="3">
                  <c:v>95</c:v>
                </c:pt>
                <c:pt idx="4">
                  <c:v>55</c:v>
                </c:pt>
                <c:pt idx="5">
                  <c:v>36</c:v>
                </c:pt>
                <c:pt idx="6">
                  <c:v>18</c:v>
                </c:pt>
                <c:pt idx="7">
                  <c:v>12</c:v>
                </c:pt>
                <c:pt idx="8">
                  <c:v>9</c:v>
                </c:pt>
                <c:pt idx="9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97-D44A-B6F3-B8CFAB7E1A60}"/>
            </c:ext>
          </c:extLst>
        </c:ser>
        <c:ser>
          <c:idx val="1"/>
          <c:order val="1"/>
          <c:tx>
            <c:v>expected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'part b shift'!$A$8:$A$17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10+</c:v>
                </c:pt>
              </c:strCache>
            </c:strRef>
          </c:cat>
          <c:val>
            <c:numRef>
              <c:f>'part b shift'!$E$8:$E$17</c:f>
              <c:numCache>
                <c:formatCode>General</c:formatCode>
                <c:ptCount val="10"/>
                <c:pt idx="0">
                  <c:v>764.61406750912727</c:v>
                </c:pt>
                <c:pt idx="1">
                  <c:v>345.40563983440092</c:v>
                </c:pt>
                <c:pt idx="2">
                  <c:v>188.7283259527656</c:v>
                </c:pt>
                <c:pt idx="3">
                  <c:v>109.07529865736696</c:v>
                </c:pt>
                <c:pt idx="4">
                  <c:v>64.760733685381666</c:v>
                </c:pt>
                <c:pt idx="5">
                  <c:v>39.063077704353709</c:v>
                </c:pt>
                <c:pt idx="6">
                  <c:v>23.808996408246106</c:v>
                </c:pt>
                <c:pt idx="7">
                  <c:v>14.618933346039288</c:v>
                </c:pt>
                <c:pt idx="8">
                  <c:v>9.0255749530680145</c:v>
                </c:pt>
                <c:pt idx="9">
                  <c:v>14.899351949250295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97-D44A-B6F3-B8CFAB7E1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9798479"/>
        <c:axId val="170416864"/>
      </c:barChart>
      <c:catAx>
        <c:axId val="8497984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16864"/>
        <c:crosses val="autoZero"/>
        <c:auto val="1"/>
        <c:lblAlgn val="ctr"/>
        <c:lblOffset val="100"/>
        <c:noMultiLvlLbl val="0"/>
      </c:catAx>
      <c:valAx>
        <c:axId val="17041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n_x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798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NBD Fit Albums</a:t>
            </a:r>
            <a:r>
              <a:rPr lang="en-US" baseline="0"/>
              <a:t> Truncated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observed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'part b trunc'!$A$8:$A$18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10+</c:v>
                </c:pt>
              </c:strCache>
            </c:strRef>
          </c:cat>
          <c:val>
            <c:numRef>
              <c:f>'part b trunc'!$B$8:$B$18</c:f>
              <c:numCache>
                <c:formatCode>0</c:formatCode>
                <c:ptCount val="11"/>
                <c:pt idx="1">
                  <c:v>750</c:v>
                </c:pt>
                <c:pt idx="2">
                  <c:v>383</c:v>
                </c:pt>
                <c:pt idx="3">
                  <c:v>191</c:v>
                </c:pt>
                <c:pt idx="4">
                  <c:v>95</c:v>
                </c:pt>
                <c:pt idx="5">
                  <c:v>55</c:v>
                </c:pt>
                <c:pt idx="6">
                  <c:v>36</c:v>
                </c:pt>
                <c:pt idx="7">
                  <c:v>18</c:v>
                </c:pt>
                <c:pt idx="8">
                  <c:v>12</c:v>
                </c:pt>
                <c:pt idx="9">
                  <c:v>9</c:v>
                </c:pt>
                <c:pt idx="10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B8-5C42-A05D-AAB0ADC37738}"/>
            </c:ext>
          </c:extLst>
        </c:ser>
        <c:ser>
          <c:idx val="1"/>
          <c:order val="1"/>
          <c:tx>
            <c:v>expected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'part b trunc'!$A$8:$A$18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10+</c:v>
                </c:pt>
              </c:strCache>
            </c:strRef>
          </c:cat>
          <c:val>
            <c:numRef>
              <c:f>'part b trunc'!$F$8:$F$18</c:f>
              <c:numCache>
                <c:formatCode>General</c:formatCode>
                <c:ptCount val="11"/>
                <c:pt idx="1">
                  <c:v>767.32437584295485</c:v>
                </c:pt>
                <c:pt idx="2">
                  <c:v>349.33153313471365</c:v>
                </c:pt>
                <c:pt idx="3">
                  <c:v>185.73373451918508</c:v>
                </c:pt>
                <c:pt idx="4">
                  <c:v>105.84877915961239</c:v>
                </c:pt>
                <c:pt idx="5">
                  <c:v>62.749536390893908</c:v>
                </c:pt>
                <c:pt idx="6">
                  <c:v>38.158450395776512</c:v>
                </c:pt>
                <c:pt idx="7">
                  <c:v>23.621034898460881</c:v>
                </c:pt>
                <c:pt idx="8">
                  <c:v>14.815427024809457</c:v>
                </c:pt>
                <c:pt idx="9">
                  <c:v>9.3867872640992882</c:v>
                </c:pt>
                <c:pt idx="10">
                  <c:v>17.030341369493971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B8-5C42-A05D-AAB0ADC377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9798479"/>
        <c:axId val="170416864"/>
      </c:barChart>
      <c:catAx>
        <c:axId val="8497984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16864"/>
        <c:crosses val="autoZero"/>
        <c:auto val="1"/>
        <c:lblAlgn val="ctr"/>
        <c:lblOffset val="100"/>
        <c:noMultiLvlLbl val="0"/>
      </c:catAx>
      <c:valAx>
        <c:axId val="17041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n_x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798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NBD Fit Albums</a:t>
            </a:r>
            <a:r>
              <a:rPr lang="en-US" baseline="0"/>
              <a:t> Truncate + One Inflation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observed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'part b trunc+spike'!$A$8:$A$18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10+</c:v>
                </c:pt>
              </c:strCache>
            </c:strRef>
          </c:cat>
          <c:val>
            <c:numRef>
              <c:f>'part b trunc+spike'!$B$8:$B$18</c:f>
              <c:numCache>
                <c:formatCode>0</c:formatCode>
                <c:ptCount val="11"/>
                <c:pt idx="1">
                  <c:v>750</c:v>
                </c:pt>
                <c:pt idx="2">
                  <c:v>383</c:v>
                </c:pt>
                <c:pt idx="3">
                  <c:v>191</c:v>
                </c:pt>
                <c:pt idx="4">
                  <c:v>95</c:v>
                </c:pt>
                <c:pt idx="5">
                  <c:v>55</c:v>
                </c:pt>
                <c:pt idx="6">
                  <c:v>36</c:v>
                </c:pt>
                <c:pt idx="7">
                  <c:v>18</c:v>
                </c:pt>
                <c:pt idx="8">
                  <c:v>12</c:v>
                </c:pt>
                <c:pt idx="9">
                  <c:v>9</c:v>
                </c:pt>
                <c:pt idx="10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5F-E34D-B287-94B056F29B94}"/>
            </c:ext>
          </c:extLst>
        </c:ser>
        <c:ser>
          <c:idx val="1"/>
          <c:order val="1"/>
          <c:tx>
            <c:v>expected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'part b trunc+spike'!$A$8:$A$18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10+</c:v>
                </c:pt>
              </c:strCache>
            </c:strRef>
          </c:cat>
          <c:val>
            <c:numRef>
              <c:f>'part b trunc+spike'!$G$8:$G$18</c:f>
              <c:numCache>
                <c:formatCode>General</c:formatCode>
                <c:ptCount val="11"/>
                <c:pt idx="1">
                  <c:v>767.31788769684033</c:v>
                </c:pt>
                <c:pt idx="2">
                  <c:v>349.33231668380358</c:v>
                </c:pt>
                <c:pt idx="3">
                  <c:v>185.73629880369032</c:v>
                </c:pt>
                <c:pt idx="4">
                  <c:v>105.85063375824792</c:v>
                </c:pt>
                <c:pt idx="5">
                  <c:v>62.750603935404314</c:v>
                </c:pt>
                <c:pt idx="6">
                  <c:v>38.158979488965336</c:v>
                </c:pt>
                <c:pt idx="7">
                  <c:v>23.621245447301604</c:v>
                </c:pt>
                <c:pt idx="8">
                  <c:v>14.815466271979812</c:v>
                </c:pt>
                <c:pt idx="9">
                  <c:v>9.3867439647631397</c:v>
                </c:pt>
                <c:pt idx="10">
                  <c:v>17.029823949003116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5F-E34D-B287-94B056F29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9798479"/>
        <c:axId val="170416864"/>
      </c:barChart>
      <c:catAx>
        <c:axId val="8497984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16864"/>
        <c:crosses val="autoZero"/>
        <c:auto val="1"/>
        <c:lblAlgn val="ctr"/>
        <c:lblOffset val="100"/>
        <c:noMultiLvlLbl val="0"/>
      </c:catAx>
      <c:valAx>
        <c:axId val="17041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n_x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798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sBG Album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observed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'part b sbg'!$A$6:$A$15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10+</c:v>
                </c:pt>
              </c:strCache>
            </c:strRef>
          </c:cat>
          <c:val>
            <c:numRef>
              <c:f>'part b sbg'!$B$6:$B$15</c:f>
              <c:numCache>
                <c:formatCode>0</c:formatCode>
                <c:ptCount val="10"/>
                <c:pt idx="0">
                  <c:v>750</c:v>
                </c:pt>
                <c:pt idx="1">
                  <c:v>383</c:v>
                </c:pt>
                <c:pt idx="2">
                  <c:v>191</c:v>
                </c:pt>
                <c:pt idx="3">
                  <c:v>95</c:v>
                </c:pt>
                <c:pt idx="4">
                  <c:v>55</c:v>
                </c:pt>
                <c:pt idx="5">
                  <c:v>36</c:v>
                </c:pt>
                <c:pt idx="6">
                  <c:v>18</c:v>
                </c:pt>
                <c:pt idx="7">
                  <c:v>12</c:v>
                </c:pt>
                <c:pt idx="8">
                  <c:v>9</c:v>
                </c:pt>
                <c:pt idx="9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4-4B42-89F9-090355B3BE58}"/>
            </c:ext>
          </c:extLst>
        </c:ser>
        <c:ser>
          <c:idx val="1"/>
          <c:order val="1"/>
          <c:tx>
            <c:v>expected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'part b sbg'!$A$6:$A$15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10+</c:v>
                </c:pt>
              </c:strCache>
            </c:strRef>
          </c:cat>
          <c:val>
            <c:numRef>
              <c:f>'part b sbg'!$E$6:$E$15</c:f>
              <c:numCache>
                <c:formatCode>General</c:formatCode>
                <c:ptCount val="10"/>
                <c:pt idx="0">
                  <c:v>763.02711694415575</c:v>
                </c:pt>
                <c:pt idx="1">
                  <c:v>363.33785085402837</c:v>
                </c:pt>
                <c:pt idx="2">
                  <c:v>186.42300418689103</c:v>
                </c:pt>
                <c:pt idx="3">
                  <c:v>101.62505731449889</c:v>
                </c:pt>
                <c:pt idx="4">
                  <c:v>58.253581147582771</c:v>
                </c:pt>
                <c:pt idx="5">
                  <c:v>34.838111716576996</c:v>
                </c:pt>
                <c:pt idx="6">
                  <c:v>21.604351912979247</c:v>
                </c:pt>
                <c:pt idx="7">
                  <c:v>13.825199402709844</c:v>
                </c:pt>
                <c:pt idx="8">
                  <c:v>9.0936288776936731</c:v>
                </c:pt>
                <c:pt idx="9">
                  <c:v>21.972097642883185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54-4B42-89F9-090355B3B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4750288"/>
        <c:axId val="764489616"/>
      </c:barChart>
      <c:catAx>
        <c:axId val="764750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489616"/>
        <c:crosses val="autoZero"/>
        <c:auto val="1"/>
        <c:lblAlgn val="ctr"/>
        <c:lblOffset val="100"/>
        <c:noMultiLvlLbl val="0"/>
      </c:catAx>
      <c:valAx>
        <c:axId val="76448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n_x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75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909484</xdr:colOff>
      <xdr:row>22</xdr:row>
      <xdr:rowOff>7647</xdr:rowOff>
    </xdr:from>
    <xdr:to>
      <xdr:col>12</xdr:col>
      <xdr:colOff>488461</xdr:colOff>
      <xdr:row>47</xdr:row>
      <xdr:rowOff>13956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8C6CED-12E4-C3FE-D6AF-F1381FDA59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25400</xdr:colOff>
      <xdr:row>28</xdr:row>
      <xdr:rowOff>25400</xdr:rowOff>
    </xdr:from>
    <xdr:to>
      <xdr:col>13</xdr:col>
      <xdr:colOff>636427</xdr:colOff>
      <xdr:row>53</xdr:row>
      <xdr:rowOff>91022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ECB54F-7597-2341-A0E5-8FB6594EE6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687614</xdr:colOff>
      <xdr:row>21</xdr:row>
      <xdr:rowOff>141514</xdr:rowOff>
    </xdr:from>
    <xdr:to>
      <xdr:col>6</xdr:col>
      <xdr:colOff>305707</xdr:colOff>
      <xdr:row>38</xdr:row>
      <xdr:rowOff>78014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979131-3174-0796-A707-6537CF98F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431800</xdr:colOff>
      <xdr:row>22</xdr:row>
      <xdr:rowOff>152400</xdr:rowOff>
    </xdr:from>
    <xdr:to>
      <xdr:col>6</xdr:col>
      <xdr:colOff>50800</xdr:colOff>
      <xdr:row>39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75A7F0-4EB6-A242-882E-DD08452744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152983</xdr:colOff>
      <xdr:row>22</xdr:row>
      <xdr:rowOff>67694</xdr:rowOff>
    </xdr:from>
    <xdr:to>
      <xdr:col>5</xdr:col>
      <xdr:colOff>601444</xdr:colOff>
      <xdr:row>39</xdr:row>
      <xdr:rowOff>4195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B15525-55BC-A64E-81AD-4630A272FB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</xdr:colOff>
      <xdr:row>19</xdr:row>
      <xdr:rowOff>48260</xdr:rowOff>
    </xdr:from>
    <xdr:to>
      <xdr:col>5</xdr:col>
      <xdr:colOff>497840</xdr:colOff>
      <xdr:row>35</xdr:row>
      <xdr:rowOff>149860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49333B-E8D0-8DE5-7020-2FB6A6680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Microsoft Office User" refreshedDate="46062.85580208333" createdVersion="8" refreshedVersion="8" minRefreshableVersion="3" recordCount="2729" xr:uid="{57AFCC92-789F-0E46-8FC5-935BA443342D}">
  <cacheSource type="worksheet">
    <worksheetSource ref="B1:B1048576" sheet="comscore"/>
  </cacheSource>
  <cacheFields count="1">
    <cacheField name="Visits" numFmtId="0">
      <sharedItems containsString="0" containsBlank="1" containsNumber="1" containsInteger="1" minValue="0" maxValue="79" count="35">
        <n v="0"/>
        <n v="5"/>
        <n v="1"/>
        <n v="3"/>
        <n v="2"/>
        <n v="6"/>
        <n v="16"/>
        <n v="4"/>
        <n v="9"/>
        <n v="8"/>
        <n v="62"/>
        <n v="12"/>
        <n v="21"/>
        <n v="28"/>
        <n v="15"/>
        <n v="25"/>
        <n v="18"/>
        <n v="79"/>
        <n v="10"/>
        <n v="22"/>
        <n v="7"/>
        <n v="14"/>
        <n v="34"/>
        <n v="20"/>
        <n v="33"/>
        <n v="27"/>
        <n v="42"/>
        <n v="36"/>
        <n v="11"/>
        <n v="26"/>
        <n v="50"/>
        <n v="40"/>
        <n v="17"/>
        <n v="49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16B6B9-94AA-1D46-87CD-D19DDA8C835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:E37" firstHeaderRow="1" firstDataRow="1" firstDataCol="1"/>
  <pivotFields count="1">
    <pivotField axis="axisRow" dataField="1" showAll="0">
      <items count="36">
        <item x="0"/>
        <item x="2"/>
        <item x="4"/>
        <item x="3"/>
        <item x="7"/>
        <item x="1"/>
        <item x="5"/>
        <item x="20"/>
        <item x="9"/>
        <item x="8"/>
        <item x="18"/>
        <item x="28"/>
        <item x="11"/>
        <item x="21"/>
        <item x="14"/>
        <item x="6"/>
        <item x="32"/>
        <item x="16"/>
        <item x="23"/>
        <item x="12"/>
        <item x="19"/>
        <item x="15"/>
        <item x="29"/>
        <item x="25"/>
        <item x="13"/>
        <item x="24"/>
        <item x="22"/>
        <item x="27"/>
        <item x="31"/>
        <item x="26"/>
        <item x="33"/>
        <item x="30"/>
        <item x="10"/>
        <item x="17"/>
        <item x="34"/>
        <item t="default"/>
      </items>
    </pivotField>
  </pivotFields>
  <rowFields count="1">
    <field x="0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Items count="1">
    <i/>
  </colItems>
  <dataFields count="1">
    <dataField name="Count of Visit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mailto:spike@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E2796-03DC-4771-8177-B4216F6ED81E}">
  <dimension ref="A1:I2729"/>
  <sheetViews>
    <sheetView workbookViewId="0">
      <selection activeCell="J12" sqref="J12"/>
    </sheetView>
  </sheetViews>
  <sheetFormatPr baseColWidth="10" defaultColWidth="9.1640625" defaultRowHeight="13" x14ac:dyDescent="0.15"/>
  <cols>
    <col min="1" max="2" width="9.1640625" style="4"/>
    <col min="3" max="3" width="3" style="4" customWidth="1"/>
    <col min="4" max="16384" width="9.1640625" style="4"/>
  </cols>
  <sheetData>
    <row r="1" spans="1:9" x14ac:dyDescent="0.15">
      <c r="A1" s="3" t="s">
        <v>13</v>
      </c>
      <c r="B1" s="3" t="s">
        <v>3</v>
      </c>
      <c r="C1" s="3"/>
      <c r="D1" s="3" t="s">
        <v>4</v>
      </c>
      <c r="E1" s="3" t="s">
        <v>5</v>
      </c>
      <c r="F1" s="3" t="s">
        <v>6</v>
      </c>
      <c r="G1" s="3" t="s">
        <v>7</v>
      </c>
    </row>
    <row r="2" spans="1:9" x14ac:dyDescent="0.15">
      <c r="A2" s="4">
        <v>1</v>
      </c>
      <c r="B2" s="4">
        <v>0</v>
      </c>
      <c r="D2" s="5">
        <v>11.379394072345706</v>
      </c>
      <c r="E2" s="4">
        <v>1</v>
      </c>
      <c r="F2" s="5">
        <v>3.8712010109078911</v>
      </c>
      <c r="G2" s="4">
        <v>2</v>
      </c>
      <c r="H2" s="3"/>
    </row>
    <row r="3" spans="1:9" x14ac:dyDescent="0.15">
      <c r="A3" s="4">
        <v>2</v>
      </c>
      <c r="B3" s="4">
        <v>5</v>
      </c>
      <c r="D3" s="5">
        <v>9.7699561599116063</v>
      </c>
      <c r="E3" s="4">
        <v>1</v>
      </c>
      <c r="F3" s="5">
        <v>4.0430512678345503</v>
      </c>
      <c r="G3" s="4">
        <v>1</v>
      </c>
    </row>
    <row r="4" spans="1:9" x14ac:dyDescent="0.15">
      <c r="A4" s="4">
        <v>3</v>
      </c>
      <c r="B4" s="4">
        <v>0</v>
      </c>
      <c r="D4" s="5">
        <v>11.082142548877775</v>
      </c>
      <c r="E4" s="4">
        <v>0</v>
      </c>
      <c r="F4" s="5">
        <v>3.3322045101752038</v>
      </c>
      <c r="G4" s="4">
        <v>2</v>
      </c>
      <c r="I4" s="6" t="s">
        <v>8</v>
      </c>
    </row>
    <row r="5" spans="1:9" x14ac:dyDescent="0.15">
      <c r="A5" s="4">
        <v>4</v>
      </c>
      <c r="B5" s="4">
        <v>0</v>
      </c>
      <c r="D5" s="5">
        <v>10.915088464214607</v>
      </c>
      <c r="E5" s="4">
        <v>1</v>
      </c>
      <c r="F5" s="5">
        <v>3.9512437185814275</v>
      </c>
      <c r="G5" s="4">
        <v>3</v>
      </c>
      <c r="I5" s="4" t="s">
        <v>9</v>
      </c>
    </row>
    <row r="6" spans="1:9" x14ac:dyDescent="0.15">
      <c r="A6" s="4">
        <v>5</v>
      </c>
      <c r="B6" s="4">
        <v>0</v>
      </c>
      <c r="D6" s="5">
        <v>10.915088464214607</v>
      </c>
      <c r="E6" s="4">
        <v>1</v>
      </c>
      <c r="F6" s="5">
        <v>2.8332133440562162</v>
      </c>
      <c r="G6" s="4">
        <v>3</v>
      </c>
      <c r="I6" s="4" t="s">
        <v>10</v>
      </c>
    </row>
    <row r="7" spans="1:9" x14ac:dyDescent="0.15">
      <c r="A7" s="4">
        <v>6</v>
      </c>
      <c r="B7" s="4">
        <v>0</v>
      </c>
      <c r="D7" s="5">
        <v>10.915088464214607</v>
      </c>
      <c r="E7" s="4">
        <v>0</v>
      </c>
      <c r="F7" s="5">
        <v>2.9444389791664403</v>
      </c>
      <c r="G7" s="4">
        <v>3</v>
      </c>
      <c r="I7" s="4" t="s">
        <v>11</v>
      </c>
    </row>
    <row r="8" spans="1:9" x14ac:dyDescent="0.15">
      <c r="A8" s="4">
        <v>7</v>
      </c>
      <c r="B8" s="4">
        <v>0</v>
      </c>
      <c r="D8" s="5">
        <v>11.191341840842766</v>
      </c>
      <c r="E8" s="4">
        <v>0</v>
      </c>
      <c r="F8" s="5">
        <v>3.6635616461296463</v>
      </c>
      <c r="G8" s="4">
        <v>2</v>
      </c>
      <c r="I8" s="4" t="s">
        <v>12</v>
      </c>
    </row>
    <row r="9" spans="1:9" x14ac:dyDescent="0.15">
      <c r="A9" s="4">
        <v>8</v>
      </c>
      <c r="B9" s="4">
        <v>1</v>
      </c>
      <c r="D9" s="5">
        <v>11.736069016284437</v>
      </c>
      <c r="E9" s="4">
        <v>0</v>
      </c>
      <c r="F9" s="5">
        <v>4.0775374439057197</v>
      </c>
      <c r="G9" s="4">
        <v>2</v>
      </c>
    </row>
    <row r="10" spans="1:9" x14ac:dyDescent="0.15">
      <c r="A10" s="4">
        <v>9</v>
      </c>
      <c r="B10" s="4">
        <v>0</v>
      </c>
      <c r="D10" s="5">
        <v>10.021270588192511</v>
      </c>
      <c r="E10" s="4">
        <v>0</v>
      </c>
      <c r="F10" s="5">
        <v>4.2484952420493594</v>
      </c>
      <c r="G10" s="4">
        <v>1</v>
      </c>
    </row>
    <row r="11" spans="1:9" x14ac:dyDescent="0.15">
      <c r="A11" s="4">
        <v>10</v>
      </c>
      <c r="B11" s="4">
        <v>0</v>
      </c>
      <c r="D11" s="5">
        <v>10.915088464214607</v>
      </c>
      <c r="E11" s="4">
        <v>0</v>
      </c>
      <c r="F11" s="5">
        <v>3.8501476017100584</v>
      </c>
      <c r="G11" s="4">
        <v>3</v>
      </c>
    </row>
    <row r="12" spans="1:9" x14ac:dyDescent="0.15">
      <c r="A12" s="4">
        <v>11</v>
      </c>
      <c r="B12" s="4">
        <v>1</v>
      </c>
      <c r="D12" s="5">
        <v>10.768484990022733</v>
      </c>
      <c r="E12" s="4">
        <v>0</v>
      </c>
      <c r="F12" s="5">
        <v>3.9318256327243257</v>
      </c>
      <c r="G12" s="4">
        <v>2</v>
      </c>
    </row>
    <row r="13" spans="1:9" x14ac:dyDescent="0.15">
      <c r="A13" s="4">
        <v>12</v>
      </c>
      <c r="B13" s="4">
        <v>0</v>
      </c>
      <c r="D13" s="5">
        <v>10.915088464214607</v>
      </c>
      <c r="E13" s="4">
        <v>0</v>
      </c>
      <c r="F13" s="5">
        <v>3.9889840465642745</v>
      </c>
      <c r="G13" s="4">
        <v>2</v>
      </c>
    </row>
    <row r="14" spans="1:9" x14ac:dyDescent="0.15">
      <c r="A14" s="4">
        <v>13</v>
      </c>
      <c r="B14" s="4">
        <v>3</v>
      </c>
      <c r="D14" s="5">
        <v>10.532096211958502</v>
      </c>
      <c r="E14" s="4">
        <v>0</v>
      </c>
      <c r="F14" s="5">
        <v>3.6375861597263857</v>
      </c>
      <c r="G14" s="4">
        <v>2</v>
      </c>
    </row>
    <row r="15" spans="1:9" x14ac:dyDescent="0.15">
      <c r="A15" s="4">
        <v>14</v>
      </c>
      <c r="B15" s="4">
        <v>0</v>
      </c>
      <c r="D15" s="5">
        <v>10.915088464214607</v>
      </c>
      <c r="E15" s="4">
        <v>0</v>
      </c>
      <c r="F15" s="5">
        <v>3.6109179126442243</v>
      </c>
      <c r="G15" s="4">
        <v>1</v>
      </c>
    </row>
    <row r="16" spans="1:9" x14ac:dyDescent="0.15">
      <c r="A16" s="4">
        <v>15</v>
      </c>
      <c r="B16" s="4">
        <v>0</v>
      </c>
      <c r="D16" s="5">
        <v>10.221941283654663</v>
      </c>
      <c r="E16" s="4">
        <v>1</v>
      </c>
      <c r="F16" s="5">
        <v>3.5835189384561099</v>
      </c>
      <c r="G16" s="4">
        <v>3</v>
      </c>
    </row>
    <row r="17" spans="1:7" x14ac:dyDescent="0.15">
      <c r="A17" s="4">
        <v>16</v>
      </c>
      <c r="B17" s="4">
        <v>1</v>
      </c>
      <c r="D17" s="5">
        <v>10.768484990022733</v>
      </c>
      <c r="E17" s="4">
        <v>1</v>
      </c>
      <c r="F17" s="5">
        <v>3.2580965380214821</v>
      </c>
      <c r="G17" s="4">
        <v>3</v>
      </c>
    </row>
    <row r="18" spans="1:7" x14ac:dyDescent="0.15">
      <c r="A18" s="4">
        <v>17</v>
      </c>
      <c r="B18" s="4">
        <v>2</v>
      </c>
      <c r="D18" s="5">
        <v>12.206072645530174</v>
      </c>
      <c r="E18" s="4">
        <v>0</v>
      </c>
      <c r="F18" s="5">
        <v>3.6635616461296463</v>
      </c>
      <c r="G18" s="4">
        <v>2</v>
      </c>
    </row>
    <row r="19" spans="1:7" x14ac:dyDescent="0.15">
      <c r="A19" s="4">
        <v>18</v>
      </c>
      <c r="B19" s="4">
        <v>0</v>
      </c>
      <c r="D19" s="5">
        <v>10.768484990022733</v>
      </c>
      <c r="E19" s="4">
        <v>0</v>
      </c>
      <c r="F19" s="5">
        <v>3.9512437185814275</v>
      </c>
      <c r="G19" s="4">
        <v>2</v>
      </c>
    </row>
    <row r="20" spans="1:7" x14ac:dyDescent="0.15">
      <c r="A20" s="4">
        <v>19</v>
      </c>
      <c r="B20" s="4">
        <v>6</v>
      </c>
      <c r="D20" s="5">
        <v>11.191341840842766</v>
      </c>
      <c r="E20" s="4">
        <v>1</v>
      </c>
      <c r="F20" s="5">
        <v>3.3322045101752038</v>
      </c>
      <c r="G20" s="4">
        <v>2</v>
      </c>
    </row>
    <row r="21" spans="1:7" x14ac:dyDescent="0.15">
      <c r="A21" s="4">
        <v>20</v>
      </c>
      <c r="B21" s="4">
        <v>0</v>
      </c>
      <c r="D21" s="5">
        <v>10.388995368317829</v>
      </c>
      <c r="E21" s="4">
        <v>1</v>
      </c>
      <c r="F21" s="5">
        <v>3.5835189384561099</v>
      </c>
      <c r="G21" s="4">
        <v>2</v>
      </c>
    </row>
    <row r="22" spans="1:7" x14ac:dyDescent="0.15">
      <c r="A22" s="4">
        <v>21</v>
      </c>
      <c r="B22" s="4">
        <v>2</v>
      </c>
      <c r="D22" s="5">
        <v>10.768484990022733</v>
      </c>
      <c r="E22" s="4">
        <v>1</v>
      </c>
      <c r="F22" s="5">
        <v>3.3322045101752038</v>
      </c>
      <c r="G22" s="4">
        <v>4</v>
      </c>
    </row>
    <row r="23" spans="1:7" x14ac:dyDescent="0.15">
      <c r="A23" s="4">
        <v>22</v>
      </c>
      <c r="B23" s="4">
        <v>0</v>
      </c>
      <c r="D23" s="5">
        <v>11.191341840842766</v>
      </c>
      <c r="E23" s="4">
        <v>1</v>
      </c>
      <c r="F23" s="5">
        <v>3.4657359027997265</v>
      </c>
      <c r="G23" s="4">
        <v>2</v>
      </c>
    </row>
    <row r="24" spans="1:7" x14ac:dyDescent="0.15">
      <c r="A24" s="4">
        <v>23</v>
      </c>
      <c r="B24" s="4">
        <v>0</v>
      </c>
      <c r="D24" s="5">
        <v>11.191341840842766</v>
      </c>
      <c r="E24" s="4">
        <v>1</v>
      </c>
      <c r="F24" s="5">
        <v>3.4339872044851463</v>
      </c>
      <c r="G24" s="4">
        <v>2</v>
      </c>
    </row>
    <row r="25" spans="1:7" x14ac:dyDescent="0.15">
      <c r="A25" s="4">
        <v>24</v>
      </c>
      <c r="B25" s="4">
        <v>2</v>
      </c>
      <c r="D25" s="5">
        <v>11.736069016284437</v>
      </c>
      <c r="E25" s="4">
        <v>1</v>
      </c>
      <c r="F25" s="5">
        <v>3.8066624897703196</v>
      </c>
      <c r="G25" s="4">
        <v>2</v>
      </c>
    </row>
    <row r="26" spans="1:7" x14ac:dyDescent="0.15">
      <c r="A26" s="4">
        <v>25</v>
      </c>
      <c r="B26" s="4">
        <v>0</v>
      </c>
      <c r="D26" s="5">
        <v>11.379394072345706</v>
      </c>
      <c r="E26" s="4">
        <v>0</v>
      </c>
      <c r="F26" s="5">
        <v>4.2766661190160553</v>
      </c>
      <c r="G26" s="4">
        <v>2</v>
      </c>
    </row>
    <row r="27" spans="1:7" x14ac:dyDescent="0.15">
      <c r="A27" s="4">
        <v>26</v>
      </c>
      <c r="B27" s="4">
        <v>0</v>
      </c>
      <c r="D27" s="5">
        <v>10.388995368317829</v>
      </c>
      <c r="E27" s="4">
        <v>0</v>
      </c>
      <c r="F27" s="5">
        <v>4.219507705176107</v>
      </c>
      <c r="G27" s="4">
        <v>2</v>
      </c>
    </row>
    <row r="28" spans="1:7" x14ac:dyDescent="0.15">
      <c r="A28" s="4">
        <v>27</v>
      </c>
      <c r="B28" s="4">
        <v>0</v>
      </c>
      <c r="D28" s="5">
        <v>10.657259354912508</v>
      </c>
      <c r="E28" s="4">
        <v>1</v>
      </c>
      <c r="F28" s="5">
        <v>3.4965075614664802</v>
      </c>
      <c r="G28" s="4">
        <v>4</v>
      </c>
    </row>
    <row r="29" spans="1:7" x14ac:dyDescent="0.15">
      <c r="A29" s="4">
        <v>28</v>
      </c>
      <c r="B29" s="4">
        <v>0</v>
      </c>
      <c r="D29" s="5">
        <v>12.072541252905651</v>
      </c>
      <c r="E29" s="4">
        <v>0</v>
      </c>
      <c r="F29" s="5">
        <v>3.9512437185814275</v>
      </c>
      <c r="G29" s="4">
        <v>2</v>
      </c>
    </row>
    <row r="30" spans="1:7" x14ac:dyDescent="0.15">
      <c r="A30" s="4">
        <v>29</v>
      </c>
      <c r="B30" s="4">
        <v>0</v>
      </c>
      <c r="D30" s="5">
        <v>10.915088464214607</v>
      </c>
      <c r="E30" s="4">
        <v>1</v>
      </c>
      <c r="F30" s="5">
        <v>3.8066624897703196</v>
      </c>
      <c r="G30" s="4">
        <v>3</v>
      </c>
    </row>
    <row r="31" spans="1:7" x14ac:dyDescent="0.15">
      <c r="A31" s="4">
        <v>30</v>
      </c>
      <c r="B31" s="4">
        <v>0</v>
      </c>
      <c r="D31" s="5">
        <v>10.915088464214607</v>
      </c>
      <c r="E31" s="4">
        <v>0</v>
      </c>
      <c r="F31" s="5">
        <v>3.5263605246161616</v>
      </c>
      <c r="G31" s="4">
        <v>3</v>
      </c>
    </row>
    <row r="32" spans="1:7" x14ac:dyDescent="0.15">
      <c r="A32" s="4">
        <v>31</v>
      </c>
      <c r="B32" s="4">
        <v>0</v>
      </c>
      <c r="D32" s="5">
        <v>11.191341840842766</v>
      </c>
      <c r="E32" s="4">
        <v>1</v>
      </c>
      <c r="F32" s="5">
        <v>3.3672958299864741</v>
      </c>
      <c r="G32" s="4">
        <v>2</v>
      </c>
    </row>
    <row r="33" spans="1:7" x14ac:dyDescent="0.15">
      <c r="A33" s="4">
        <v>32</v>
      </c>
      <c r="B33" s="4">
        <v>0</v>
      </c>
      <c r="D33" s="5">
        <v>10.221941283654663</v>
      </c>
      <c r="E33" s="4">
        <v>1</v>
      </c>
      <c r="F33" s="5">
        <v>3.1354942159291497</v>
      </c>
      <c r="G33" s="4">
        <v>4</v>
      </c>
    </row>
    <row r="34" spans="1:7" x14ac:dyDescent="0.15">
      <c r="A34" s="4">
        <v>33</v>
      </c>
      <c r="B34" s="4">
        <v>0</v>
      </c>
      <c r="D34" s="5">
        <v>11.379394072345706</v>
      </c>
      <c r="E34" s="4">
        <v>0</v>
      </c>
      <c r="F34" s="5">
        <v>3.3322045101752038</v>
      </c>
      <c r="G34" s="4">
        <v>4</v>
      </c>
    </row>
    <row r="35" spans="1:7" x14ac:dyDescent="0.15">
      <c r="A35" s="4">
        <v>34</v>
      </c>
      <c r="B35" s="4">
        <v>0</v>
      </c>
      <c r="D35" s="5">
        <v>9.0768089793516609</v>
      </c>
      <c r="E35" s="4">
        <v>1</v>
      </c>
      <c r="F35" s="5">
        <v>3.4011973816621555</v>
      </c>
      <c r="G35" s="4">
        <v>1</v>
      </c>
    </row>
    <row r="36" spans="1:7" x14ac:dyDescent="0.15">
      <c r="A36" s="4">
        <v>35</v>
      </c>
      <c r="B36" s="4">
        <v>0</v>
      </c>
      <c r="D36" s="5">
        <v>10.021270588192511</v>
      </c>
      <c r="E36" s="4">
        <v>1</v>
      </c>
      <c r="F36" s="5">
        <v>3.5263605246161616</v>
      </c>
      <c r="G36" s="4">
        <v>1</v>
      </c>
    </row>
    <row r="37" spans="1:7" x14ac:dyDescent="0.15">
      <c r="A37" s="4">
        <v>36</v>
      </c>
      <c r="B37" s="4">
        <v>0</v>
      </c>
      <c r="D37" s="5">
        <v>11.082142548877775</v>
      </c>
      <c r="E37" s="4">
        <v>0</v>
      </c>
      <c r="F37" s="5">
        <v>4.0604430105464191</v>
      </c>
      <c r="G37" s="4">
        <v>4</v>
      </c>
    </row>
    <row r="38" spans="1:7" x14ac:dyDescent="0.15">
      <c r="A38" s="4">
        <v>37</v>
      </c>
      <c r="B38" s="4">
        <v>2</v>
      </c>
      <c r="D38" s="5">
        <v>10.221941283654663</v>
      </c>
      <c r="E38" s="4">
        <v>1</v>
      </c>
      <c r="F38" s="5">
        <v>3.6888794541139363</v>
      </c>
      <c r="G38" s="4">
        <v>2</v>
      </c>
    </row>
    <row r="39" spans="1:7" x14ac:dyDescent="0.15">
      <c r="A39" s="4">
        <v>38</v>
      </c>
      <c r="B39" s="4">
        <v>2</v>
      </c>
      <c r="D39" s="5">
        <v>12.072541252905651</v>
      </c>
      <c r="E39" s="4">
        <v>1</v>
      </c>
      <c r="F39" s="5">
        <v>3.6888794541139363</v>
      </c>
      <c r="G39" s="4">
        <v>2</v>
      </c>
    </row>
    <row r="40" spans="1:7" x14ac:dyDescent="0.15">
      <c r="A40" s="4">
        <v>39</v>
      </c>
      <c r="B40" s="4">
        <v>1</v>
      </c>
      <c r="D40" s="5">
        <v>11.082142548877775</v>
      </c>
      <c r="E40" s="4">
        <v>0</v>
      </c>
      <c r="F40" s="5">
        <v>4.1743872698956368</v>
      </c>
      <c r="G40" s="4">
        <v>1</v>
      </c>
    </row>
    <row r="41" spans="1:7" x14ac:dyDescent="0.15">
      <c r="A41" s="4">
        <v>40</v>
      </c>
      <c r="B41" s="4">
        <v>0</v>
      </c>
      <c r="D41" s="5">
        <v>9.5287941030947181</v>
      </c>
      <c r="E41" s="4">
        <v>1</v>
      </c>
      <c r="F41" s="5">
        <v>2.7080502011022101</v>
      </c>
      <c r="G41" s="4">
        <v>3</v>
      </c>
    </row>
    <row r="42" spans="1:7" x14ac:dyDescent="0.15">
      <c r="A42" s="4">
        <v>41</v>
      </c>
      <c r="B42" s="4">
        <v>0</v>
      </c>
      <c r="D42" s="5">
        <v>11.082142548877775</v>
      </c>
      <c r="E42" s="4">
        <v>1</v>
      </c>
      <c r="F42" s="5">
        <v>3.8066624897703196</v>
      </c>
      <c r="G42" s="4">
        <v>3</v>
      </c>
    </row>
    <row r="43" spans="1:7" x14ac:dyDescent="0.15">
      <c r="A43" s="4">
        <v>42</v>
      </c>
      <c r="B43" s="4">
        <v>0</v>
      </c>
      <c r="D43" s="5">
        <v>11.379394072345706</v>
      </c>
      <c r="E43" s="4">
        <v>1</v>
      </c>
      <c r="F43" s="5">
        <v>4.1271343850450917</v>
      </c>
      <c r="G43" s="4">
        <v>3</v>
      </c>
    </row>
    <row r="44" spans="1:7" x14ac:dyDescent="0.15">
      <c r="A44" s="4">
        <v>43</v>
      </c>
      <c r="B44" s="4">
        <v>0</v>
      </c>
      <c r="D44" s="5">
        <v>11.379394072345706</v>
      </c>
      <c r="E44" s="4">
        <v>0</v>
      </c>
      <c r="F44" s="5">
        <v>4.1743872698956368</v>
      </c>
      <c r="G44" s="4">
        <v>3</v>
      </c>
    </row>
    <row r="45" spans="1:7" x14ac:dyDescent="0.15">
      <c r="A45" s="4">
        <v>44</v>
      </c>
      <c r="B45" s="4">
        <v>0</v>
      </c>
      <c r="D45" s="5">
        <v>10.532096211958502</v>
      </c>
      <c r="E45" s="4">
        <v>1</v>
      </c>
      <c r="F45" s="5">
        <v>3.5553480614894135</v>
      </c>
      <c r="G45" s="4">
        <v>6</v>
      </c>
    </row>
    <row r="46" spans="1:7" x14ac:dyDescent="0.15">
      <c r="A46" s="4">
        <v>45</v>
      </c>
      <c r="B46" s="4">
        <v>0</v>
      </c>
      <c r="D46" s="5">
        <v>10.768484990022733</v>
      </c>
      <c r="E46" s="4">
        <v>0</v>
      </c>
      <c r="F46" s="5">
        <v>3.2188758248682006</v>
      </c>
      <c r="G46" s="4">
        <v>1</v>
      </c>
    </row>
    <row r="47" spans="1:7" x14ac:dyDescent="0.15">
      <c r="A47" s="4">
        <v>46</v>
      </c>
      <c r="B47" s="4">
        <v>0</v>
      </c>
      <c r="D47" s="5">
        <v>11.379394072345706</v>
      </c>
      <c r="E47" s="4">
        <v>1</v>
      </c>
      <c r="F47" s="5">
        <v>3.3672958299864741</v>
      </c>
      <c r="G47" s="4">
        <v>2</v>
      </c>
    </row>
    <row r="48" spans="1:7" x14ac:dyDescent="0.15">
      <c r="A48" s="4">
        <v>47</v>
      </c>
      <c r="B48" s="4">
        <v>0</v>
      </c>
      <c r="D48" s="5">
        <v>11.736069016284437</v>
      </c>
      <c r="E48" s="4">
        <v>0</v>
      </c>
      <c r="F48" s="5">
        <v>3.044522437723423</v>
      </c>
      <c r="G48" s="4">
        <v>4</v>
      </c>
    </row>
    <row r="49" spans="1:7" x14ac:dyDescent="0.15">
      <c r="A49" s="4">
        <v>48</v>
      </c>
      <c r="B49" s="4">
        <v>0</v>
      </c>
      <c r="D49" s="5">
        <v>10.768484990022733</v>
      </c>
      <c r="E49" s="4">
        <v>0</v>
      </c>
      <c r="F49" s="5">
        <v>3.5263605246161616</v>
      </c>
      <c r="G49" s="4">
        <v>1</v>
      </c>
    </row>
    <row r="50" spans="1:7" x14ac:dyDescent="0.15">
      <c r="A50" s="4">
        <v>49</v>
      </c>
      <c r="B50" s="4">
        <v>0</v>
      </c>
      <c r="D50" s="5">
        <v>10.388995368317829</v>
      </c>
      <c r="E50" s="4">
        <v>1</v>
      </c>
      <c r="F50" s="5">
        <v>2.8332133440562162</v>
      </c>
      <c r="G50" s="4">
        <v>3</v>
      </c>
    </row>
    <row r="51" spans="1:7" x14ac:dyDescent="0.15">
      <c r="A51" s="4">
        <v>50</v>
      </c>
      <c r="B51" s="4">
        <v>0</v>
      </c>
      <c r="D51" s="5">
        <v>10.388995368317829</v>
      </c>
      <c r="E51" s="4">
        <v>1</v>
      </c>
      <c r="F51" s="5">
        <v>2.6390573296152584</v>
      </c>
      <c r="G51" s="4">
        <v>3</v>
      </c>
    </row>
    <row r="52" spans="1:7" x14ac:dyDescent="0.15">
      <c r="A52" s="4">
        <v>51</v>
      </c>
      <c r="B52" s="4">
        <v>0</v>
      </c>
      <c r="D52" s="5">
        <v>11.082142548877775</v>
      </c>
      <c r="E52" s="4">
        <v>0</v>
      </c>
      <c r="F52" s="5">
        <v>3.7376696182833684</v>
      </c>
      <c r="G52" s="4">
        <v>5</v>
      </c>
    </row>
    <row r="53" spans="1:7" x14ac:dyDescent="0.15">
      <c r="A53" s="4">
        <v>52</v>
      </c>
      <c r="B53" s="4">
        <v>6</v>
      </c>
      <c r="D53" s="5">
        <v>9.7699561599116063</v>
      </c>
      <c r="E53" s="4">
        <v>0</v>
      </c>
      <c r="F53" s="5">
        <v>3.2958368660043291</v>
      </c>
      <c r="G53" s="4">
        <v>1</v>
      </c>
    </row>
    <row r="54" spans="1:7" x14ac:dyDescent="0.15">
      <c r="A54" s="4">
        <v>53</v>
      </c>
      <c r="B54" s="4">
        <v>16</v>
      </c>
      <c r="D54" s="5">
        <v>9.7699561599116063</v>
      </c>
      <c r="E54" s="4">
        <v>0</v>
      </c>
      <c r="F54" s="5">
        <v>3.1354942159291497</v>
      </c>
      <c r="G54" s="4">
        <v>1</v>
      </c>
    </row>
    <row r="55" spans="1:7" x14ac:dyDescent="0.15">
      <c r="A55" s="4">
        <v>54</v>
      </c>
      <c r="B55" s="4">
        <v>1</v>
      </c>
      <c r="D55" s="5">
        <v>10.221941283654663</v>
      </c>
      <c r="E55" s="4">
        <v>1</v>
      </c>
      <c r="F55" s="5">
        <v>3.4657359027997265</v>
      </c>
      <c r="G55" s="4">
        <v>1</v>
      </c>
    </row>
    <row r="56" spans="1:7" x14ac:dyDescent="0.15">
      <c r="A56" s="4">
        <v>55</v>
      </c>
      <c r="B56" s="4">
        <v>0</v>
      </c>
      <c r="D56" s="5">
        <v>11.379394072345706</v>
      </c>
      <c r="E56" s="4">
        <v>1</v>
      </c>
      <c r="F56" s="5">
        <v>3.5553480614894135</v>
      </c>
      <c r="G56" s="4">
        <v>2</v>
      </c>
    </row>
    <row r="57" spans="1:7" x14ac:dyDescent="0.15">
      <c r="A57" s="4">
        <v>56</v>
      </c>
      <c r="B57" s="4">
        <v>0</v>
      </c>
      <c r="D57" s="5">
        <v>11.736069016284437</v>
      </c>
      <c r="E57" s="4">
        <v>0</v>
      </c>
      <c r="F57" s="5">
        <v>3.9318256327243257</v>
      </c>
      <c r="G57" s="4">
        <v>4</v>
      </c>
    </row>
    <row r="58" spans="1:7" x14ac:dyDescent="0.15">
      <c r="A58" s="4">
        <v>57</v>
      </c>
      <c r="B58" s="4">
        <v>0</v>
      </c>
      <c r="D58" s="5">
        <v>10.388995368317829</v>
      </c>
      <c r="E58" s="4">
        <v>1</v>
      </c>
      <c r="F58" s="5">
        <v>3.7376696182833684</v>
      </c>
      <c r="G58" s="4">
        <v>2</v>
      </c>
    </row>
    <row r="59" spans="1:7" x14ac:dyDescent="0.15">
      <c r="A59" s="4">
        <v>58</v>
      </c>
      <c r="B59" s="4">
        <v>1</v>
      </c>
      <c r="D59" s="5">
        <v>11.191341840842766</v>
      </c>
      <c r="E59" s="4">
        <v>1</v>
      </c>
      <c r="F59" s="5">
        <v>3.4965075614664802</v>
      </c>
      <c r="G59" s="4">
        <v>2</v>
      </c>
    </row>
    <row r="60" spans="1:7" x14ac:dyDescent="0.15">
      <c r="A60" s="4">
        <v>59</v>
      </c>
      <c r="B60" s="4">
        <v>0</v>
      </c>
      <c r="D60" s="5">
        <v>10.221941283654663</v>
      </c>
      <c r="E60" s="4">
        <v>0</v>
      </c>
      <c r="F60" s="5">
        <v>3.6109179126442243</v>
      </c>
      <c r="G60" s="4">
        <v>4</v>
      </c>
    </row>
    <row r="61" spans="1:7" x14ac:dyDescent="0.15">
      <c r="A61" s="4">
        <v>60</v>
      </c>
      <c r="B61" s="4">
        <v>0</v>
      </c>
      <c r="D61" s="5">
        <v>10.915088464214607</v>
      </c>
      <c r="E61" s="4">
        <v>0</v>
      </c>
      <c r="F61" s="5">
        <v>3.8918202981106265</v>
      </c>
      <c r="G61" s="4">
        <v>1</v>
      </c>
    </row>
    <row r="62" spans="1:7" x14ac:dyDescent="0.15">
      <c r="A62" s="4">
        <v>61</v>
      </c>
      <c r="B62" s="4">
        <v>0</v>
      </c>
      <c r="D62" s="5">
        <v>10.915088464214607</v>
      </c>
      <c r="E62" s="4">
        <v>1</v>
      </c>
      <c r="F62" s="5">
        <v>3.4657359027997265</v>
      </c>
      <c r="G62" s="4">
        <v>3</v>
      </c>
    </row>
    <row r="63" spans="1:7" x14ac:dyDescent="0.15">
      <c r="A63" s="4">
        <v>62</v>
      </c>
      <c r="B63" s="4">
        <v>0</v>
      </c>
      <c r="D63" s="5">
        <v>10.388995368317829</v>
      </c>
      <c r="E63" s="4">
        <v>1</v>
      </c>
      <c r="F63" s="5">
        <v>3.3672958299864741</v>
      </c>
      <c r="G63" s="4">
        <v>2</v>
      </c>
    </row>
    <row r="64" spans="1:7" x14ac:dyDescent="0.15">
      <c r="A64" s="4">
        <v>63</v>
      </c>
      <c r="B64" s="4">
        <v>0</v>
      </c>
      <c r="D64" s="5">
        <v>10.388995368317829</v>
      </c>
      <c r="E64" s="4">
        <v>0</v>
      </c>
      <c r="F64" s="5">
        <v>3.4657359027997265</v>
      </c>
      <c r="G64" s="4">
        <v>2</v>
      </c>
    </row>
    <row r="65" spans="1:7" x14ac:dyDescent="0.15">
      <c r="A65" s="4">
        <v>64</v>
      </c>
      <c r="B65" s="4">
        <v>0</v>
      </c>
      <c r="D65" s="5">
        <v>10.768484990022733</v>
      </c>
      <c r="E65" s="4">
        <v>1</v>
      </c>
      <c r="F65" s="5">
        <v>3.784189633918261</v>
      </c>
      <c r="G65" s="4">
        <v>2</v>
      </c>
    </row>
    <row r="66" spans="1:7" x14ac:dyDescent="0.15">
      <c r="A66" s="4">
        <v>65</v>
      </c>
      <c r="B66" s="4">
        <v>0</v>
      </c>
      <c r="D66" s="5">
        <v>9.7699561599116063</v>
      </c>
      <c r="E66" s="4">
        <v>1</v>
      </c>
      <c r="F66" s="5">
        <v>3.713572066704308</v>
      </c>
      <c r="G66" s="4">
        <v>2</v>
      </c>
    </row>
    <row r="67" spans="1:7" x14ac:dyDescent="0.15">
      <c r="A67" s="4">
        <v>66</v>
      </c>
      <c r="B67" s="4">
        <v>0</v>
      </c>
      <c r="D67" s="5">
        <v>10.021270588192511</v>
      </c>
      <c r="E67" s="4">
        <v>1</v>
      </c>
      <c r="F67" s="5">
        <v>3.1780538303479458</v>
      </c>
      <c r="G67" s="4">
        <v>2</v>
      </c>
    </row>
    <row r="68" spans="1:7" x14ac:dyDescent="0.15">
      <c r="A68" s="4">
        <v>67</v>
      </c>
      <c r="B68" s="4">
        <v>0</v>
      </c>
      <c r="D68" s="5">
        <v>11.379394072345706</v>
      </c>
      <c r="E68" s="4">
        <v>0</v>
      </c>
      <c r="F68" s="5">
        <v>4.0073331852324712</v>
      </c>
      <c r="G68" s="4">
        <v>2</v>
      </c>
    </row>
    <row r="69" spans="1:7" x14ac:dyDescent="0.15">
      <c r="A69" s="4">
        <v>68</v>
      </c>
      <c r="B69" s="4">
        <v>0</v>
      </c>
      <c r="D69" s="5">
        <v>11.082142548877775</v>
      </c>
      <c r="E69" s="4">
        <v>0</v>
      </c>
      <c r="F69" s="5">
        <v>3.8286413964890951</v>
      </c>
      <c r="G69" s="4">
        <v>2</v>
      </c>
    </row>
    <row r="70" spans="1:7" x14ac:dyDescent="0.15">
      <c r="A70" s="4">
        <v>69</v>
      </c>
      <c r="B70" s="4">
        <v>1</v>
      </c>
      <c r="D70" s="5">
        <v>9.7699561599116063</v>
      </c>
      <c r="E70" s="4">
        <v>0</v>
      </c>
      <c r="F70" s="5">
        <v>3.4339872044851463</v>
      </c>
      <c r="G70" s="4">
        <v>2</v>
      </c>
    </row>
    <row r="71" spans="1:7" x14ac:dyDescent="0.15">
      <c r="A71" s="4">
        <v>70</v>
      </c>
      <c r="B71" s="4">
        <v>2</v>
      </c>
      <c r="D71" s="5">
        <v>11.119882876860622</v>
      </c>
      <c r="E71" s="4">
        <v>0</v>
      </c>
      <c r="F71" s="5">
        <v>3.3322045101752038</v>
      </c>
      <c r="G71" s="4">
        <v>6</v>
      </c>
    </row>
    <row r="72" spans="1:7" x14ac:dyDescent="0.15">
      <c r="A72" s="4">
        <v>71</v>
      </c>
      <c r="B72" s="4">
        <v>0</v>
      </c>
      <c r="D72" s="5">
        <v>10.308952660644293</v>
      </c>
      <c r="E72" s="4">
        <v>1</v>
      </c>
      <c r="F72" s="5">
        <v>3.5835189384561099</v>
      </c>
      <c r="G72" s="4">
        <v>6</v>
      </c>
    </row>
    <row r="73" spans="1:7" x14ac:dyDescent="0.15">
      <c r="A73" s="4">
        <v>72</v>
      </c>
      <c r="B73" s="4">
        <v>0</v>
      </c>
      <c r="D73" s="5">
        <v>10.221941283654663</v>
      </c>
      <c r="E73" s="4">
        <v>1</v>
      </c>
      <c r="F73" s="5">
        <v>3.5553480614894135</v>
      </c>
      <c r="G73" s="4">
        <v>5</v>
      </c>
    </row>
    <row r="74" spans="1:7" x14ac:dyDescent="0.15">
      <c r="A74" s="4">
        <v>73</v>
      </c>
      <c r="B74" s="4">
        <v>0</v>
      </c>
      <c r="D74" s="5">
        <v>9.7699561599116063</v>
      </c>
      <c r="E74" s="4">
        <v>1</v>
      </c>
      <c r="F74" s="5">
        <v>3.6635616461296463</v>
      </c>
      <c r="G74" s="4">
        <v>4</v>
      </c>
    </row>
    <row r="75" spans="1:7" x14ac:dyDescent="0.15">
      <c r="A75" s="4">
        <v>74</v>
      </c>
      <c r="B75" s="4">
        <v>1</v>
      </c>
      <c r="D75" s="5">
        <v>11.191341840842766</v>
      </c>
      <c r="E75" s="4">
        <v>1</v>
      </c>
      <c r="F75" s="5">
        <v>3.5553480614894135</v>
      </c>
      <c r="G75" s="4">
        <v>4</v>
      </c>
    </row>
    <row r="76" spans="1:7" x14ac:dyDescent="0.15">
      <c r="A76" s="4">
        <v>75</v>
      </c>
      <c r="B76" s="4">
        <v>0</v>
      </c>
      <c r="D76" s="5">
        <v>10.532096211958502</v>
      </c>
      <c r="E76" s="4">
        <v>0</v>
      </c>
      <c r="F76" s="5">
        <v>3.4965075614664802</v>
      </c>
      <c r="G76" s="4">
        <v>2</v>
      </c>
    </row>
    <row r="77" spans="1:7" x14ac:dyDescent="0.15">
      <c r="A77" s="4">
        <v>76</v>
      </c>
      <c r="B77" s="4">
        <v>3</v>
      </c>
      <c r="D77" s="5">
        <v>10.221941283654663</v>
      </c>
      <c r="E77" s="4">
        <v>1</v>
      </c>
      <c r="F77" s="5">
        <v>3.713572066704308</v>
      </c>
      <c r="G77" s="4">
        <v>6</v>
      </c>
    </row>
    <row r="78" spans="1:7" x14ac:dyDescent="0.15">
      <c r="A78" s="4">
        <v>77</v>
      </c>
      <c r="B78" s="4">
        <v>0</v>
      </c>
      <c r="D78" s="5">
        <v>10.657259354912508</v>
      </c>
      <c r="E78" s="4">
        <v>1</v>
      </c>
      <c r="F78" s="5">
        <v>2.8903717578961645</v>
      </c>
      <c r="G78" s="4">
        <v>2</v>
      </c>
    </row>
    <row r="79" spans="1:7" x14ac:dyDescent="0.15">
      <c r="A79" s="4">
        <v>78</v>
      </c>
      <c r="B79" s="4">
        <v>0</v>
      </c>
      <c r="D79" s="5">
        <v>12.072541252905651</v>
      </c>
      <c r="E79" s="4">
        <v>1</v>
      </c>
      <c r="F79" s="5">
        <v>3.0910424533583161</v>
      </c>
      <c r="G79" s="4">
        <v>7</v>
      </c>
    </row>
    <row r="80" spans="1:7" x14ac:dyDescent="0.15">
      <c r="A80" s="4">
        <v>79</v>
      </c>
      <c r="B80" s="4">
        <v>0</v>
      </c>
      <c r="D80" s="5">
        <v>12.072541252905651</v>
      </c>
      <c r="E80" s="4">
        <v>0</v>
      </c>
      <c r="F80" s="5">
        <v>3.7376696182833684</v>
      </c>
      <c r="G80" s="4">
        <v>2</v>
      </c>
    </row>
    <row r="81" spans="1:7" x14ac:dyDescent="0.15">
      <c r="A81" s="4">
        <v>80</v>
      </c>
      <c r="B81" s="4">
        <v>0</v>
      </c>
      <c r="D81" s="5">
        <v>11.082142548877775</v>
      </c>
      <c r="E81" s="4">
        <v>1</v>
      </c>
      <c r="F81" s="5">
        <v>3.5263605246161616</v>
      </c>
      <c r="G81" s="4">
        <v>1</v>
      </c>
    </row>
    <row r="82" spans="1:7" x14ac:dyDescent="0.15">
      <c r="A82" s="4">
        <v>81</v>
      </c>
      <c r="B82" s="4">
        <v>0</v>
      </c>
      <c r="D82" s="5">
        <v>10.221941283654663</v>
      </c>
      <c r="E82" s="4">
        <v>0</v>
      </c>
      <c r="F82" s="5">
        <v>3.2958368660043291</v>
      </c>
      <c r="G82" s="4">
        <v>2</v>
      </c>
    </row>
    <row r="83" spans="1:7" x14ac:dyDescent="0.15">
      <c r="A83" s="4">
        <v>82</v>
      </c>
      <c r="B83" s="4">
        <v>1</v>
      </c>
      <c r="D83" s="5">
        <v>10.657259354912508</v>
      </c>
      <c r="E83" s="4">
        <v>1</v>
      </c>
      <c r="F83" s="5">
        <v>4.0430512678345503</v>
      </c>
      <c r="G83" s="4">
        <v>1</v>
      </c>
    </row>
    <row r="84" spans="1:7" x14ac:dyDescent="0.15">
      <c r="A84" s="4">
        <v>83</v>
      </c>
      <c r="B84" s="4">
        <v>0</v>
      </c>
      <c r="D84" s="5">
        <v>10.915088464214607</v>
      </c>
      <c r="E84" s="4">
        <v>0</v>
      </c>
      <c r="F84" s="5">
        <v>3.3672958299864741</v>
      </c>
      <c r="G84" s="4">
        <v>2</v>
      </c>
    </row>
    <row r="85" spans="1:7" x14ac:dyDescent="0.15">
      <c r="A85" s="4">
        <v>84</v>
      </c>
      <c r="B85" s="4">
        <v>0</v>
      </c>
      <c r="D85" s="5">
        <v>10.532096211958502</v>
      </c>
      <c r="E85" s="4">
        <v>1</v>
      </c>
      <c r="F85" s="5">
        <v>4.0430512678345503</v>
      </c>
      <c r="G85" s="4">
        <v>3</v>
      </c>
    </row>
    <row r="86" spans="1:7" x14ac:dyDescent="0.15">
      <c r="A86" s="4">
        <v>85</v>
      </c>
      <c r="B86" s="4">
        <v>0</v>
      </c>
      <c r="D86" s="5">
        <v>10.388995368317829</v>
      </c>
      <c r="E86" s="4">
        <v>1</v>
      </c>
      <c r="F86" s="5">
        <v>3.5835189384561099</v>
      </c>
      <c r="G86" s="4">
        <v>3</v>
      </c>
    </row>
    <row r="87" spans="1:7" x14ac:dyDescent="0.15">
      <c r="A87" s="4">
        <v>86</v>
      </c>
      <c r="B87" s="4">
        <v>0</v>
      </c>
      <c r="D87" s="5">
        <v>11.379394072345706</v>
      </c>
      <c r="E87" s="4">
        <v>1</v>
      </c>
      <c r="F87" s="5">
        <v>3.4339872044851463</v>
      </c>
      <c r="G87" s="4">
        <v>1</v>
      </c>
    </row>
    <row r="88" spans="1:7" x14ac:dyDescent="0.15">
      <c r="A88" s="4">
        <v>87</v>
      </c>
      <c r="B88" s="4">
        <v>0</v>
      </c>
      <c r="D88" s="5">
        <v>10.915088464214607</v>
      </c>
      <c r="E88" s="4">
        <v>1</v>
      </c>
      <c r="F88" s="5">
        <v>3.8712010109078911</v>
      </c>
      <c r="G88" s="4">
        <v>2</v>
      </c>
    </row>
    <row r="89" spans="1:7" x14ac:dyDescent="0.15">
      <c r="A89" s="4">
        <v>88</v>
      </c>
      <c r="B89" s="4">
        <v>0</v>
      </c>
      <c r="D89" s="5">
        <v>11.736069016284437</v>
      </c>
      <c r="E89" s="4">
        <v>1</v>
      </c>
      <c r="F89" s="5">
        <v>3.970291913552122</v>
      </c>
      <c r="G89" s="4">
        <v>6</v>
      </c>
    </row>
    <row r="90" spans="1:7" x14ac:dyDescent="0.15">
      <c r="A90" s="4">
        <v>89</v>
      </c>
      <c r="B90" s="4">
        <v>0</v>
      </c>
      <c r="D90" s="5">
        <v>11.736069016284437</v>
      </c>
      <c r="E90" s="4">
        <v>1</v>
      </c>
      <c r="F90" s="5">
        <v>2.9957322735539909</v>
      </c>
      <c r="G90" s="4">
        <v>6</v>
      </c>
    </row>
    <row r="91" spans="1:7" x14ac:dyDescent="0.15">
      <c r="A91" s="4">
        <v>90</v>
      </c>
      <c r="B91" s="4">
        <v>1</v>
      </c>
      <c r="D91" s="5">
        <v>11.379394072345706</v>
      </c>
      <c r="E91" s="4">
        <v>1</v>
      </c>
      <c r="F91" s="5">
        <v>3.4339872044851463</v>
      </c>
      <c r="G91" s="4">
        <v>2</v>
      </c>
    </row>
    <row r="92" spans="1:7" x14ac:dyDescent="0.15">
      <c r="A92" s="4">
        <v>91</v>
      </c>
      <c r="B92" s="4">
        <v>0</v>
      </c>
      <c r="D92" s="5">
        <v>10.532096211958502</v>
      </c>
      <c r="E92" s="4">
        <v>0</v>
      </c>
      <c r="F92" s="5">
        <v>3.6375861597263857</v>
      </c>
      <c r="G92" s="4">
        <v>1</v>
      </c>
    </row>
    <row r="93" spans="1:7" x14ac:dyDescent="0.15">
      <c r="A93" s="4">
        <v>92</v>
      </c>
      <c r="B93" s="4">
        <v>0</v>
      </c>
      <c r="D93" s="5">
        <v>11.082142548877775</v>
      </c>
      <c r="E93" s="4">
        <v>0</v>
      </c>
      <c r="F93" s="5">
        <v>3.9318256327243257</v>
      </c>
      <c r="G93" s="4">
        <v>3</v>
      </c>
    </row>
    <row r="94" spans="1:7" x14ac:dyDescent="0.15">
      <c r="A94" s="4">
        <v>93</v>
      </c>
      <c r="B94" s="4">
        <v>4</v>
      </c>
      <c r="D94" s="5">
        <v>9.9034875525361272</v>
      </c>
      <c r="E94" s="4">
        <v>1</v>
      </c>
      <c r="F94" s="5">
        <v>3.5553480614894135</v>
      </c>
      <c r="G94" s="4">
        <v>4</v>
      </c>
    </row>
    <row r="95" spans="1:7" x14ac:dyDescent="0.15">
      <c r="A95" s="4">
        <v>94</v>
      </c>
      <c r="B95" s="4">
        <v>0</v>
      </c>
      <c r="D95" s="5">
        <v>11.736069016284437</v>
      </c>
      <c r="E95" s="4">
        <v>0</v>
      </c>
      <c r="F95" s="5">
        <v>3.4657359027997265</v>
      </c>
      <c r="G95" s="4">
        <v>2</v>
      </c>
    </row>
    <row r="96" spans="1:7" x14ac:dyDescent="0.15">
      <c r="A96" s="4">
        <v>95</v>
      </c>
      <c r="B96" s="4">
        <v>0</v>
      </c>
      <c r="D96" s="5">
        <v>10.221941283654663</v>
      </c>
      <c r="E96" s="4">
        <v>1</v>
      </c>
      <c r="F96" s="5">
        <v>3.5263605246161616</v>
      </c>
      <c r="G96" s="4">
        <v>2</v>
      </c>
    </row>
    <row r="97" spans="1:7" x14ac:dyDescent="0.15">
      <c r="A97" s="4">
        <v>96</v>
      </c>
      <c r="B97" s="4">
        <v>0</v>
      </c>
      <c r="D97" s="5">
        <v>11.736069016284437</v>
      </c>
      <c r="E97" s="4">
        <v>0</v>
      </c>
      <c r="F97" s="5">
        <v>4.0430512678345503</v>
      </c>
      <c r="G97" s="4">
        <v>4</v>
      </c>
    </row>
    <row r="98" spans="1:7" x14ac:dyDescent="0.15">
      <c r="A98" s="4">
        <v>97</v>
      </c>
      <c r="B98" s="4">
        <v>0</v>
      </c>
      <c r="D98" s="5">
        <v>11.082142548877775</v>
      </c>
      <c r="E98" s="4">
        <v>0</v>
      </c>
      <c r="F98" s="5">
        <v>3.5835189384561099</v>
      </c>
      <c r="G98" s="4">
        <v>4</v>
      </c>
    </row>
    <row r="99" spans="1:7" x14ac:dyDescent="0.15">
      <c r="A99" s="4">
        <v>98</v>
      </c>
      <c r="B99" s="4">
        <v>0</v>
      </c>
      <c r="D99" s="5">
        <v>11.379394072345706</v>
      </c>
      <c r="E99" s="4">
        <v>0</v>
      </c>
      <c r="F99" s="5">
        <v>3.0910424533583161</v>
      </c>
      <c r="G99" s="4">
        <v>4</v>
      </c>
    </row>
    <row r="100" spans="1:7" x14ac:dyDescent="0.15">
      <c r="A100" s="4">
        <v>99</v>
      </c>
      <c r="B100" s="4">
        <v>0</v>
      </c>
      <c r="D100" s="5">
        <v>10.768484990022733</v>
      </c>
      <c r="E100" s="4">
        <v>1</v>
      </c>
      <c r="F100" s="5">
        <v>2.7080502011022101</v>
      </c>
      <c r="G100" s="4">
        <v>2</v>
      </c>
    </row>
    <row r="101" spans="1:7" x14ac:dyDescent="0.15">
      <c r="A101" s="4">
        <v>100</v>
      </c>
      <c r="B101" s="4">
        <v>9</v>
      </c>
      <c r="D101" s="5">
        <v>10.768484990022733</v>
      </c>
      <c r="E101" s="4">
        <v>1</v>
      </c>
      <c r="F101" s="5">
        <v>3.4965075614664802</v>
      </c>
      <c r="G101" s="4">
        <v>4</v>
      </c>
    </row>
    <row r="102" spans="1:7" x14ac:dyDescent="0.15">
      <c r="A102" s="4">
        <v>101</v>
      </c>
      <c r="B102" s="4">
        <v>0</v>
      </c>
      <c r="D102" s="5">
        <v>10.221941283654663</v>
      </c>
      <c r="E102" s="4">
        <v>1</v>
      </c>
      <c r="F102" s="5">
        <v>3.1780538303479458</v>
      </c>
      <c r="G102" s="4">
        <v>3</v>
      </c>
    </row>
    <row r="103" spans="1:7" x14ac:dyDescent="0.15">
      <c r="A103" s="4">
        <v>102</v>
      </c>
      <c r="B103" s="4">
        <v>0</v>
      </c>
      <c r="D103" s="5">
        <v>10.221941283654663</v>
      </c>
      <c r="E103" s="4">
        <v>1</v>
      </c>
      <c r="F103" s="5">
        <v>3.1354942159291497</v>
      </c>
      <c r="G103" s="4">
        <v>3</v>
      </c>
    </row>
    <row r="104" spans="1:7" x14ac:dyDescent="0.15">
      <c r="A104" s="4">
        <v>103</v>
      </c>
      <c r="B104" s="4">
        <v>1</v>
      </c>
      <c r="D104" s="5">
        <v>11.736069016284437</v>
      </c>
      <c r="E104" s="4">
        <v>1</v>
      </c>
      <c r="F104" s="5">
        <v>3.4011973816621555</v>
      </c>
      <c r="G104" s="4">
        <v>2</v>
      </c>
    </row>
    <row r="105" spans="1:7" x14ac:dyDescent="0.15">
      <c r="A105" s="4">
        <v>104</v>
      </c>
      <c r="B105" s="4">
        <v>0</v>
      </c>
      <c r="D105" s="5">
        <v>11.379394072345706</v>
      </c>
      <c r="E105" s="4">
        <v>0</v>
      </c>
      <c r="F105" s="5">
        <v>4.290459441148391</v>
      </c>
      <c r="G105" s="4">
        <v>4</v>
      </c>
    </row>
    <row r="106" spans="1:7" x14ac:dyDescent="0.15">
      <c r="A106" s="4">
        <v>105</v>
      </c>
      <c r="B106" s="4">
        <v>0</v>
      </c>
      <c r="D106" s="5">
        <v>10.021270588192511</v>
      </c>
      <c r="E106" s="4">
        <v>1</v>
      </c>
      <c r="F106" s="5">
        <v>3.4339872044851463</v>
      </c>
      <c r="G106" s="4">
        <v>1</v>
      </c>
    </row>
    <row r="107" spans="1:7" x14ac:dyDescent="0.15">
      <c r="A107" s="4">
        <v>106</v>
      </c>
      <c r="B107" s="4">
        <v>0</v>
      </c>
      <c r="D107" s="5">
        <v>10.221941283654663</v>
      </c>
      <c r="E107" s="4">
        <v>1</v>
      </c>
      <c r="F107" s="5">
        <v>3.4339872044851463</v>
      </c>
      <c r="G107" s="4">
        <v>1</v>
      </c>
    </row>
    <row r="108" spans="1:7" x14ac:dyDescent="0.15">
      <c r="A108" s="4">
        <v>107</v>
      </c>
      <c r="B108" s="4">
        <v>0</v>
      </c>
      <c r="D108" s="5">
        <v>10.915088464214607</v>
      </c>
      <c r="E108" s="4">
        <v>1</v>
      </c>
      <c r="F108" s="5">
        <v>3.5835189384561099</v>
      </c>
      <c r="G108" s="4">
        <v>4</v>
      </c>
    </row>
    <row r="109" spans="1:7" x14ac:dyDescent="0.15">
      <c r="A109" s="4">
        <v>108</v>
      </c>
      <c r="B109" s="4">
        <v>0</v>
      </c>
      <c r="D109" s="5">
        <v>10.768484990022733</v>
      </c>
      <c r="E109" s="4">
        <v>1</v>
      </c>
      <c r="F109" s="5">
        <v>3.5835189384561099</v>
      </c>
      <c r="G109" s="4">
        <v>3</v>
      </c>
    </row>
    <row r="110" spans="1:7" x14ac:dyDescent="0.15">
      <c r="A110" s="4">
        <v>109</v>
      </c>
      <c r="B110" s="4">
        <v>5</v>
      </c>
      <c r="D110" s="5">
        <v>11.736069016284437</v>
      </c>
      <c r="E110" s="4">
        <v>1</v>
      </c>
      <c r="F110" s="5">
        <v>3.784189633918261</v>
      </c>
      <c r="G110" s="4">
        <v>4</v>
      </c>
    </row>
    <row r="111" spans="1:7" x14ac:dyDescent="0.15">
      <c r="A111" s="4">
        <v>110</v>
      </c>
      <c r="B111" s="4">
        <v>0</v>
      </c>
      <c r="D111" s="5">
        <v>11.736069016284437</v>
      </c>
      <c r="E111" s="4">
        <v>1</v>
      </c>
      <c r="F111" s="5">
        <v>2.8332133440562162</v>
      </c>
      <c r="G111" s="4">
        <v>3</v>
      </c>
    </row>
    <row r="112" spans="1:7" x14ac:dyDescent="0.15">
      <c r="A112" s="4">
        <v>111</v>
      </c>
      <c r="B112" s="4">
        <v>0</v>
      </c>
      <c r="D112" s="5">
        <v>10.915088464214607</v>
      </c>
      <c r="E112" s="4">
        <v>1</v>
      </c>
      <c r="F112" s="5">
        <v>3.8286413964890951</v>
      </c>
      <c r="G112" s="4">
        <v>2</v>
      </c>
    </row>
    <row r="113" spans="1:7" x14ac:dyDescent="0.15">
      <c r="A113" s="4">
        <v>112</v>
      </c>
      <c r="B113" s="4">
        <v>3</v>
      </c>
      <c r="D113" s="5">
        <v>11.736069016284437</v>
      </c>
      <c r="E113" s="4">
        <v>0</v>
      </c>
      <c r="F113" s="5">
        <v>3.8066624897703196</v>
      </c>
      <c r="G113" s="4">
        <v>3</v>
      </c>
    </row>
    <row r="114" spans="1:7" x14ac:dyDescent="0.15">
      <c r="A114" s="4">
        <v>113</v>
      </c>
      <c r="B114" s="4">
        <v>1</v>
      </c>
      <c r="D114" s="5">
        <v>10.915088464214607</v>
      </c>
      <c r="E114" s="4">
        <v>1</v>
      </c>
      <c r="F114" s="5">
        <v>3.3672958299864741</v>
      </c>
      <c r="G114" s="4">
        <v>3</v>
      </c>
    </row>
    <row r="115" spans="1:7" x14ac:dyDescent="0.15">
      <c r="A115" s="4">
        <v>114</v>
      </c>
      <c r="B115" s="4">
        <v>0</v>
      </c>
      <c r="D115" s="5">
        <v>10.021270588192511</v>
      </c>
      <c r="E115" s="4">
        <v>1</v>
      </c>
      <c r="F115" s="5">
        <v>3.4657359027997265</v>
      </c>
      <c r="G115" s="4">
        <v>3</v>
      </c>
    </row>
    <row r="116" spans="1:7" x14ac:dyDescent="0.15">
      <c r="A116" s="4">
        <v>115</v>
      </c>
      <c r="B116" s="4">
        <v>0</v>
      </c>
      <c r="D116" s="5">
        <v>10.657259354912508</v>
      </c>
      <c r="E116" s="4">
        <v>1</v>
      </c>
      <c r="F116" s="5">
        <v>3.7376696182833684</v>
      </c>
      <c r="G116" s="4">
        <v>2</v>
      </c>
    </row>
    <row r="117" spans="1:7" x14ac:dyDescent="0.15">
      <c r="A117" s="4">
        <v>116</v>
      </c>
      <c r="B117" s="4">
        <v>0</v>
      </c>
      <c r="D117" s="5">
        <v>10.532096211958502</v>
      </c>
      <c r="E117" s="4">
        <v>1</v>
      </c>
      <c r="F117" s="5">
        <v>3.8501476017100584</v>
      </c>
      <c r="G117" s="4">
        <v>3</v>
      </c>
    </row>
    <row r="118" spans="1:7" x14ac:dyDescent="0.15">
      <c r="A118" s="4">
        <v>117</v>
      </c>
      <c r="B118" s="4">
        <v>0</v>
      </c>
      <c r="D118" s="5">
        <v>10.915088464214607</v>
      </c>
      <c r="E118" s="4">
        <v>1</v>
      </c>
      <c r="F118" s="5">
        <v>3.6375861597263857</v>
      </c>
      <c r="G118" s="4">
        <v>5</v>
      </c>
    </row>
    <row r="119" spans="1:7" x14ac:dyDescent="0.15">
      <c r="A119" s="4">
        <v>118</v>
      </c>
      <c r="B119" s="4">
        <v>1</v>
      </c>
      <c r="D119" s="5">
        <v>11.379394072345706</v>
      </c>
      <c r="E119" s="4">
        <v>1</v>
      </c>
      <c r="F119" s="5">
        <v>2.5649493574615367</v>
      </c>
      <c r="G119" s="4">
        <v>2</v>
      </c>
    </row>
    <row r="120" spans="1:7" x14ac:dyDescent="0.15">
      <c r="A120" s="4">
        <v>119</v>
      </c>
      <c r="B120" s="4">
        <v>0</v>
      </c>
      <c r="D120" s="5">
        <v>11.379394072345706</v>
      </c>
      <c r="E120" s="4">
        <v>0</v>
      </c>
      <c r="F120" s="5">
        <v>3.7612001156935624</v>
      </c>
      <c r="G120" s="4">
        <v>2</v>
      </c>
    </row>
    <row r="121" spans="1:7" x14ac:dyDescent="0.15">
      <c r="A121" s="4">
        <v>120</v>
      </c>
      <c r="B121" s="4">
        <v>0</v>
      </c>
      <c r="D121" s="5">
        <v>10.532096211958502</v>
      </c>
      <c r="E121" s="4">
        <v>1</v>
      </c>
      <c r="F121" s="5">
        <v>3.3672958299864741</v>
      </c>
      <c r="G121" s="4">
        <v>2</v>
      </c>
    </row>
    <row r="122" spans="1:7" x14ac:dyDescent="0.15">
      <c r="A122" s="4">
        <v>121</v>
      </c>
      <c r="B122" s="4">
        <v>1</v>
      </c>
      <c r="D122" s="5">
        <v>11.379394072345706</v>
      </c>
      <c r="E122" s="4">
        <v>1</v>
      </c>
      <c r="F122" s="5">
        <v>3.5553480614894135</v>
      </c>
      <c r="G122" s="4">
        <v>2</v>
      </c>
    </row>
    <row r="123" spans="1:7" x14ac:dyDescent="0.15">
      <c r="A123" s="4">
        <v>122</v>
      </c>
      <c r="B123" s="4">
        <v>0</v>
      </c>
      <c r="D123" s="5">
        <v>10.768484990022733</v>
      </c>
      <c r="E123" s="4">
        <v>0</v>
      </c>
      <c r="F123" s="5">
        <v>3.4011973816621555</v>
      </c>
      <c r="G123" s="4">
        <v>1</v>
      </c>
    </row>
    <row r="124" spans="1:7" x14ac:dyDescent="0.15">
      <c r="A124" s="4">
        <v>123</v>
      </c>
      <c r="B124" s="4">
        <v>0</v>
      </c>
      <c r="D124" s="5">
        <v>11.082142548877775</v>
      </c>
      <c r="E124" s="4">
        <v>1</v>
      </c>
      <c r="F124" s="5">
        <v>3.5553480614894135</v>
      </c>
      <c r="G124" s="4">
        <v>2</v>
      </c>
    </row>
    <row r="125" spans="1:7" x14ac:dyDescent="0.15">
      <c r="A125" s="4">
        <v>124</v>
      </c>
      <c r="B125" s="4">
        <v>0</v>
      </c>
      <c r="D125" s="5">
        <v>10.388995368317829</v>
      </c>
      <c r="E125" s="4">
        <v>1</v>
      </c>
      <c r="F125" s="5">
        <v>3.4965075614664802</v>
      </c>
      <c r="G125" s="4">
        <v>1</v>
      </c>
    </row>
    <row r="126" spans="1:7" x14ac:dyDescent="0.15">
      <c r="A126" s="4">
        <v>125</v>
      </c>
      <c r="B126" s="4">
        <v>0</v>
      </c>
      <c r="D126" s="5">
        <v>10.021270588192511</v>
      </c>
      <c r="E126" s="4">
        <v>1</v>
      </c>
      <c r="F126" s="5">
        <v>3.6109179126442243</v>
      </c>
      <c r="G126" s="4">
        <v>2</v>
      </c>
    </row>
    <row r="127" spans="1:7" x14ac:dyDescent="0.15">
      <c r="A127" s="4">
        <v>126</v>
      </c>
      <c r="B127" s="4">
        <v>0</v>
      </c>
      <c r="D127" s="5">
        <v>10.021270588192511</v>
      </c>
      <c r="E127" s="4">
        <v>1</v>
      </c>
      <c r="F127" s="5">
        <v>2.6390573296152584</v>
      </c>
      <c r="G127" s="4">
        <v>4</v>
      </c>
    </row>
    <row r="128" spans="1:7" x14ac:dyDescent="0.15">
      <c r="A128" s="4">
        <v>127</v>
      </c>
      <c r="B128" s="4">
        <v>0</v>
      </c>
      <c r="D128" s="5">
        <v>11.379394072345706</v>
      </c>
      <c r="E128" s="4">
        <v>1</v>
      </c>
      <c r="F128" s="5">
        <v>3.3322045101752038</v>
      </c>
      <c r="G128" s="4">
        <v>2</v>
      </c>
    </row>
    <row r="129" spans="1:7" x14ac:dyDescent="0.15">
      <c r="A129" s="4">
        <v>128</v>
      </c>
      <c r="B129" s="4">
        <v>0</v>
      </c>
      <c r="D129" s="5">
        <v>10.915088464214607</v>
      </c>
      <c r="E129" s="4">
        <v>0</v>
      </c>
      <c r="F129" s="5">
        <v>3.8286413964890951</v>
      </c>
      <c r="G129" s="4">
        <v>5</v>
      </c>
    </row>
    <row r="130" spans="1:7" x14ac:dyDescent="0.15">
      <c r="A130" s="4">
        <v>129</v>
      </c>
      <c r="B130" s="4">
        <v>0</v>
      </c>
      <c r="D130" s="5">
        <v>11.379394072345706</v>
      </c>
      <c r="E130" s="4">
        <v>1</v>
      </c>
      <c r="F130" s="5">
        <v>3.4657359027997265</v>
      </c>
      <c r="G130" s="4">
        <v>4</v>
      </c>
    </row>
    <row r="131" spans="1:7" x14ac:dyDescent="0.15">
      <c r="A131" s="4">
        <v>130</v>
      </c>
      <c r="B131" s="4">
        <v>0</v>
      </c>
      <c r="D131" s="5">
        <v>10.915088464214607</v>
      </c>
      <c r="E131" s="4">
        <v>0</v>
      </c>
      <c r="F131" s="5">
        <v>3.9512437185814275</v>
      </c>
      <c r="G131" s="4">
        <v>4</v>
      </c>
    </row>
    <row r="132" spans="1:7" x14ac:dyDescent="0.15">
      <c r="A132" s="4">
        <v>131</v>
      </c>
      <c r="B132" s="4">
        <v>0</v>
      </c>
      <c r="D132" s="5">
        <v>11.191341840842766</v>
      </c>
      <c r="E132" s="4">
        <v>1</v>
      </c>
      <c r="F132" s="5">
        <v>2.8332133440562162</v>
      </c>
      <c r="G132" s="4">
        <v>1</v>
      </c>
    </row>
    <row r="133" spans="1:7" x14ac:dyDescent="0.15">
      <c r="A133" s="4">
        <v>132</v>
      </c>
      <c r="B133" s="4">
        <v>0</v>
      </c>
      <c r="D133" s="5">
        <v>11.191341840842766</v>
      </c>
      <c r="E133" s="4">
        <v>0</v>
      </c>
      <c r="F133" s="5">
        <v>4.3438054218536841</v>
      </c>
      <c r="G133" s="4">
        <v>1</v>
      </c>
    </row>
    <row r="134" spans="1:7" x14ac:dyDescent="0.15">
      <c r="A134" s="4">
        <v>133</v>
      </c>
      <c r="B134" s="4">
        <v>0</v>
      </c>
      <c r="D134" s="5">
        <v>11.379394072345706</v>
      </c>
      <c r="E134" s="4">
        <v>1</v>
      </c>
      <c r="F134" s="5">
        <v>3.3672958299864741</v>
      </c>
      <c r="G134" s="4">
        <v>2</v>
      </c>
    </row>
    <row r="135" spans="1:7" x14ac:dyDescent="0.15">
      <c r="A135" s="4">
        <v>134</v>
      </c>
      <c r="B135" s="4">
        <v>0</v>
      </c>
      <c r="D135" s="5">
        <v>11.379394072345706</v>
      </c>
      <c r="E135" s="4">
        <v>0</v>
      </c>
      <c r="F135" s="5">
        <v>3.6375861597263857</v>
      </c>
      <c r="G135" s="4">
        <v>2</v>
      </c>
    </row>
    <row r="136" spans="1:7" x14ac:dyDescent="0.15">
      <c r="A136" s="4">
        <v>135</v>
      </c>
      <c r="B136" s="4">
        <v>0</v>
      </c>
      <c r="D136" s="5">
        <v>11.082142548877775</v>
      </c>
      <c r="E136" s="4">
        <v>1</v>
      </c>
      <c r="F136" s="5">
        <v>3.4011973816621555</v>
      </c>
      <c r="G136" s="4">
        <v>3</v>
      </c>
    </row>
    <row r="137" spans="1:7" x14ac:dyDescent="0.15">
      <c r="A137" s="4">
        <v>136</v>
      </c>
      <c r="B137" s="4">
        <v>8</v>
      </c>
      <c r="D137" s="5">
        <v>11.191341840842766</v>
      </c>
      <c r="E137" s="4">
        <v>1</v>
      </c>
      <c r="F137" s="5">
        <v>3.4011973816621555</v>
      </c>
      <c r="G137" s="4">
        <v>4</v>
      </c>
    </row>
    <row r="138" spans="1:7" x14ac:dyDescent="0.15">
      <c r="A138" s="4">
        <v>137</v>
      </c>
      <c r="B138" s="4">
        <v>2</v>
      </c>
      <c r="D138" s="5">
        <v>11.082142548877775</v>
      </c>
      <c r="E138" s="4">
        <v>0</v>
      </c>
      <c r="F138" s="5">
        <v>4.1743872698956368</v>
      </c>
      <c r="G138" s="4">
        <v>2</v>
      </c>
    </row>
    <row r="139" spans="1:7" x14ac:dyDescent="0.15">
      <c r="A139" s="4">
        <v>138</v>
      </c>
      <c r="B139" s="4">
        <v>0</v>
      </c>
      <c r="D139" s="5">
        <v>10.657259354912508</v>
      </c>
      <c r="E139" s="4">
        <v>0</v>
      </c>
      <c r="F139" s="5">
        <v>4.2046926193909657</v>
      </c>
      <c r="G139" s="4">
        <v>2</v>
      </c>
    </row>
    <row r="140" spans="1:7" x14ac:dyDescent="0.15">
      <c r="A140" s="4">
        <v>139</v>
      </c>
      <c r="B140" s="4">
        <v>0</v>
      </c>
      <c r="D140" s="5">
        <v>11.191341840842766</v>
      </c>
      <c r="E140" s="4">
        <v>0</v>
      </c>
      <c r="F140" s="5">
        <v>4.1743872698956368</v>
      </c>
      <c r="G140" s="4">
        <v>1</v>
      </c>
    </row>
    <row r="141" spans="1:7" x14ac:dyDescent="0.15">
      <c r="A141" s="4">
        <v>140</v>
      </c>
      <c r="B141" s="4">
        <v>0</v>
      </c>
      <c r="D141" s="5">
        <v>10.021270588192511</v>
      </c>
      <c r="E141" s="4">
        <v>1</v>
      </c>
      <c r="F141" s="5">
        <v>4.1743872698956368</v>
      </c>
      <c r="G141" s="4">
        <v>2</v>
      </c>
    </row>
    <row r="142" spans="1:7" x14ac:dyDescent="0.15">
      <c r="A142" s="4">
        <v>141</v>
      </c>
      <c r="B142" s="4">
        <v>1</v>
      </c>
      <c r="D142" s="5">
        <v>10.657259354912508</v>
      </c>
      <c r="E142" s="4">
        <v>1</v>
      </c>
      <c r="F142" s="5">
        <v>3.5835189384561099</v>
      </c>
      <c r="G142" s="4">
        <v>3</v>
      </c>
    </row>
    <row r="143" spans="1:7" x14ac:dyDescent="0.15">
      <c r="A143" s="4">
        <v>142</v>
      </c>
      <c r="B143" s="4">
        <v>2</v>
      </c>
      <c r="D143" s="5">
        <v>10.915088464214607</v>
      </c>
      <c r="E143" s="4">
        <v>1</v>
      </c>
      <c r="F143" s="5">
        <v>3.4657359027997265</v>
      </c>
      <c r="G143" s="4">
        <v>8</v>
      </c>
    </row>
    <row r="144" spans="1:7" x14ac:dyDescent="0.15">
      <c r="A144" s="4">
        <v>143</v>
      </c>
      <c r="B144" s="4">
        <v>0</v>
      </c>
      <c r="D144" s="5">
        <v>10.657259354912508</v>
      </c>
      <c r="E144" s="4">
        <v>0</v>
      </c>
      <c r="F144" s="5">
        <v>3.6109179126442243</v>
      </c>
      <c r="G144" s="4">
        <v>1</v>
      </c>
    </row>
    <row r="145" spans="1:7" x14ac:dyDescent="0.15">
      <c r="A145" s="4">
        <v>144</v>
      </c>
      <c r="B145" s="4">
        <v>6</v>
      </c>
      <c r="D145" s="5">
        <v>11.082142548877775</v>
      </c>
      <c r="E145" s="4">
        <v>0</v>
      </c>
      <c r="F145" s="5">
        <v>4.0604430105464191</v>
      </c>
      <c r="G145" s="4">
        <v>2</v>
      </c>
    </row>
    <row r="146" spans="1:7" x14ac:dyDescent="0.15">
      <c r="A146" s="4">
        <v>145</v>
      </c>
      <c r="B146" s="4">
        <v>0</v>
      </c>
      <c r="D146" s="5">
        <v>11.379394072345706</v>
      </c>
      <c r="E146" s="4">
        <v>1</v>
      </c>
      <c r="F146" s="5">
        <v>3.4657359027997265</v>
      </c>
      <c r="G146" s="4">
        <v>4</v>
      </c>
    </row>
    <row r="147" spans="1:7" x14ac:dyDescent="0.15">
      <c r="A147" s="4">
        <v>146</v>
      </c>
      <c r="B147" s="4">
        <v>1</v>
      </c>
      <c r="D147" s="5">
        <v>11.736069016284437</v>
      </c>
      <c r="E147" s="4">
        <v>1</v>
      </c>
      <c r="F147" s="5">
        <v>3.8286413964890951</v>
      </c>
      <c r="G147" s="4">
        <v>2</v>
      </c>
    </row>
    <row r="148" spans="1:7" x14ac:dyDescent="0.15">
      <c r="A148" s="4">
        <v>147</v>
      </c>
      <c r="B148" s="4">
        <v>0</v>
      </c>
      <c r="D148" s="5">
        <v>10.221941283654663</v>
      </c>
      <c r="E148" s="4">
        <v>0</v>
      </c>
      <c r="F148" s="5">
        <v>4.1896547420264252</v>
      </c>
      <c r="G148" s="4">
        <v>2</v>
      </c>
    </row>
    <row r="149" spans="1:7" x14ac:dyDescent="0.15">
      <c r="A149" s="4">
        <v>148</v>
      </c>
      <c r="B149" s="4">
        <v>0</v>
      </c>
      <c r="D149" s="5">
        <v>11.191341840842766</v>
      </c>
      <c r="E149" s="4">
        <v>0</v>
      </c>
      <c r="F149" s="5">
        <v>3.8918202981106265</v>
      </c>
      <c r="G149" s="4">
        <v>1</v>
      </c>
    </row>
    <row r="150" spans="1:7" x14ac:dyDescent="0.15">
      <c r="A150" s="4">
        <v>149</v>
      </c>
      <c r="B150" s="4">
        <v>0</v>
      </c>
      <c r="D150" s="5">
        <v>9.5287941030947181</v>
      </c>
      <c r="E150" s="4">
        <v>1</v>
      </c>
      <c r="F150" s="5">
        <v>3.8066624897703196</v>
      </c>
      <c r="G150" s="4">
        <v>1</v>
      </c>
    </row>
    <row r="151" spans="1:7" x14ac:dyDescent="0.15">
      <c r="A151" s="4">
        <v>150</v>
      </c>
      <c r="B151" s="4">
        <v>0</v>
      </c>
      <c r="D151" s="5">
        <v>11.082142548877775</v>
      </c>
      <c r="E151" s="4">
        <v>0</v>
      </c>
      <c r="F151" s="5">
        <v>4.0430512678345503</v>
      </c>
      <c r="G151" s="4">
        <v>2</v>
      </c>
    </row>
    <row r="152" spans="1:7" x14ac:dyDescent="0.15">
      <c r="A152" s="4">
        <v>151</v>
      </c>
      <c r="B152" s="4">
        <v>0</v>
      </c>
      <c r="D152" s="5">
        <v>10.768484990022733</v>
      </c>
      <c r="E152" s="4">
        <v>1</v>
      </c>
      <c r="F152" s="5">
        <v>3.713572066704308</v>
      </c>
      <c r="G152" s="4">
        <v>2</v>
      </c>
    </row>
    <row r="153" spans="1:7" x14ac:dyDescent="0.15">
      <c r="A153" s="4">
        <v>152</v>
      </c>
      <c r="B153" s="4">
        <v>0</v>
      </c>
      <c r="D153" s="5">
        <v>11.082142548877775</v>
      </c>
      <c r="E153" s="4">
        <v>0</v>
      </c>
      <c r="F153" s="5">
        <v>4.2046926193909657</v>
      </c>
      <c r="G153" s="4">
        <v>2</v>
      </c>
    </row>
    <row r="154" spans="1:7" x14ac:dyDescent="0.15">
      <c r="A154" s="4">
        <v>153</v>
      </c>
      <c r="B154" s="4">
        <v>0</v>
      </c>
      <c r="D154" s="5">
        <v>10.308952660644293</v>
      </c>
      <c r="E154" s="4">
        <v>0</v>
      </c>
      <c r="F154" s="5">
        <v>3.4339872044851463</v>
      </c>
      <c r="G154" s="4">
        <v>6</v>
      </c>
    </row>
    <row r="155" spans="1:7" x14ac:dyDescent="0.15">
      <c r="A155" s="4">
        <v>154</v>
      </c>
      <c r="B155" s="4">
        <v>0</v>
      </c>
      <c r="D155" s="5">
        <v>10.819778284410283</v>
      </c>
      <c r="E155" s="4">
        <v>1</v>
      </c>
      <c r="F155" s="5">
        <v>3.3672958299864741</v>
      </c>
      <c r="G155" s="4">
        <v>7</v>
      </c>
    </row>
    <row r="156" spans="1:7" x14ac:dyDescent="0.15">
      <c r="A156" s="4">
        <v>155</v>
      </c>
      <c r="B156" s="4">
        <v>0</v>
      </c>
      <c r="D156" s="5">
        <v>10.819778284410283</v>
      </c>
      <c r="E156" s="4">
        <v>1</v>
      </c>
      <c r="F156" s="5">
        <v>2.8332133440562162</v>
      </c>
      <c r="G156" s="4">
        <v>7</v>
      </c>
    </row>
    <row r="157" spans="1:7" x14ac:dyDescent="0.15">
      <c r="A157" s="4">
        <v>156</v>
      </c>
      <c r="B157" s="4">
        <v>0</v>
      </c>
      <c r="D157" s="5">
        <v>10.819778284410283</v>
      </c>
      <c r="E157" s="4">
        <v>1</v>
      </c>
      <c r="F157" s="5">
        <v>3.5553480614894135</v>
      </c>
      <c r="G157" s="4">
        <v>4</v>
      </c>
    </row>
    <row r="158" spans="1:7" x14ac:dyDescent="0.15">
      <c r="A158" s="4">
        <v>157</v>
      </c>
      <c r="B158" s="4">
        <v>0</v>
      </c>
      <c r="D158" s="5">
        <v>11.082142548877775</v>
      </c>
      <c r="E158" s="4">
        <v>0</v>
      </c>
      <c r="F158" s="5">
        <v>3.2580965380214821</v>
      </c>
      <c r="G158" s="4">
        <v>2</v>
      </c>
    </row>
    <row r="159" spans="1:7" x14ac:dyDescent="0.15">
      <c r="A159" s="4">
        <v>158</v>
      </c>
      <c r="B159" s="4">
        <v>0</v>
      </c>
      <c r="D159" s="5">
        <v>11.082142548877775</v>
      </c>
      <c r="E159" s="4">
        <v>1</v>
      </c>
      <c r="F159" s="5">
        <v>3.9318256327243257</v>
      </c>
      <c r="G159" s="4">
        <v>2</v>
      </c>
    </row>
    <row r="160" spans="1:7" x14ac:dyDescent="0.15">
      <c r="A160" s="4">
        <v>159</v>
      </c>
      <c r="B160" s="4">
        <v>0</v>
      </c>
      <c r="D160" s="5">
        <v>10.532096211958502</v>
      </c>
      <c r="E160" s="4">
        <v>1</v>
      </c>
      <c r="F160" s="5">
        <v>3.1780538303479458</v>
      </c>
      <c r="G160" s="4">
        <v>2</v>
      </c>
    </row>
    <row r="161" spans="1:7" x14ac:dyDescent="0.15">
      <c r="A161" s="4">
        <v>160</v>
      </c>
      <c r="B161" s="4">
        <v>0</v>
      </c>
      <c r="D161" s="5">
        <v>10.915088464214607</v>
      </c>
      <c r="E161" s="4">
        <v>0</v>
      </c>
      <c r="F161" s="5">
        <v>3.2188758248682006</v>
      </c>
      <c r="G161" s="4">
        <v>2</v>
      </c>
    </row>
    <row r="162" spans="1:7" x14ac:dyDescent="0.15">
      <c r="A162" s="4">
        <v>161</v>
      </c>
      <c r="B162" s="4">
        <v>0</v>
      </c>
      <c r="D162" s="5">
        <v>10.532096211958502</v>
      </c>
      <c r="E162" s="4">
        <v>1</v>
      </c>
      <c r="F162" s="5">
        <v>3.3322045101752038</v>
      </c>
      <c r="G162" s="4">
        <v>1</v>
      </c>
    </row>
    <row r="163" spans="1:7" x14ac:dyDescent="0.15">
      <c r="A163" s="4">
        <v>162</v>
      </c>
      <c r="B163" s="4">
        <v>16</v>
      </c>
      <c r="D163" s="5">
        <v>11.191341840842766</v>
      </c>
      <c r="E163" s="4">
        <v>1</v>
      </c>
      <c r="F163" s="5">
        <v>4.0943445622221004</v>
      </c>
      <c r="G163" s="4">
        <v>2</v>
      </c>
    </row>
    <row r="164" spans="1:7" x14ac:dyDescent="0.15">
      <c r="A164" s="4">
        <v>163</v>
      </c>
      <c r="B164" s="4">
        <v>0</v>
      </c>
      <c r="D164" s="5">
        <v>11.082142548877775</v>
      </c>
      <c r="E164" s="4">
        <v>0</v>
      </c>
      <c r="F164" s="5">
        <v>3.7376696182833684</v>
      </c>
      <c r="G164" s="4">
        <v>1</v>
      </c>
    </row>
    <row r="165" spans="1:7" x14ac:dyDescent="0.15">
      <c r="A165" s="4">
        <v>164</v>
      </c>
      <c r="B165" s="4">
        <v>0</v>
      </c>
      <c r="D165" s="5">
        <v>11.191341840842766</v>
      </c>
      <c r="E165" s="4">
        <v>1</v>
      </c>
      <c r="F165" s="5">
        <v>3.2580965380214821</v>
      </c>
      <c r="G165" s="4">
        <v>4</v>
      </c>
    </row>
    <row r="166" spans="1:7" x14ac:dyDescent="0.15">
      <c r="A166" s="4">
        <v>165</v>
      </c>
      <c r="B166" s="4">
        <v>0</v>
      </c>
      <c r="D166" s="5">
        <v>10.915088464214607</v>
      </c>
      <c r="E166" s="4">
        <v>1</v>
      </c>
      <c r="F166" s="5">
        <v>3.2188758248682006</v>
      </c>
      <c r="G166" s="4">
        <v>3</v>
      </c>
    </row>
    <row r="167" spans="1:7" x14ac:dyDescent="0.15">
      <c r="A167" s="4">
        <v>166</v>
      </c>
      <c r="B167" s="4">
        <v>0</v>
      </c>
      <c r="D167" s="5">
        <v>10.532096211958502</v>
      </c>
      <c r="E167" s="4">
        <v>0</v>
      </c>
      <c r="F167" s="5">
        <v>3.3672958299864741</v>
      </c>
      <c r="G167" s="4">
        <v>3</v>
      </c>
    </row>
    <row r="168" spans="1:7" x14ac:dyDescent="0.15">
      <c r="A168" s="4">
        <v>167</v>
      </c>
      <c r="B168" s="4">
        <v>0</v>
      </c>
      <c r="D168" s="5">
        <v>11.736069016284437</v>
      </c>
      <c r="E168" s="4">
        <v>1</v>
      </c>
      <c r="F168" s="5">
        <v>3.7376696182833684</v>
      </c>
      <c r="G168" s="4">
        <v>2</v>
      </c>
    </row>
    <row r="169" spans="1:7" x14ac:dyDescent="0.15">
      <c r="A169" s="4">
        <v>168</v>
      </c>
      <c r="B169" s="4">
        <v>0</v>
      </c>
      <c r="D169" s="5">
        <v>10.915088464214607</v>
      </c>
      <c r="E169" s="4">
        <v>1</v>
      </c>
      <c r="F169" s="5">
        <v>3.3672958299864741</v>
      </c>
      <c r="G169" s="4">
        <v>3</v>
      </c>
    </row>
    <row r="170" spans="1:7" x14ac:dyDescent="0.15">
      <c r="A170" s="4">
        <v>169</v>
      </c>
      <c r="B170" s="4">
        <v>1</v>
      </c>
      <c r="D170" s="5">
        <v>10.388995368317829</v>
      </c>
      <c r="E170" s="4">
        <v>1</v>
      </c>
      <c r="F170" s="5">
        <v>3.9512437185814275</v>
      </c>
      <c r="G170" s="4">
        <v>3</v>
      </c>
    </row>
    <row r="171" spans="1:7" x14ac:dyDescent="0.15">
      <c r="A171" s="4">
        <v>170</v>
      </c>
      <c r="B171" s="4">
        <v>0</v>
      </c>
      <c r="D171" s="5">
        <v>10.915088464214607</v>
      </c>
      <c r="E171" s="4">
        <v>1</v>
      </c>
      <c r="F171" s="5">
        <v>3.4011973816621555</v>
      </c>
      <c r="G171" s="4">
        <v>2</v>
      </c>
    </row>
    <row r="172" spans="1:7" x14ac:dyDescent="0.15">
      <c r="A172" s="4">
        <v>171</v>
      </c>
      <c r="B172" s="4">
        <v>1</v>
      </c>
      <c r="D172" s="5">
        <v>10.021270588192511</v>
      </c>
      <c r="E172" s="4">
        <v>0</v>
      </c>
      <c r="F172" s="5">
        <v>3.0910424533583161</v>
      </c>
      <c r="G172" s="4">
        <v>4</v>
      </c>
    </row>
    <row r="173" spans="1:7" x14ac:dyDescent="0.15">
      <c r="A173" s="4">
        <v>172</v>
      </c>
      <c r="B173" s="4">
        <v>0</v>
      </c>
      <c r="D173" s="5">
        <v>11.379394072345706</v>
      </c>
      <c r="E173" s="4">
        <v>0</v>
      </c>
      <c r="F173" s="5">
        <v>3.5263605246161616</v>
      </c>
      <c r="G173" s="4">
        <v>2</v>
      </c>
    </row>
    <row r="174" spans="1:7" x14ac:dyDescent="0.15">
      <c r="A174" s="4">
        <v>173</v>
      </c>
      <c r="B174" s="4">
        <v>0</v>
      </c>
      <c r="D174" s="5">
        <v>11.082142548877775</v>
      </c>
      <c r="E174" s="4">
        <v>1</v>
      </c>
      <c r="F174" s="5">
        <v>3.5263605246161616</v>
      </c>
      <c r="G174" s="4">
        <v>2</v>
      </c>
    </row>
    <row r="175" spans="1:7" x14ac:dyDescent="0.15">
      <c r="A175" s="4">
        <v>174</v>
      </c>
      <c r="B175" s="4">
        <v>0</v>
      </c>
      <c r="D175" s="5">
        <v>10.532096211958502</v>
      </c>
      <c r="E175" s="4">
        <v>1</v>
      </c>
      <c r="F175" s="5">
        <v>3.970291913552122</v>
      </c>
      <c r="G175" s="4">
        <v>2</v>
      </c>
    </row>
    <row r="176" spans="1:7" x14ac:dyDescent="0.15">
      <c r="A176" s="4">
        <v>175</v>
      </c>
      <c r="B176" s="4">
        <v>0</v>
      </c>
      <c r="D176" s="5">
        <v>10.221941283654663</v>
      </c>
      <c r="E176" s="4">
        <v>0</v>
      </c>
      <c r="F176" s="5">
        <v>2.5649493574615367</v>
      </c>
      <c r="G176" s="4">
        <v>4</v>
      </c>
    </row>
    <row r="177" spans="1:7" x14ac:dyDescent="0.15">
      <c r="A177" s="4">
        <v>176</v>
      </c>
      <c r="B177" s="4">
        <v>0</v>
      </c>
      <c r="D177" s="5">
        <v>10.532096211958502</v>
      </c>
      <c r="E177" s="4">
        <v>1</v>
      </c>
      <c r="F177" s="5">
        <v>3.6635616461296463</v>
      </c>
      <c r="G177" s="4">
        <v>3</v>
      </c>
    </row>
    <row r="178" spans="1:7" x14ac:dyDescent="0.15">
      <c r="A178" s="4">
        <v>177</v>
      </c>
      <c r="B178" s="4">
        <v>1</v>
      </c>
      <c r="D178" s="5">
        <v>11.736069016284437</v>
      </c>
      <c r="E178" s="4">
        <v>0</v>
      </c>
      <c r="F178" s="5">
        <v>3.5835189384561099</v>
      </c>
      <c r="G178" s="4">
        <v>2</v>
      </c>
    </row>
    <row r="179" spans="1:7" x14ac:dyDescent="0.15">
      <c r="A179" s="4">
        <v>178</v>
      </c>
      <c r="B179" s="4">
        <v>0</v>
      </c>
      <c r="D179" s="5">
        <v>11.736069016284437</v>
      </c>
      <c r="E179" s="4">
        <v>0</v>
      </c>
      <c r="F179" s="5">
        <v>3.4657359027997265</v>
      </c>
      <c r="G179" s="4">
        <v>2</v>
      </c>
    </row>
    <row r="180" spans="1:7" x14ac:dyDescent="0.15">
      <c r="A180" s="4">
        <v>179</v>
      </c>
      <c r="B180" s="4">
        <v>0</v>
      </c>
      <c r="D180" s="5">
        <v>10.657259354912508</v>
      </c>
      <c r="E180" s="4">
        <v>0</v>
      </c>
      <c r="F180" s="5">
        <v>3.5553480614894135</v>
      </c>
      <c r="G180" s="4">
        <v>1</v>
      </c>
    </row>
    <row r="181" spans="1:7" x14ac:dyDescent="0.15">
      <c r="A181" s="4">
        <v>180</v>
      </c>
      <c r="B181" s="4">
        <v>0</v>
      </c>
      <c r="D181" s="5">
        <v>9.0768089793516609</v>
      </c>
      <c r="E181" s="4">
        <v>0</v>
      </c>
      <c r="F181" s="5">
        <v>3.2188758248682006</v>
      </c>
      <c r="G181" s="4">
        <v>1</v>
      </c>
    </row>
    <row r="182" spans="1:7" x14ac:dyDescent="0.15">
      <c r="A182" s="4">
        <v>181</v>
      </c>
      <c r="B182" s="4">
        <v>0</v>
      </c>
      <c r="D182" s="5">
        <v>10.915088464214607</v>
      </c>
      <c r="E182" s="4">
        <v>1</v>
      </c>
      <c r="F182" s="5">
        <v>3.3672958299864741</v>
      </c>
      <c r="G182" s="4">
        <v>2</v>
      </c>
    </row>
    <row r="183" spans="1:7" x14ac:dyDescent="0.15">
      <c r="A183" s="4">
        <v>182</v>
      </c>
      <c r="B183" s="4">
        <v>0</v>
      </c>
      <c r="D183" s="5">
        <v>10.915088464214607</v>
      </c>
      <c r="E183" s="4">
        <v>0</v>
      </c>
      <c r="F183" s="5">
        <v>3.784189633918261</v>
      </c>
      <c r="G183" s="4">
        <v>2</v>
      </c>
    </row>
    <row r="184" spans="1:7" x14ac:dyDescent="0.15">
      <c r="A184" s="4">
        <v>183</v>
      </c>
      <c r="B184" s="4">
        <v>1</v>
      </c>
      <c r="D184" s="5">
        <v>11.082142548877775</v>
      </c>
      <c r="E184" s="4">
        <v>1</v>
      </c>
      <c r="F184" s="5">
        <v>3.6375861597263857</v>
      </c>
      <c r="G184" s="4">
        <v>1</v>
      </c>
    </row>
    <row r="185" spans="1:7" x14ac:dyDescent="0.15">
      <c r="A185" s="4">
        <v>184</v>
      </c>
      <c r="B185" s="4">
        <v>0</v>
      </c>
      <c r="D185" s="5">
        <v>11.736069016284437</v>
      </c>
      <c r="E185" s="4">
        <v>1</v>
      </c>
      <c r="F185" s="5">
        <v>3.3322045101752038</v>
      </c>
      <c r="G185" s="4">
        <v>6</v>
      </c>
    </row>
    <row r="186" spans="1:7" x14ac:dyDescent="0.15">
      <c r="A186" s="4">
        <v>185</v>
      </c>
      <c r="B186" s="4">
        <v>0</v>
      </c>
      <c r="D186" s="5">
        <v>11.736069016284437</v>
      </c>
      <c r="E186" s="4">
        <v>1</v>
      </c>
      <c r="F186" s="5">
        <v>3.5835189384561099</v>
      </c>
      <c r="G186" s="4">
        <v>6</v>
      </c>
    </row>
    <row r="187" spans="1:7" x14ac:dyDescent="0.15">
      <c r="A187" s="4">
        <v>186</v>
      </c>
      <c r="B187" s="4">
        <v>0</v>
      </c>
      <c r="D187" s="5">
        <v>10.915088464214607</v>
      </c>
      <c r="E187" s="4">
        <v>1</v>
      </c>
      <c r="F187" s="5">
        <v>3.4657359027997265</v>
      </c>
      <c r="G187" s="4">
        <v>3</v>
      </c>
    </row>
    <row r="188" spans="1:7" x14ac:dyDescent="0.15">
      <c r="A188" s="4">
        <v>187</v>
      </c>
      <c r="B188" s="4">
        <v>0</v>
      </c>
      <c r="D188" s="5">
        <v>11.918390573078392</v>
      </c>
      <c r="E188" s="4">
        <v>0</v>
      </c>
      <c r="F188" s="5">
        <v>3.3322045101752038</v>
      </c>
      <c r="G188" s="4">
        <v>3</v>
      </c>
    </row>
    <row r="189" spans="1:7" x14ac:dyDescent="0.15">
      <c r="A189" s="4">
        <v>188</v>
      </c>
      <c r="B189" s="4">
        <v>0</v>
      </c>
      <c r="D189" s="5">
        <v>10.532096211958502</v>
      </c>
      <c r="E189" s="4">
        <v>0</v>
      </c>
      <c r="F189" s="5">
        <v>3.3672958299864741</v>
      </c>
      <c r="G189" s="4">
        <v>1</v>
      </c>
    </row>
    <row r="190" spans="1:7" x14ac:dyDescent="0.15">
      <c r="A190" s="4">
        <v>189</v>
      </c>
      <c r="B190" s="4">
        <v>0</v>
      </c>
      <c r="D190" s="5">
        <v>10.021270588192511</v>
      </c>
      <c r="E190" s="4">
        <v>1</v>
      </c>
      <c r="F190" s="5">
        <v>3.1354942159291497</v>
      </c>
      <c r="G190" s="4">
        <v>3</v>
      </c>
    </row>
    <row r="191" spans="1:7" x14ac:dyDescent="0.15">
      <c r="A191" s="4">
        <v>190</v>
      </c>
      <c r="B191" s="4">
        <v>0</v>
      </c>
      <c r="D191" s="5">
        <v>11.379394072345706</v>
      </c>
      <c r="E191" s="4">
        <v>0</v>
      </c>
      <c r="F191" s="5">
        <v>3.5835189384561099</v>
      </c>
      <c r="G191" s="4">
        <v>4</v>
      </c>
    </row>
    <row r="192" spans="1:7" x14ac:dyDescent="0.15">
      <c r="A192" s="4">
        <v>191</v>
      </c>
      <c r="B192" s="4">
        <v>0</v>
      </c>
      <c r="D192" s="5">
        <v>10.221941283654663</v>
      </c>
      <c r="E192" s="4">
        <v>0</v>
      </c>
      <c r="F192" s="5">
        <v>3.9512437185814275</v>
      </c>
      <c r="G192" s="4">
        <v>3</v>
      </c>
    </row>
    <row r="193" spans="1:7" x14ac:dyDescent="0.15">
      <c r="A193" s="4">
        <v>192</v>
      </c>
      <c r="B193" s="4">
        <v>0</v>
      </c>
      <c r="D193" s="5">
        <v>9.7699561599116063</v>
      </c>
      <c r="E193" s="4">
        <v>0</v>
      </c>
      <c r="F193" s="5">
        <v>3.0910424533583161</v>
      </c>
      <c r="G193" s="4">
        <v>1</v>
      </c>
    </row>
    <row r="194" spans="1:7" x14ac:dyDescent="0.15">
      <c r="A194" s="4">
        <v>193</v>
      </c>
      <c r="B194" s="4">
        <v>9</v>
      </c>
      <c r="D194" s="5">
        <v>10.915088464214607</v>
      </c>
      <c r="E194" s="4">
        <v>0</v>
      </c>
      <c r="F194" s="5">
        <v>3.2958368660043291</v>
      </c>
      <c r="G194" s="4">
        <v>4</v>
      </c>
    </row>
    <row r="195" spans="1:7" x14ac:dyDescent="0.15">
      <c r="A195" s="4">
        <v>194</v>
      </c>
      <c r="B195" s="4">
        <v>0</v>
      </c>
      <c r="D195" s="5">
        <v>10.819778284410283</v>
      </c>
      <c r="E195" s="4">
        <v>1</v>
      </c>
      <c r="F195" s="5">
        <v>3.5553480614894135</v>
      </c>
      <c r="G195" s="4">
        <v>5</v>
      </c>
    </row>
    <row r="196" spans="1:7" x14ac:dyDescent="0.15">
      <c r="A196" s="4">
        <v>195</v>
      </c>
      <c r="B196" s="4">
        <v>0</v>
      </c>
      <c r="D196" s="5">
        <v>10.308952660644293</v>
      </c>
      <c r="E196" s="4">
        <v>1</v>
      </c>
      <c r="F196" s="5">
        <v>3.7376696182833684</v>
      </c>
      <c r="G196" s="4">
        <v>4</v>
      </c>
    </row>
    <row r="197" spans="1:7" x14ac:dyDescent="0.15">
      <c r="A197" s="4">
        <v>196</v>
      </c>
      <c r="B197" s="4">
        <v>0</v>
      </c>
      <c r="D197" s="5">
        <v>8.9226582995244019</v>
      </c>
      <c r="E197" s="4">
        <v>1</v>
      </c>
      <c r="F197" s="5">
        <v>3.713572066704308</v>
      </c>
      <c r="G197" s="4">
        <v>6</v>
      </c>
    </row>
    <row r="198" spans="1:7" x14ac:dyDescent="0.15">
      <c r="A198" s="4">
        <v>197</v>
      </c>
      <c r="B198" s="4">
        <v>0</v>
      </c>
      <c r="D198" s="5">
        <v>10.768484990022733</v>
      </c>
      <c r="E198" s="4">
        <v>0</v>
      </c>
      <c r="F198" s="5">
        <v>3.5835189384561099</v>
      </c>
      <c r="G198" s="4">
        <v>4</v>
      </c>
    </row>
    <row r="199" spans="1:7" x14ac:dyDescent="0.15">
      <c r="A199" s="4">
        <v>198</v>
      </c>
      <c r="B199" s="4">
        <v>0</v>
      </c>
      <c r="D199" s="5">
        <v>10.915088464214607</v>
      </c>
      <c r="E199" s="4">
        <v>1</v>
      </c>
      <c r="F199" s="5">
        <v>3.5263605246161616</v>
      </c>
      <c r="G199" s="4">
        <v>3</v>
      </c>
    </row>
    <row r="200" spans="1:7" x14ac:dyDescent="0.15">
      <c r="A200" s="4">
        <v>199</v>
      </c>
      <c r="B200" s="4">
        <v>0</v>
      </c>
      <c r="D200" s="5">
        <v>11.191341840842766</v>
      </c>
      <c r="E200" s="4">
        <v>0</v>
      </c>
      <c r="F200" s="5">
        <v>3.0910424533583161</v>
      </c>
      <c r="G200" s="4">
        <v>2</v>
      </c>
    </row>
    <row r="201" spans="1:7" x14ac:dyDescent="0.15">
      <c r="A201" s="4">
        <v>200</v>
      </c>
      <c r="B201" s="4">
        <v>4</v>
      </c>
      <c r="D201" s="5">
        <v>10.657259354912508</v>
      </c>
      <c r="E201" s="4">
        <v>1</v>
      </c>
      <c r="F201" s="5">
        <v>3.7612001156935624</v>
      </c>
      <c r="G201" s="4">
        <v>4</v>
      </c>
    </row>
    <row r="202" spans="1:7" x14ac:dyDescent="0.15">
      <c r="A202" s="4">
        <v>201</v>
      </c>
      <c r="B202" s="4">
        <v>0</v>
      </c>
      <c r="D202" s="5">
        <v>10.657259354912508</v>
      </c>
      <c r="E202" s="4">
        <v>0</v>
      </c>
      <c r="F202" s="5">
        <v>3.784189633918261</v>
      </c>
      <c r="G202" s="4">
        <v>4</v>
      </c>
    </row>
    <row r="203" spans="1:7" x14ac:dyDescent="0.15">
      <c r="A203" s="4">
        <v>202</v>
      </c>
      <c r="B203" s="4">
        <v>0</v>
      </c>
      <c r="D203" s="5">
        <v>10.221941283654663</v>
      </c>
      <c r="E203" s="4">
        <v>1</v>
      </c>
      <c r="F203" s="5">
        <v>3.5263605246161616</v>
      </c>
      <c r="G203" s="4">
        <v>1</v>
      </c>
    </row>
    <row r="204" spans="1:7" x14ac:dyDescent="0.15">
      <c r="A204" s="4">
        <v>203</v>
      </c>
      <c r="B204" s="4">
        <v>6</v>
      </c>
      <c r="D204" s="5">
        <v>11.379394072345706</v>
      </c>
      <c r="E204" s="4">
        <v>1</v>
      </c>
      <c r="F204" s="5">
        <v>3.7376696182833684</v>
      </c>
      <c r="G204" s="4">
        <v>4</v>
      </c>
    </row>
    <row r="205" spans="1:7" x14ac:dyDescent="0.15">
      <c r="A205" s="4">
        <v>204</v>
      </c>
      <c r="B205" s="4">
        <v>2</v>
      </c>
      <c r="D205" s="5">
        <v>11.379394072345706</v>
      </c>
      <c r="E205" s="4">
        <v>0</v>
      </c>
      <c r="F205" s="5">
        <v>2.7080502011022101</v>
      </c>
      <c r="G205" s="4">
        <v>4</v>
      </c>
    </row>
    <row r="206" spans="1:7" x14ac:dyDescent="0.15">
      <c r="A206" s="4">
        <v>205</v>
      </c>
      <c r="B206" s="4">
        <v>1</v>
      </c>
      <c r="D206" s="5">
        <v>11.379394072345706</v>
      </c>
      <c r="E206" s="4">
        <v>0</v>
      </c>
      <c r="F206" s="5">
        <v>3.8918202981106265</v>
      </c>
      <c r="G206" s="4">
        <v>4</v>
      </c>
    </row>
    <row r="207" spans="1:7" x14ac:dyDescent="0.15">
      <c r="A207" s="4">
        <v>206</v>
      </c>
      <c r="B207" s="4">
        <v>0</v>
      </c>
      <c r="D207" s="5">
        <v>10.221941283654663</v>
      </c>
      <c r="E207" s="4">
        <v>1</v>
      </c>
      <c r="F207" s="5">
        <v>3.4965075614664802</v>
      </c>
      <c r="G207" s="4">
        <v>1</v>
      </c>
    </row>
    <row r="208" spans="1:7" x14ac:dyDescent="0.15">
      <c r="A208" s="4">
        <v>207</v>
      </c>
      <c r="B208" s="4">
        <v>1</v>
      </c>
      <c r="D208" s="5">
        <v>10.657259354912508</v>
      </c>
      <c r="E208" s="4">
        <v>1</v>
      </c>
      <c r="F208" s="5">
        <v>3.5553480614894135</v>
      </c>
      <c r="G208" s="4">
        <v>4</v>
      </c>
    </row>
    <row r="209" spans="1:7" x14ac:dyDescent="0.15">
      <c r="A209" s="4">
        <v>208</v>
      </c>
      <c r="B209" s="4">
        <v>1</v>
      </c>
      <c r="D209" s="5">
        <v>10.657259354912508</v>
      </c>
      <c r="E209" s="4">
        <v>0</v>
      </c>
      <c r="F209" s="5">
        <v>2.0794415416798357</v>
      </c>
      <c r="G209" s="4">
        <v>4</v>
      </c>
    </row>
    <row r="210" spans="1:7" x14ac:dyDescent="0.15">
      <c r="A210" s="4">
        <v>209</v>
      </c>
      <c r="B210" s="4">
        <v>0</v>
      </c>
      <c r="D210" s="5">
        <v>10.915088464214607</v>
      </c>
      <c r="E210" s="4">
        <v>1</v>
      </c>
      <c r="F210" s="5">
        <v>3.3672958299864741</v>
      </c>
      <c r="G210" s="4">
        <v>2</v>
      </c>
    </row>
    <row r="211" spans="1:7" x14ac:dyDescent="0.15">
      <c r="A211" s="4">
        <v>210</v>
      </c>
      <c r="B211" s="4">
        <v>0</v>
      </c>
      <c r="D211" s="5">
        <v>10.388995368317829</v>
      </c>
      <c r="E211" s="4">
        <v>0</v>
      </c>
      <c r="F211" s="5">
        <v>3.5835189384561099</v>
      </c>
      <c r="G211" s="4">
        <v>4</v>
      </c>
    </row>
    <row r="212" spans="1:7" x14ac:dyDescent="0.15">
      <c r="A212" s="4">
        <v>211</v>
      </c>
      <c r="B212" s="4">
        <v>0</v>
      </c>
      <c r="D212" s="5">
        <v>10.915088464214607</v>
      </c>
      <c r="E212" s="4">
        <v>1</v>
      </c>
      <c r="F212" s="5">
        <v>3.3322045101752038</v>
      </c>
      <c r="G212" s="4">
        <v>2</v>
      </c>
    </row>
    <row r="213" spans="1:7" x14ac:dyDescent="0.15">
      <c r="A213" s="4">
        <v>212</v>
      </c>
      <c r="B213" s="4">
        <v>0</v>
      </c>
      <c r="D213" s="5">
        <v>9.7699561599116063</v>
      </c>
      <c r="E213" s="4">
        <v>1</v>
      </c>
      <c r="F213" s="5">
        <v>3.2580965380214821</v>
      </c>
      <c r="G213" s="4">
        <v>1</v>
      </c>
    </row>
    <row r="214" spans="1:7" x14ac:dyDescent="0.15">
      <c r="A214" s="4">
        <v>213</v>
      </c>
      <c r="B214" s="4">
        <v>0</v>
      </c>
      <c r="D214" s="5">
        <v>10.532096211958502</v>
      </c>
      <c r="E214" s="4">
        <v>0</v>
      </c>
      <c r="F214" s="5">
        <v>2.5649493574615367</v>
      </c>
      <c r="G214" s="4">
        <v>4</v>
      </c>
    </row>
    <row r="215" spans="1:7" x14ac:dyDescent="0.15">
      <c r="A215" s="4">
        <v>214</v>
      </c>
      <c r="B215" s="4">
        <v>0</v>
      </c>
      <c r="D215" s="5">
        <v>11.736069016284437</v>
      </c>
      <c r="E215" s="4">
        <v>1</v>
      </c>
      <c r="F215" s="5">
        <v>3.784189633918261</v>
      </c>
      <c r="G215" s="4">
        <v>2</v>
      </c>
    </row>
    <row r="216" spans="1:7" x14ac:dyDescent="0.15">
      <c r="A216" s="4">
        <v>215</v>
      </c>
      <c r="B216" s="4">
        <v>0</v>
      </c>
      <c r="D216" s="5">
        <v>10.388995368317829</v>
      </c>
      <c r="E216" s="4">
        <v>1</v>
      </c>
      <c r="F216" s="5">
        <v>3.5553480614894135</v>
      </c>
      <c r="G216" s="4">
        <v>3</v>
      </c>
    </row>
    <row r="217" spans="1:7" x14ac:dyDescent="0.15">
      <c r="A217" s="4">
        <v>216</v>
      </c>
      <c r="B217" s="4">
        <v>0</v>
      </c>
      <c r="D217" s="5">
        <v>11.082142548877775</v>
      </c>
      <c r="E217" s="4">
        <v>1</v>
      </c>
      <c r="F217" s="5">
        <v>3.4011973816621555</v>
      </c>
      <c r="G217" s="4">
        <v>5</v>
      </c>
    </row>
    <row r="218" spans="1:7" x14ac:dyDescent="0.15">
      <c r="A218" s="4">
        <v>217</v>
      </c>
      <c r="B218" s="4">
        <v>0</v>
      </c>
      <c r="D218" s="5">
        <v>11.082142548877775</v>
      </c>
      <c r="E218" s="4">
        <v>0</v>
      </c>
      <c r="F218" s="5">
        <v>2.6390573296152584</v>
      </c>
      <c r="G218" s="4">
        <v>5</v>
      </c>
    </row>
    <row r="219" spans="1:7" x14ac:dyDescent="0.15">
      <c r="A219" s="4">
        <v>218</v>
      </c>
      <c r="B219" s="4">
        <v>0</v>
      </c>
      <c r="D219" s="5">
        <v>10.768484990022733</v>
      </c>
      <c r="E219" s="4">
        <v>0</v>
      </c>
      <c r="F219" s="5">
        <v>3.5835189384561099</v>
      </c>
      <c r="G219" s="4">
        <v>2</v>
      </c>
    </row>
    <row r="220" spans="1:7" x14ac:dyDescent="0.15">
      <c r="A220" s="4">
        <v>219</v>
      </c>
      <c r="B220" s="4">
        <v>62</v>
      </c>
      <c r="D220" s="5">
        <v>11.191341840842766</v>
      </c>
      <c r="E220" s="4">
        <v>0</v>
      </c>
      <c r="F220" s="5">
        <v>3.6635616461296463</v>
      </c>
      <c r="G220" s="4">
        <v>1</v>
      </c>
    </row>
    <row r="221" spans="1:7" x14ac:dyDescent="0.15">
      <c r="A221" s="4">
        <v>220</v>
      </c>
      <c r="B221" s="4">
        <v>0</v>
      </c>
      <c r="D221" s="5">
        <v>11.379394072345706</v>
      </c>
      <c r="E221" s="4">
        <v>1</v>
      </c>
      <c r="F221" s="5">
        <v>4.0943445622221004</v>
      </c>
      <c r="G221" s="4">
        <v>2</v>
      </c>
    </row>
    <row r="222" spans="1:7" x14ac:dyDescent="0.15">
      <c r="A222" s="4">
        <v>221</v>
      </c>
      <c r="B222" s="4">
        <v>0</v>
      </c>
      <c r="D222" s="5">
        <v>10.388995368317829</v>
      </c>
      <c r="E222" s="4">
        <v>0</v>
      </c>
      <c r="F222" s="5">
        <v>3.4011973816621555</v>
      </c>
      <c r="G222" s="4">
        <v>2</v>
      </c>
    </row>
    <row r="223" spans="1:7" x14ac:dyDescent="0.15">
      <c r="A223" s="4">
        <v>222</v>
      </c>
      <c r="B223" s="4">
        <v>2</v>
      </c>
      <c r="D223" s="5">
        <v>10.657259354912508</v>
      </c>
      <c r="E223" s="4">
        <v>0</v>
      </c>
      <c r="F223" s="5">
        <v>3.3672958299864741</v>
      </c>
      <c r="G223" s="4">
        <v>2</v>
      </c>
    </row>
    <row r="224" spans="1:7" x14ac:dyDescent="0.15">
      <c r="A224" s="4">
        <v>223</v>
      </c>
      <c r="B224" s="4">
        <v>0</v>
      </c>
      <c r="D224" s="5">
        <v>10.532096211958502</v>
      </c>
      <c r="E224" s="4">
        <v>1</v>
      </c>
      <c r="F224" s="5">
        <v>3.5835189384561099</v>
      </c>
      <c r="G224" s="4">
        <v>3</v>
      </c>
    </row>
    <row r="225" spans="1:7" x14ac:dyDescent="0.15">
      <c r="A225" s="4">
        <v>224</v>
      </c>
      <c r="B225" s="4">
        <v>0</v>
      </c>
      <c r="D225" s="5">
        <v>11.736069016284437</v>
      </c>
      <c r="E225" s="4">
        <v>1</v>
      </c>
      <c r="F225" s="5">
        <v>3.6109179126442243</v>
      </c>
      <c r="G225" s="4">
        <v>4</v>
      </c>
    </row>
    <row r="226" spans="1:7" x14ac:dyDescent="0.15">
      <c r="A226" s="4">
        <v>225</v>
      </c>
      <c r="B226" s="4">
        <v>0</v>
      </c>
      <c r="D226" s="5">
        <v>10.915088464214607</v>
      </c>
      <c r="E226" s="4">
        <v>1</v>
      </c>
      <c r="F226" s="5">
        <v>4.0430512678345503</v>
      </c>
      <c r="G226" s="4">
        <v>1</v>
      </c>
    </row>
    <row r="227" spans="1:7" x14ac:dyDescent="0.15">
      <c r="A227" s="4">
        <v>226</v>
      </c>
      <c r="B227" s="4">
        <v>0</v>
      </c>
      <c r="D227" s="5">
        <v>11.379394072345706</v>
      </c>
      <c r="E227" s="4">
        <v>1</v>
      </c>
      <c r="F227" s="5">
        <v>3.5263605246161616</v>
      </c>
      <c r="G227" s="4">
        <v>2</v>
      </c>
    </row>
    <row r="228" spans="1:7" x14ac:dyDescent="0.15">
      <c r="A228" s="4">
        <v>227</v>
      </c>
      <c r="B228" s="4">
        <v>0</v>
      </c>
      <c r="D228" s="5">
        <v>10.915088464214607</v>
      </c>
      <c r="E228" s="4">
        <v>1</v>
      </c>
      <c r="F228" s="5">
        <v>3.4339872044851463</v>
      </c>
      <c r="G228" s="4">
        <v>5</v>
      </c>
    </row>
    <row r="229" spans="1:7" x14ac:dyDescent="0.15">
      <c r="A229" s="4">
        <v>228</v>
      </c>
      <c r="B229" s="4">
        <v>3</v>
      </c>
      <c r="D229" s="5">
        <v>11.082142548877775</v>
      </c>
      <c r="E229" s="4">
        <v>1</v>
      </c>
      <c r="F229" s="5">
        <v>3.3672958299864741</v>
      </c>
      <c r="G229" s="4">
        <v>4</v>
      </c>
    </row>
    <row r="230" spans="1:7" x14ac:dyDescent="0.15">
      <c r="A230" s="4">
        <v>229</v>
      </c>
      <c r="B230" s="4">
        <v>0</v>
      </c>
      <c r="D230" s="5">
        <v>10.657259354912508</v>
      </c>
      <c r="E230" s="4">
        <v>1</v>
      </c>
      <c r="F230" s="5">
        <v>3.3672958299864741</v>
      </c>
      <c r="G230" s="4">
        <v>2</v>
      </c>
    </row>
    <row r="231" spans="1:7" x14ac:dyDescent="0.15">
      <c r="A231" s="4">
        <v>230</v>
      </c>
      <c r="B231" s="4">
        <v>0</v>
      </c>
      <c r="D231" s="5">
        <v>10.915088464214607</v>
      </c>
      <c r="E231" s="4">
        <v>1</v>
      </c>
      <c r="F231" s="5">
        <v>3.4657359027997265</v>
      </c>
      <c r="G231" s="4">
        <v>4</v>
      </c>
    </row>
    <row r="232" spans="1:7" x14ac:dyDescent="0.15">
      <c r="A232" s="4">
        <v>231</v>
      </c>
      <c r="B232" s="4">
        <v>0</v>
      </c>
      <c r="D232" s="5">
        <v>11.191341840842766</v>
      </c>
      <c r="E232" s="4">
        <v>1</v>
      </c>
      <c r="F232" s="5">
        <v>3.2580965380214821</v>
      </c>
      <c r="G232" s="4">
        <v>2</v>
      </c>
    </row>
    <row r="233" spans="1:7" x14ac:dyDescent="0.15">
      <c r="A233" s="4">
        <v>232</v>
      </c>
      <c r="B233" s="4">
        <v>0</v>
      </c>
      <c r="D233" s="5">
        <v>10.388995368317829</v>
      </c>
      <c r="E233" s="4">
        <v>0</v>
      </c>
      <c r="F233" s="5">
        <v>3.2580965380214821</v>
      </c>
      <c r="G233" s="4">
        <v>1</v>
      </c>
    </row>
    <row r="234" spans="1:7" x14ac:dyDescent="0.15">
      <c r="A234" s="4">
        <v>233</v>
      </c>
      <c r="B234" s="4">
        <v>0</v>
      </c>
      <c r="D234" s="5">
        <v>10.021270588192511</v>
      </c>
      <c r="E234" s="4">
        <v>1</v>
      </c>
      <c r="F234" s="5">
        <v>3.4965075614664802</v>
      </c>
      <c r="G234" s="4">
        <v>5</v>
      </c>
    </row>
    <row r="235" spans="1:7" x14ac:dyDescent="0.15">
      <c r="A235" s="4">
        <v>234</v>
      </c>
      <c r="B235" s="4">
        <v>0</v>
      </c>
      <c r="D235" s="5">
        <v>10.915088464214607</v>
      </c>
      <c r="E235" s="4">
        <v>1</v>
      </c>
      <c r="F235" s="5">
        <v>3.4657359027997265</v>
      </c>
      <c r="G235" s="4">
        <v>2</v>
      </c>
    </row>
    <row r="236" spans="1:7" x14ac:dyDescent="0.15">
      <c r="A236" s="4">
        <v>235</v>
      </c>
      <c r="B236" s="4">
        <v>0</v>
      </c>
      <c r="D236" s="5">
        <v>10.915088464214607</v>
      </c>
      <c r="E236" s="4">
        <v>0</v>
      </c>
      <c r="F236" s="5">
        <v>3.3322045101752038</v>
      </c>
      <c r="G236" s="4">
        <v>2</v>
      </c>
    </row>
    <row r="237" spans="1:7" x14ac:dyDescent="0.15">
      <c r="A237" s="4">
        <v>236</v>
      </c>
      <c r="B237" s="4">
        <v>0</v>
      </c>
      <c r="D237" s="5">
        <v>12.072541252905651</v>
      </c>
      <c r="E237" s="4">
        <v>0</v>
      </c>
      <c r="F237" s="5">
        <v>3.8501476017100584</v>
      </c>
      <c r="G237" s="4">
        <v>4</v>
      </c>
    </row>
    <row r="238" spans="1:7" x14ac:dyDescent="0.15">
      <c r="A238" s="4">
        <v>237</v>
      </c>
      <c r="B238" s="4">
        <v>0</v>
      </c>
      <c r="D238" s="5">
        <v>11.191341840842766</v>
      </c>
      <c r="E238" s="4">
        <v>1</v>
      </c>
      <c r="F238" s="5">
        <v>3.3672958299864741</v>
      </c>
      <c r="G238" s="4">
        <v>1</v>
      </c>
    </row>
    <row r="239" spans="1:7" x14ac:dyDescent="0.15">
      <c r="A239" s="4">
        <v>238</v>
      </c>
      <c r="B239" s="4">
        <v>3</v>
      </c>
      <c r="D239" s="5">
        <v>10.532096211958502</v>
      </c>
      <c r="E239" s="4">
        <v>0</v>
      </c>
      <c r="F239" s="5">
        <v>3.784189633918261</v>
      </c>
      <c r="G239" s="4">
        <v>3</v>
      </c>
    </row>
    <row r="240" spans="1:7" x14ac:dyDescent="0.15">
      <c r="A240" s="4">
        <v>239</v>
      </c>
      <c r="B240" s="4">
        <v>0</v>
      </c>
      <c r="D240" s="5">
        <v>10.388995368317829</v>
      </c>
      <c r="E240" s="4">
        <v>0</v>
      </c>
      <c r="F240" s="5">
        <v>4.1271343850450917</v>
      </c>
      <c r="G240" s="4">
        <v>1</v>
      </c>
    </row>
    <row r="241" spans="1:7" x14ac:dyDescent="0.15">
      <c r="A241" s="4">
        <v>240</v>
      </c>
      <c r="B241" s="4">
        <v>2</v>
      </c>
      <c r="D241" s="5">
        <v>10.768484990022733</v>
      </c>
      <c r="E241" s="4">
        <v>1</v>
      </c>
      <c r="F241" s="5">
        <v>3.6888794541139363</v>
      </c>
      <c r="G241" s="4">
        <v>4</v>
      </c>
    </row>
    <row r="242" spans="1:7" x14ac:dyDescent="0.15">
      <c r="A242" s="4">
        <v>241</v>
      </c>
      <c r="B242" s="4">
        <v>0</v>
      </c>
      <c r="D242" s="5">
        <v>10.388995368317829</v>
      </c>
      <c r="E242" s="4">
        <v>1</v>
      </c>
      <c r="F242" s="5">
        <v>3.5263605246161616</v>
      </c>
      <c r="G242" s="4">
        <v>3</v>
      </c>
    </row>
    <row r="243" spans="1:7" x14ac:dyDescent="0.15">
      <c r="A243" s="4">
        <v>242</v>
      </c>
      <c r="B243" s="4">
        <v>0</v>
      </c>
      <c r="D243" s="5">
        <v>10.657259354912508</v>
      </c>
      <c r="E243" s="4">
        <v>1</v>
      </c>
      <c r="F243" s="5">
        <v>3.970291913552122</v>
      </c>
      <c r="G243" s="4">
        <v>4</v>
      </c>
    </row>
    <row r="244" spans="1:7" x14ac:dyDescent="0.15">
      <c r="A244" s="4">
        <v>243</v>
      </c>
      <c r="B244" s="4">
        <v>0</v>
      </c>
      <c r="D244" s="5">
        <v>10.657259354912508</v>
      </c>
      <c r="E244" s="4">
        <v>1</v>
      </c>
      <c r="F244" s="5">
        <v>3.4011973816621555</v>
      </c>
      <c r="G244" s="4">
        <v>4</v>
      </c>
    </row>
    <row r="245" spans="1:7" x14ac:dyDescent="0.15">
      <c r="A245" s="4">
        <v>244</v>
      </c>
      <c r="B245" s="4">
        <v>2</v>
      </c>
      <c r="D245" s="5">
        <v>11.191341840842766</v>
      </c>
      <c r="E245" s="4">
        <v>0</v>
      </c>
      <c r="F245" s="5">
        <v>3.6375861597263857</v>
      </c>
      <c r="G245" s="4">
        <v>3</v>
      </c>
    </row>
    <row r="246" spans="1:7" x14ac:dyDescent="0.15">
      <c r="A246" s="4">
        <v>245</v>
      </c>
      <c r="B246" s="4">
        <v>2</v>
      </c>
      <c r="D246" s="5">
        <v>12.072541252905651</v>
      </c>
      <c r="E246" s="4">
        <v>1</v>
      </c>
      <c r="F246" s="5">
        <v>3.8918202981106265</v>
      </c>
      <c r="G246" s="4">
        <v>3</v>
      </c>
    </row>
    <row r="247" spans="1:7" x14ac:dyDescent="0.15">
      <c r="A247" s="4">
        <v>246</v>
      </c>
      <c r="B247" s="4">
        <v>3</v>
      </c>
      <c r="D247" s="5">
        <v>10.021270588192511</v>
      </c>
      <c r="E247" s="4">
        <v>1</v>
      </c>
      <c r="F247" s="5">
        <v>3.7612001156935624</v>
      </c>
      <c r="G247" s="4">
        <v>5</v>
      </c>
    </row>
    <row r="248" spans="1:7" x14ac:dyDescent="0.15">
      <c r="A248" s="4">
        <v>247</v>
      </c>
      <c r="B248" s="4">
        <v>0</v>
      </c>
      <c r="D248" s="5">
        <v>10.915088464214607</v>
      </c>
      <c r="E248" s="4">
        <v>1</v>
      </c>
      <c r="F248" s="5">
        <v>2.7080502011022101</v>
      </c>
      <c r="G248" s="4">
        <v>2</v>
      </c>
    </row>
    <row r="249" spans="1:7" x14ac:dyDescent="0.15">
      <c r="A249" s="4">
        <v>248</v>
      </c>
      <c r="B249" s="4">
        <v>3</v>
      </c>
      <c r="D249" s="5">
        <v>10.021270588192511</v>
      </c>
      <c r="E249" s="4">
        <v>1</v>
      </c>
      <c r="F249" s="5">
        <v>3.1354942159291497</v>
      </c>
      <c r="G249" s="4">
        <v>2</v>
      </c>
    </row>
    <row r="250" spans="1:7" x14ac:dyDescent="0.15">
      <c r="A250" s="4">
        <v>249</v>
      </c>
      <c r="B250" s="4">
        <v>0</v>
      </c>
      <c r="D250" s="5">
        <v>10.388995368317829</v>
      </c>
      <c r="E250" s="4">
        <v>1</v>
      </c>
      <c r="F250" s="5">
        <v>3.4339872044851463</v>
      </c>
      <c r="G250" s="4">
        <v>2</v>
      </c>
    </row>
    <row r="251" spans="1:7" x14ac:dyDescent="0.15">
      <c r="A251" s="4">
        <v>250</v>
      </c>
      <c r="B251" s="4">
        <v>0</v>
      </c>
      <c r="D251" s="5">
        <v>10.021270588192511</v>
      </c>
      <c r="E251" s="4">
        <v>0</v>
      </c>
      <c r="F251" s="5">
        <v>3.8712010109078911</v>
      </c>
      <c r="G251" s="4">
        <v>3</v>
      </c>
    </row>
    <row r="252" spans="1:7" x14ac:dyDescent="0.15">
      <c r="A252" s="4">
        <v>251</v>
      </c>
      <c r="B252" s="4">
        <v>0</v>
      </c>
      <c r="D252" s="5">
        <v>10.768484990022733</v>
      </c>
      <c r="E252" s="4">
        <v>1</v>
      </c>
      <c r="F252" s="5">
        <v>4.1271343850450917</v>
      </c>
      <c r="G252" s="4">
        <v>2</v>
      </c>
    </row>
    <row r="253" spans="1:7" x14ac:dyDescent="0.15">
      <c r="A253" s="4">
        <v>252</v>
      </c>
      <c r="B253" s="4">
        <v>1</v>
      </c>
      <c r="D253" s="5">
        <v>11.379394072345706</v>
      </c>
      <c r="E253" s="4">
        <v>0</v>
      </c>
      <c r="F253" s="5">
        <v>3.713572066704308</v>
      </c>
      <c r="G253" s="4">
        <v>2</v>
      </c>
    </row>
    <row r="254" spans="1:7" x14ac:dyDescent="0.15">
      <c r="A254" s="4">
        <v>253</v>
      </c>
      <c r="B254" s="4">
        <v>0</v>
      </c>
      <c r="D254" s="5">
        <v>10.915088464214607</v>
      </c>
      <c r="E254" s="4">
        <v>1</v>
      </c>
      <c r="F254" s="5">
        <v>3.8918202981106265</v>
      </c>
      <c r="G254" s="4">
        <v>2</v>
      </c>
    </row>
    <row r="255" spans="1:7" x14ac:dyDescent="0.15">
      <c r="A255" s="4">
        <v>254</v>
      </c>
      <c r="B255" s="4">
        <v>0</v>
      </c>
      <c r="D255" s="5">
        <v>10.021270588192511</v>
      </c>
      <c r="E255" s="4">
        <v>1</v>
      </c>
      <c r="F255" s="5">
        <v>3.2188758248682006</v>
      </c>
      <c r="G255" s="4">
        <v>1</v>
      </c>
    </row>
    <row r="256" spans="1:7" x14ac:dyDescent="0.15">
      <c r="A256" s="4">
        <v>255</v>
      </c>
      <c r="B256" s="4">
        <v>0</v>
      </c>
      <c r="D256" s="5">
        <v>11.736069016284437</v>
      </c>
      <c r="E256" s="4">
        <v>1</v>
      </c>
      <c r="F256" s="5">
        <v>3.784189633918261</v>
      </c>
      <c r="G256" s="4">
        <v>5</v>
      </c>
    </row>
    <row r="257" spans="1:7" x14ac:dyDescent="0.15">
      <c r="A257" s="4">
        <v>256</v>
      </c>
      <c r="B257" s="4">
        <v>12</v>
      </c>
      <c r="D257" s="5">
        <v>10.657259354912508</v>
      </c>
      <c r="E257" s="4">
        <v>0</v>
      </c>
      <c r="F257" s="5">
        <v>3.4011973816621555</v>
      </c>
      <c r="G257" s="4">
        <v>4</v>
      </c>
    </row>
    <row r="258" spans="1:7" x14ac:dyDescent="0.15">
      <c r="A258" s="4">
        <v>257</v>
      </c>
      <c r="B258" s="4">
        <v>0</v>
      </c>
      <c r="D258" s="5">
        <v>10.532096211958502</v>
      </c>
      <c r="E258" s="4">
        <v>1</v>
      </c>
      <c r="F258" s="5">
        <v>3.6109179126442243</v>
      </c>
      <c r="G258" s="4">
        <v>4</v>
      </c>
    </row>
    <row r="259" spans="1:7" x14ac:dyDescent="0.15">
      <c r="A259" s="4">
        <v>258</v>
      </c>
      <c r="B259" s="4">
        <v>0</v>
      </c>
      <c r="D259" s="5">
        <v>10.021270588192511</v>
      </c>
      <c r="E259" s="4">
        <v>0</v>
      </c>
      <c r="F259" s="5">
        <v>3.6888794541139363</v>
      </c>
      <c r="G259" s="4">
        <v>8</v>
      </c>
    </row>
    <row r="260" spans="1:7" x14ac:dyDescent="0.15">
      <c r="A260" s="4">
        <v>259</v>
      </c>
      <c r="B260" s="4">
        <v>6</v>
      </c>
      <c r="D260" s="5">
        <v>10.915088464214607</v>
      </c>
      <c r="E260" s="4">
        <v>0</v>
      </c>
      <c r="F260" s="5">
        <v>3.4011973816621555</v>
      </c>
      <c r="G260" s="4">
        <v>2</v>
      </c>
    </row>
    <row r="261" spans="1:7" x14ac:dyDescent="0.15">
      <c r="A261" s="4">
        <v>260</v>
      </c>
      <c r="B261" s="4">
        <v>0</v>
      </c>
      <c r="D261" s="5">
        <v>10.388995368317829</v>
      </c>
      <c r="E261" s="4">
        <v>1</v>
      </c>
      <c r="F261" s="5">
        <v>3.8286413964890951</v>
      </c>
      <c r="G261" s="4">
        <v>2</v>
      </c>
    </row>
    <row r="262" spans="1:7" x14ac:dyDescent="0.15">
      <c r="A262" s="4">
        <v>261</v>
      </c>
      <c r="B262" s="4">
        <v>0</v>
      </c>
      <c r="D262" s="5">
        <v>10.221941283654663</v>
      </c>
      <c r="E262" s="4">
        <v>0</v>
      </c>
      <c r="F262" s="5">
        <v>3.1354942159291497</v>
      </c>
      <c r="G262" s="4">
        <v>2</v>
      </c>
    </row>
    <row r="263" spans="1:7" x14ac:dyDescent="0.15">
      <c r="A263" s="4">
        <v>262</v>
      </c>
      <c r="B263" s="4">
        <v>0</v>
      </c>
      <c r="D263" s="5">
        <v>10.657259354912508</v>
      </c>
      <c r="E263" s="4">
        <v>1</v>
      </c>
      <c r="F263" s="5">
        <v>3.5263605246161616</v>
      </c>
      <c r="G263" s="4">
        <v>4</v>
      </c>
    </row>
    <row r="264" spans="1:7" x14ac:dyDescent="0.15">
      <c r="A264" s="4">
        <v>263</v>
      </c>
      <c r="B264" s="4">
        <v>2</v>
      </c>
      <c r="D264" s="5">
        <v>9.3281234076325656</v>
      </c>
      <c r="E264" s="4">
        <v>1</v>
      </c>
      <c r="F264" s="5">
        <v>3.044522437723423</v>
      </c>
      <c r="G264" s="4">
        <v>1</v>
      </c>
    </row>
    <row r="265" spans="1:7" x14ac:dyDescent="0.15">
      <c r="A265" s="4">
        <v>264</v>
      </c>
      <c r="B265" s="4">
        <v>0</v>
      </c>
      <c r="D265" s="5">
        <v>10.388995368317829</v>
      </c>
      <c r="E265" s="4">
        <v>0</v>
      </c>
      <c r="F265" s="5">
        <v>4.1588830833596715</v>
      </c>
      <c r="G265" s="4">
        <v>3</v>
      </c>
    </row>
    <row r="266" spans="1:7" x14ac:dyDescent="0.15">
      <c r="A266" s="4">
        <v>265</v>
      </c>
      <c r="B266" s="4">
        <v>0</v>
      </c>
      <c r="D266" s="5">
        <v>10.768484990022733</v>
      </c>
      <c r="E266" s="4">
        <v>0</v>
      </c>
      <c r="F266" s="5">
        <v>3.2188758248682006</v>
      </c>
      <c r="G266" s="4">
        <v>2</v>
      </c>
    </row>
    <row r="267" spans="1:7" x14ac:dyDescent="0.15">
      <c r="A267" s="4">
        <v>266</v>
      </c>
      <c r="B267" s="4">
        <v>1</v>
      </c>
      <c r="D267" s="5">
        <v>11.191341840842766</v>
      </c>
      <c r="E267" s="4">
        <v>0</v>
      </c>
      <c r="F267" s="5">
        <v>2.7725887222397811</v>
      </c>
      <c r="G267" s="4">
        <v>3</v>
      </c>
    </row>
    <row r="268" spans="1:7" x14ac:dyDescent="0.15">
      <c r="A268" s="4">
        <v>267</v>
      </c>
      <c r="B268" s="4">
        <v>16</v>
      </c>
      <c r="D268" s="5">
        <v>10.532096211958502</v>
      </c>
      <c r="E268" s="4">
        <v>0</v>
      </c>
      <c r="F268" s="5">
        <v>3.3672958299864741</v>
      </c>
      <c r="G268" s="4">
        <v>2</v>
      </c>
    </row>
    <row r="269" spans="1:7" x14ac:dyDescent="0.15">
      <c r="A269" s="4">
        <v>268</v>
      </c>
      <c r="B269" s="4">
        <v>0</v>
      </c>
      <c r="D269" s="5">
        <v>10.388995368317829</v>
      </c>
      <c r="E269" s="4">
        <v>0</v>
      </c>
      <c r="F269" s="5">
        <v>3.7612001156935624</v>
      </c>
      <c r="G269" s="4">
        <v>2</v>
      </c>
    </row>
    <row r="270" spans="1:7" x14ac:dyDescent="0.15">
      <c r="A270" s="4">
        <v>269</v>
      </c>
      <c r="B270" s="4">
        <v>1</v>
      </c>
      <c r="D270" s="5">
        <v>11.082142548877775</v>
      </c>
      <c r="E270" s="4">
        <v>0</v>
      </c>
      <c r="F270" s="5">
        <v>3.7612001156935624</v>
      </c>
      <c r="G270" s="4">
        <v>1</v>
      </c>
    </row>
    <row r="271" spans="1:7" x14ac:dyDescent="0.15">
      <c r="A271" s="4">
        <v>270</v>
      </c>
      <c r="B271" s="4">
        <v>0</v>
      </c>
      <c r="D271" s="5">
        <v>11.191341840842766</v>
      </c>
      <c r="E271" s="4">
        <v>1</v>
      </c>
      <c r="F271" s="5">
        <v>3.4339872044851463</v>
      </c>
      <c r="G271" s="4">
        <v>3</v>
      </c>
    </row>
    <row r="272" spans="1:7" x14ac:dyDescent="0.15">
      <c r="A272" s="4">
        <v>271</v>
      </c>
      <c r="B272" s="4">
        <v>1</v>
      </c>
      <c r="D272" s="5">
        <v>10.021270588192511</v>
      </c>
      <c r="E272" s="4">
        <v>0</v>
      </c>
      <c r="F272" s="5">
        <v>3.970291913552122</v>
      </c>
      <c r="G272" s="4">
        <v>1</v>
      </c>
    </row>
    <row r="273" spans="1:7" x14ac:dyDescent="0.15">
      <c r="A273" s="4">
        <v>272</v>
      </c>
      <c r="B273" s="4">
        <v>1</v>
      </c>
      <c r="D273" s="5">
        <v>10.021270588192511</v>
      </c>
      <c r="E273" s="4">
        <v>1</v>
      </c>
      <c r="F273" s="5">
        <v>3.8501476017100584</v>
      </c>
      <c r="G273" s="4">
        <v>4</v>
      </c>
    </row>
    <row r="274" spans="1:7" x14ac:dyDescent="0.15">
      <c r="A274" s="4">
        <v>273</v>
      </c>
      <c r="B274" s="4">
        <v>0</v>
      </c>
      <c r="D274" s="5">
        <v>11.736069016284437</v>
      </c>
      <c r="E274" s="4">
        <v>0</v>
      </c>
      <c r="F274" s="5">
        <v>4.1108738641733114</v>
      </c>
      <c r="G274" s="4">
        <v>3</v>
      </c>
    </row>
    <row r="275" spans="1:7" x14ac:dyDescent="0.15">
      <c r="A275" s="4">
        <v>274</v>
      </c>
      <c r="B275" s="4">
        <v>0</v>
      </c>
      <c r="D275" s="5">
        <v>11.736069016284437</v>
      </c>
      <c r="E275" s="4">
        <v>0</v>
      </c>
      <c r="F275" s="5">
        <v>3.2958368660043291</v>
      </c>
      <c r="G275" s="4">
        <v>4</v>
      </c>
    </row>
    <row r="276" spans="1:7" x14ac:dyDescent="0.15">
      <c r="A276" s="4">
        <v>275</v>
      </c>
      <c r="B276" s="4">
        <v>0</v>
      </c>
      <c r="D276" s="5">
        <v>10.768484990022733</v>
      </c>
      <c r="E276" s="4">
        <v>1</v>
      </c>
      <c r="F276" s="5">
        <v>3.970291913552122</v>
      </c>
      <c r="G276" s="4">
        <v>3</v>
      </c>
    </row>
    <row r="277" spans="1:7" x14ac:dyDescent="0.15">
      <c r="A277" s="4">
        <v>276</v>
      </c>
      <c r="B277" s="4">
        <v>1</v>
      </c>
      <c r="D277" s="5">
        <v>10.388995368317829</v>
      </c>
      <c r="E277" s="4">
        <v>1</v>
      </c>
      <c r="F277" s="5">
        <v>3.1780538303479458</v>
      </c>
      <c r="G277" s="4">
        <v>3</v>
      </c>
    </row>
    <row r="278" spans="1:7" x14ac:dyDescent="0.15">
      <c r="A278" s="4">
        <v>277</v>
      </c>
      <c r="B278" s="4">
        <v>0</v>
      </c>
      <c r="D278" s="5">
        <v>11.736069016284437</v>
      </c>
      <c r="E278" s="4">
        <v>1</v>
      </c>
      <c r="F278" s="5">
        <v>3.4657359027997265</v>
      </c>
      <c r="G278" s="4">
        <v>2</v>
      </c>
    </row>
    <row r="279" spans="1:7" x14ac:dyDescent="0.15">
      <c r="A279" s="4">
        <v>278</v>
      </c>
      <c r="B279" s="4">
        <v>0</v>
      </c>
      <c r="D279" s="5">
        <v>11.736069016284437</v>
      </c>
      <c r="E279" s="4">
        <v>0</v>
      </c>
      <c r="F279" s="5">
        <v>3.5553480614894135</v>
      </c>
      <c r="G279" s="4">
        <v>2</v>
      </c>
    </row>
    <row r="280" spans="1:7" x14ac:dyDescent="0.15">
      <c r="A280" s="4">
        <v>279</v>
      </c>
      <c r="B280" s="4">
        <v>0</v>
      </c>
      <c r="D280" s="5">
        <v>10.532096211958502</v>
      </c>
      <c r="E280" s="4">
        <v>0</v>
      </c>
      <c r="F280" s="5">
        <v>3.784189633918261</v>
      </c>
      <c r="G280" s="4">
        <v>5</v>
      </c>
    </row>
    <row r="281" spans="1:7" x14ac:dyDescent="0.15">
      <c r="A281" s="4">
        <v>280</v>
      </c>
      <c r="B281" s="4">
        <v>0</v>
      </c>
      <c r="D281" s="5">
        <v>11.379394072345706</v>
      </c>
      <c r="E281" s="4">
        <v>1</v>
      </c>
      <c r="F281" s="5">
        <v>3.6109179126442243</v>
      </c>
      <c r="G281" s="4">
        <v>2</v>
      </c>
    </row>
    <row r="282" spans="1:7" x14ac:dyDescent="0.15">
      <c r="A282" s="4">
        <v>281</v>
      </c>
      <c r="B282" s="4">
        <v>0</v>
      </c>
      <c r="D282" s="5">
        <v>10.388995368317829</v>
      </c>
      <c r="E282" s="4">
        <v>1</v>
      </c>
      <c r="F282" s="5">
        <v>3.4339872044851463</v>
      </c>
      <c r="G282" s="4">
        <v>1</v>
      </c>
    </row>
    <row r="283" spans="1:7" x14ac:dyDescent="0.15">
      <c r="A283" s="4">
        <v>282</v>
      </c>
      <c r="B283" s="4">
        <v>0</v>
      </c>
      <c r="D283" s="5">
        <v>10.532096211958502</v>
      </c>
      <c r="E283" s="4">
        <v>1</v>
      </c>
      <c r="F283" s="5">
        <v>3.2958368660043291</v>
      </c>
      <c r="G283" s="4">
        <v>4</v>
      </c>
    </row>
    <row r="284" spans="1:7" x14ac:dyDescent="0.15">
      <c r="A284" s="4">
        <v>283</v>
      </c>
      <c r="B284" s="4">
        <v>21</v>
      </c>
      <c r="D284" s="5">
        <v>10.915088464214607</v>
      </c>
      <c r="E284" s="4">
        <v>1</v>
      </c>
      <c r="F284" s="5">
        <v>3.8066624897703196</v>
      </c>
      <c r="G284" s="4">
        <v>1</v>
      </c>
    </row>
    <row r="285" spans="1:7" x14ac:dyDescent="0.15">
      <c r="A285" s="4">
        <v>284</v>
      </c>
      <c r="B285" s="4">
        <v>0</v>
      </c>
      <c r="D285" s="5">
        <v>10.221941283654663</v>
      </c>
      <c r="E285" s="4">
        <v>1</v>
      </c>
      <c r="F285" s="5">
        <v>3.4011973816621555</v>
      </c>
      <c r="G285" s="4">
        <v>2</v>
      </c>
    </row>
    <row r="286" spans="1:7" x14ac:dyDescent="0.15">
      <c r="A286" s="4">
        <v>285</v>
      </c>
      <c r="B286" s="4">
        <v>0</v>
      </c>
      <c r="D286" s="5">
        <v>11.082142548877775</v>
      </c>
      <c r="E286" s="4">
        <v>1</v>
      </c>
      <c r="F286" s="5">
        <v>3.3322045101752038</v>
      </c>
      <c r="G286" s="4">
        <v>2</v>
      </c>
    </row>
    <row r="287" spans="1:7" x14ac:dyDescent="0.15">
      <c r="A287" s="4">
        <v>286</v>
      </c>
      <c r="B287" s="4">
        <v>0</v>
      </c>
      <c r="D287" s="5">
        <v>12.206072645530174</v>
      </c>
      <c r="E287" s="4">
        <v>1</v>
      </c>
      <c r="F287" s="5">
        <v>3.8501476017100584</v>
      </c>
      <c r="G287" s="4">
        <v>2</v>
      </c>
    </row>
    <row r="288" spans="1:7" x14ac:dyDescent="0.15">
      <c r="A288" s="4">
        <v>287</v>
      </c>
      <c r="B288" s="4">
        <v>0</v>
      </c>
      <c r="D288" s="5">
        <v>10.915088464214607</v>
      </c>
      <c r="E288" s="4">
        <v>1</v>
      </c>
      <c r="F288" s="5">
        <v>3.5553480614894135</v>
      </c>
      <c r="G288" s="4">
        <v>3</v>
      </c>
    </row>
    <row r="289" spans="1:7" x14ac:dyDescent="0.15">
      <c r="A289" s="4">
        <v>288</v>
      </c>
      <c r="B289" s="4">
        <v>0</v>
      </c>
      <c r="D289" s="5">
        <v>11.379394072345706</v>
      </c>
      <c r="E289" s="4">
        <v>0</v>
      </c>
      <c r="F289" s="5">
        <v>3.6888794541139363</v>
      </c>
      <c r="G289" s="4">
        <v>1</v>
      </c>
    </row>
    <row r="290" spans="1:7" x14ac:dyDescent="0.15">
      <c r="A290" s="4">
        <v>289</v>
      </c>
      <c r="B290" s="4">
        <v>0</v>
      </c>
      <c r="D290" s="5">
        <v>11.082142548877775</v>
      </c>
      <c r="E290" s="4">
        <v>1</v>
      </c>
      <c r="F290" s="5">
        <v>3.713572066704308</v>
      </c>
      <c r="G290" s="4">
        <v>2</v>
      </c>
    </row>
    <row r="291" spans="1:7" x14ac:dyDescent="0.15">
      <c r="A291" s="4">
        <v>290</v>
      </c>
      <c r="B291" s="4">
        <v>0</v>
      </c>
      <c r="D291" s="5">
        <v>11.736069016284437</v>
      </c>
      <c r="E291" s="4">
        <v>0</v>
      </c>
      <c r="F291" s="5">
        <v>3.8712010109078911</v>
      </c>
      <c r="G291" s="4">
        <v>3</v>
      </c>
    </row>
    <row r="292" spans="1:7" x14ac:dyDescent="0.15">
      <c r="A292" s="4">
        <v>291</v>
      </c>
      <c r="B292" s="4">
        <v>0</v>
      </c>
      <c r="D292" s="5">
        <v>10.532096211958502</v>
      </c>
      <c r="E292" s="4">
        <v>1</v>
      </c>
      <c r="F292" s="5">
        <v>3.7376696182833684</v>
      </c>
      <c r="G292" s="4">
        <v>2</v>
      </c>
    </row>
    <row r="293" spans="1:7" x14ac:dyDescent="0.15">
      <c r="A293" s="4">
        <v>292</v>
      </c>
      <c r="B293" s="4">
        <v>1</v>
      </c>
      <c r="D293" s="5">
        <v>10.915088464214607</v>
      </c>
      <c r="E293" s="4">
        <v>0</v>
      </c>
      <c r="F293" s="5">
        <v>3.970291913552122</v>
      </c>
      <c r="G293" s="4">
        <v>1</v>
      </c>
    </row>
    <row r="294" spans="1:7" x14ac:dyDescent="0.15">
      <c r="A294" s="4">
        <v>293</v>
      </c>
      <c r="B294" s="4">
        <v>0</v>
      </c>
      <c r="D294" s="5">
        <v>11.082142548877775</v>
      </c>
      <c r="E294" s="4">
        <v>0</v>
      </c>
      <c r="F294" s="5">
        <v>3.4011973816621555</v>
      </c>
      <c r="G294" s="4">
        <v>3</v>
      </c>
    </row>
    <row r="295" spans="1:7" x14ac:dyDescent="0.15">
      <c r="A295" s="4">
        <v>294</v>
      </c>
      <c r="B295" s="4">
        <v>0</v>
      </c>
      <c r="D295" s="5">
        <v>8.9226582995244019</v>
      </c>
      <c r="E295" s="4">
        <v>0</v>
      </c>
      <c r="F295" s="5">
        <v>3.0910424533583161</v>
      </c>
      <c r="G295" s="4">
        <v>1</v>
      </c>
    </row>
    <row r="296" spans="1:7" x14ac:dyDescent="0.15">
      <c r="A296" s="4">
        <v>295</v>
      </c>
      <c r="B296" s="4">
        <v>2</v>
      </c>
      <c r="D296" s="5">
        <v>10.388995368317829</v>
      </c>
      <c r="E296" s="4">
        <v>1</v>
      </c>
      <c r="F296" s="5">
        <v>3.1354942159291497</v>
      </c>
      <c r="G296" s="4">
        <v>3</v>
      </c>
    </row>
    <row r="297" spans="1:7" x14ac:dyDescent="0.15">
      <c r="A297" s="4">
        <v>296</v>
      </c>
      <c r="B297" s="4">
        <v>0</v>
      </c>
      <c r="D297" s="5">
        <v>9.0768089793516609</v>
      </c>
      <c r="E297" s="4">
        <v>0</v>
      </c>
      <c r="F297" s="5">
        <v>3.044522437723423</v>
      </c>
      <c r="G297" s="4">
        <v>1</v>
      </c>
    </row>
    <row r="298" spans="1:7" x14ac:dyDescent="0.15">
      <c r="A298" s="4">
        <v>297</v>
      </c>
      <c r="B298" s="4">
        <v>0</v>
      </c>
      <c r="D298" s="5">
        <v>9.3281234076325656</v>
      </c>
      <c r="E298" s="4">
        <v>0</v>
      </c>
      <c r="F298" s="5">
        <v>3.0910424533583161</v>
      </c>
      <c r="G298" s="4">
        <v>2</v>
      </c>
    </row>
    <row r="299" spans="1:7" x14ac:dyDescent="0.15">
      <c r="A299" s="4">
        <v>298</v>
      </c>
      <c r="B299" s="4">
        <v>0</v>
      </c>
      <c r="D299" s="5">
        <v>10.915088464214607</v>
      </c>
      <c r="E299" s="4">
        <v>0</v>
      </c>
      <c r="F299" s="5">
        <v>3.8918202981106265</v>
      </c>
      <c r="G299" s="4">
        <v>1</v>
      </c>
    </row>
    <row r="300" spans="1:7" x14ac:dyDescent="0.15">
      <c r="A300" s="4">
        <v>299</v>
      </c>
      <c r="B300" s="4">
        <v>0</v>
      </c>
      <c r="D300" s="5">
        <v>10.221941283654663</v>
      </c>
      <c r="E300" s="4">
        <v>0</v>
      </c>
      <c r="F300" s="5">
        <v>3.784189633918261</v>
      </c>
      <c r="G300" s="4">
        <v>3</v>
      </c>
    </row>
    <row r="301" spans="1:7" x14ac:dyDescent="0.15">
      <c r="A301" s="4">
        <v>300</v>
      </c>
      <c r="B301" s="4">
        <v>0</v>
      </c>
      <c r="D301" s="5">
        <v>10.388995368317829</v>
      </c>
      <c r="E301" s="4">
        <v>0</v>
      </c>
      <c r="F301" s="5">
        <v>3.3672958299864741</v>
      </c>
      <c r="G301" s="4">
        <v>5</v>
      </c>
    </row>
    <row r="302" spans="1:7" x14ac:dyDescent="0.15">
      <c r="A302" s="4">
        <v>301</v>
      </c>
      <c r="B302" s="4">
        <v>0</v>
      </c>
      <c r="D302" s="5">
        <v>10.221941283654663</v>
      </c>
      <c r="E302" s="4">
        <v>1</v>
      </c>
      <c r="F302" s="5">
        <v>3.8286413964890951</v>
      </c>
      <c r="G302" s="4">
        <v>1</v>
      </c>
    </row>
    <row r="303" spans="1:7" x14ac:dyDescent="0.15">
      <c r="A303" s="4">
        <v>302</v>
      </c>
      <c r="B303" s="4">
        <v>0</v>
      </c>
      <c r="D303" s="5">
        <v>11.379394072345706</v>
      </c>
      <c r="E303" s="4">
        <v>1</v>
      </c>
      <c r="F303" s="5">
        <v>3.2188758248682006</v>
      </c>
      <c r="G303" s="4">
        <v>3</v>
      </c>
    </row>
    <row r="304" spans="1:7" x14ac:dyDescent="0.15">
      <c r="A304" s="4">
        <v>303</v>
      </c>
      <c r="B304" s="4">
        <v>0</v>
      </c>
      <c r="D304" s="5">
        <v>10.388995368317829</v>
      </c>
      <c r="E304" s="4">
        <v>0</v>
      </c>
      <c r="F304" s="5">
        <v>3.2188758248682006</v>
      </c>
      <c r="G304" s="4">
        <v>3</v>
      </c>
    </row>
    <row r="305" spans="1:7" x14ac:dyDescent="0.15">
      <c r="A305" s="4">
        <v>304</v>
      </c>
      <c r="B305" s="4">
        <v>0</v>
      </c>
      <c r="D305" s="5">
        <v>10.915088464214607</v>
      </c>
      <c r="E305" s="4">
        <v>1</v>
      </c>
      <c r="F305" s="5">
        <v>3.4339872044851463</v>
      </c>
      <c r="G305" s="4">
        <v>2</v>
      </c>
    </row>
    <row r="306" spans="1:7" x14ac:dyDescent="0.15">
      <c r="A306" s="4">
        <v>305</v>
      </c>
      <c r="B306" s="4">
        <v>3</v>
      </c>
      <c r="D306" s="5">
        <v>10.768484990022733</v>
      </c>
      <c r="E306" s="4">
        <v>0</v>
      </c>
      <c r="F306" s="5">
        <v>3.9889840465642745</v>
      </c>
      <c r="G306" s="4">
        <v>1</v>
      </c>
    </row>
    <row r="307" spans="1:7" x14ac:dyDescent="0.15">
      <c r="A307" s="4">
        <v>306</v>
      </c>
      <c r="B307" s="4">
        <v>0</v>
      </c>
      <c r="D307" s="5">
        <v>10.915088464214607</v>
      </c>
      <c r="E307" s="4">
        <v>1</v>
      </c>
      <c r="F307" s="5">
        <v>3.784189633918261</v>
      </c>
      <c r="G307" s="4">
        <v>5</v>
      </c>
    </row>
    <row r="308" spans="1:7" x14ac:dyDescent="0.15">
      <c r="A308" s="4">
        <v>307</v>
      </c>
      <c r="B308" s="4">
        <v>0</v>
      </c>
      <c r="D308" s="5">
        <v>12.072541252905651</v>
      </c>
      <c r="E308" s="4">
        <v>1</v>
      </c>
      <c r="F308" s="5">
        <v>3.3672958299864741</v>
      </c>
      <c r="G308" s="4">
        <v>5</v>
      </c>
    </row>
    <row r="309" spans="1:7" x14ac:dyDescent="0.15">
      <c r="A309" s="4">
        <v>308</v>
      </c>
      <c r="B309" s="4">
        <v>3</v>
      </c>
      <c r="D309" s="5">
        <v>11.379394072345706</v>
      </c>
      <c r="E309" s="4">
        <v>1</v>
      </c>
      <c r="F309" s="5">
        <v>4.2766661190160553</v>
      </c>
      <c r="G309" s="4">
        <v>2</v>
      </c>
    </row>
    <row r="310" spans="1:7" x14ac:dyDescent="0.15">
      <c r="A310" s="4">
        <v>309</v>
      </c>
      <c r="B310" s="4">
        <v>1</v>
      </c>
      <c r="D310" s="5">
        <v>11.379394072345706</v>
      </c>
      <c r="E310" s="4">
        <v>0</v>
      </c>
      <c r="F310" s="5">
        <v>4.3040650932041702</v>
      </c>
      <c r="G310" s="4">
        <v>2</v>
      </c>
    </row>
    <row r="311" spans="1:7" x14ac:dyDescent="0.15">
      <c r="A311" s="4">
        <v>310</v>
      </c>
      <c r="B311" s="4">
        <v>0</v>
      </c>
      <c r="D311" s="5">
        <v>9.7699561599116063</v>
      </c>
      <c r="E311" s="4">
        <v>0</v>
      </c>
      <c r="F311" s="5">
        <v>3.5263605246161616</v>
      </c>
      <c r="G311" s="4">
        <v>3</v>
      </c>
    </row>
    <row r="312" spans="1:7" x14ac:dyDescent="0.15">
      <c r="A312" s="4">
        <v>311</v>
      </c>
      <c r="B312" s="4">
        <v>3</v>
      </c>
      <c r="D312" s="5">
        <v>11.082142548877775</v>
      </c>
      <c r="E312" s="4">
        <v>1</v>
      </c>
      <c r="F312" s="5">
        <v>3.4965075614664802</v>
      </c>
      <c r="G312" s="4">
        <v>4</v>
      </c>
    </row>
    <row r="313" spans="1:7" x14ac:dyDescent="0.15">
      <c r="A313" s="4">
        <v>312</v>
      </c>
      <c r="B313" s="4">
        <v>0</v>
      </c>
      <c r="D313" s="5">
        <v>11.082142548877775</v>
      </c>
      <c r="E313" s="4">
        <v>0</v>
      </c>
      <c r="F313" s="5">
        <v>3.9318256327243257</v>
      </c>
      <c r="G313" s="4">
        <v>4</v>
      </c>
    </row>
    <row r="314" spans="1:7" x14ac:dyDescent="0.15">
      <c r="A314" s="4">
        <v>313</v>
      </c>
      <c r="B314" s="4">
        <v>0</v>
      </c>
      <c r="D314" s="5">
        <v>10.915088464214607</v>
      </c>
      <c r="E314" s="4">
        <v>1</v>
      </c>
      <c r="F314" s="5">
        <v>3.3672958299864741</v>
      </c>
      <c r="G314" s="4">
        <v>2</v>
      </c>
    </row>
    <row r="315" spans="1:7" x14ac:dyDescent="0.15">
      <c r="A315" s="4">
        <v>314</v>
      </c>
      <c r="B315" s="4">
        <v>0</v>
      </c>
      <c r="D315" s="5">
        <v>10.657259354912508</v>
      </c>
      <c r="E315" s="4">
        <v>1</v>
      </c>
      <c r="F315" s="5">
        <v>3.2580965380214821</v>
      </c>
      <c r="G315" s="4">
        <v>2</v>
      </c>
    </row>
    <row r="316" spans="1:7" x14ac:dyDescent="0.15">
      <c r="A316" s="4">
        <v>315</v>
      </c>
      <c r="B316" s="4">
        <v>0</v>
      </c>
      <c r="D316" s="5">
        <v>11.082142548877775</v>
      </c>
      <c r="E316" s="4">
        <v>1</v>
      </c>
      <c r="F316" s="5">
        <v>3.5263605246161616</v>
      </c>
      <c r="G316" s="4">
        <v>4</v>
      </c>
    </row>
    <row r="317" spans="1:7" x14ac:dyDescent="0.15">
      <c r="A317" s="4">
        <v>316</v>
      </c>
      <c r="B317" s="4">
        <v>0</v>
      </c>
      <c r="D317" s="5">
        <v>10.915088464214607</v>
      </c>
      <c r="E317" s="4">
        <v>0</v>
      </c>
      <c r="F317" s="5">
        <v>4.1896547420264252</v>
      </c>
      <c r="G317" s="4">
        <v>2</v>
      </c>
    </row>
    <row r="318" spans="1:7" x14ac:dyDescent="0.15">
      <c r="A318" s="4">
        <v>317</v>
      </c>
      <c r="B318" s="4">
        <v>0</v>
      </c>
      <c r="D318" s="5">
        <v>10.221941283654663</v>
      </c>
      <c r="E318" s="4">
        <v>0</v>
      </c>
      <c r="F318" s="5">
        <v>3.2958368660043291</v>
      </c>
      <c r="G318" s="4">
        <v>1</v>
      </c>
    </row>
    <row r="319" spans="1:7" x14ac:dyDescent="0.15">
      <c r="A319" s="4">
        <v>318</v>
      </c>
      <c r="B319" s="4">
        <v>2</v>
      </c>
      <c r="D319" s="5">
        <v>10.915088464214607</v>
      </c>
      <c r="E319" s="4">
        <v>0</v>
      </c>
      <c r="F319" s="5">
        <v>4.0430512678345503</v>
      </c>
      <c r="G319" s="4">
        <v>5</v>
      </c>
    </row>
    <row r="320" spans="1:7" x14ac:dyDescent="0.15">
      <c r="A320" s="4">
        <v>319</v>
      </c>
      <c r="B320" s="4">
        <v>0</v>
      </c>
      <c r="D320" s="5">
        <v>11.379394072345706</v>
      </c>
      <c r="E320" s="4">
        <v>1</v>
      </c>
      <c r="F320" s="5">
        <v>3.9512437185814275</v>
      </c>
      <c r="G320" s="4">
        <v>2</v>
      </c>
    </row>
    <row r="321" spans="1:7" x14ac:dyDescent="0.15">
      <c r="A321" s="4">
        <v>320</v>
      </c>
      <c r="B321" s="4">
        <v>3</v>
      </c>
      <c r="D321" s="5">
        <v>10.915088464214607</v>
      </c>
      <c r="E321" s="4">
        <v>1</v>
      </c>
      <c r="F321" s="5">
        <v>3.6375861597263857</v>
      </c>
      <c r="G321" s="4">
        <v>2</v>
      </c>
    </row>
    <row r="322" spans="1:7" x14ac:dyDescent="0.15">
      <c r="A322" s="4">
        <v>321</v>
      </c>
      <c r="B322" s="4">
        <v>1</v>
      </c>
      <c r="D322" s="5">
        <v>11.379394072345706</v>
      </c>
      <c r="E322" s="4">
        <v>1</v>
      </c>
      <c r="F322" s="5">
        <v>4.1588830833596715</v>
      </c>
      <c r="G322" s="4">
        <v>2</v>
      </c>
    </row>
    <row r="323" spans="1:7" x14ac:dyDescent="0.15">
      <c r="A323" s="4">
        <v>322</v>
      </c>
      <c r="B323" s="4">
        <v>28</v>
      </c>
      <c r="D323" s="5">
        <v>11.736069016284437</v>
      </c>
      <c r="E323" s="4">
        <v>0</v>
      </c>
      <c r="F323" s="5">
        <v>3.7376696182833684</v>
      </c>
      <c r="G323" s="4">
        <v>2</v>
      </c>
    </row>
    <row r="324" spans="1:7" x14ac:dyDescent="0.15">
      <c r="A324" s="4">
        <v>323</v>
      </c>
      <c r="B324" s="4">
        <v>0</v>
      </c>
      <c r="D324" s="5">
        <v>10.915088464214607</v>
      </c>
      <c r="E324" s="4">
        <v>0</v>
      </c>
      <c r="F324" s="5">
        <v>3.713572066704308</v>
      </c>
      <c r="G324" s="4">
        <v>1</v>
      </c>
    </row>
    <row r="325" spans="1:7" x14ac:dyDescent="0.15">
      <c r="A325" s="4">
        <v>324</v>
      </c>
      <c r="B325" s="4">
        <v>0</v>
      </c>
      <c r="D325" s="5">
        <v>11.191341840842766</v>
      </c>
      <c r="E325" s="4">
        <v>1</v>
      </c>
      <c r="F325" s="5">
        <v>3.6635616461296463</v>
      </c>
      <c r="G325" s="4">
        <v>3</v>
      </c>
    </row>
    <row r="326" spans="1:7" x14ac:dyDescent="0.15">
      <c r="A326" s="4">
        <v>325</v>
      </c>
      <c r="B326" s="4">
        <v>1</v>
      </c>
      <c r="D326" s="5">
        <v>11.082142548877775</v>
      </c>
      <c r="E326" s="4">
        <v>0</v>
      </c>
      <c r="F326" s="5">
        <v>3.784189633918261</v>
      </c>
      <c r="G326" s="4">
        <v>1</v>
      </c>
    </row>
    <row r="327" spans="1:7" x14ac:dyDescent="0.15">
      <c r="A327" s="4">
        <v>326</v>
      </c>
      <c r="B327" s="4">
        <v>0</v>
      </c>
      <c r="D327" s="5">
        <v>10.388995368317829</v>
      </c>
      <c r="E327" s="4">
        <v>0</v>
      </c>
      <c r="F327" s="5">
        <v>3.5553480614894135</v>
      </c>
      <c r="G327" s="4">
        <v>1</v>
      </c>
    </row>
    <row r="328" spans="1:7" x14ac:dyDescent="0.15">
      <c r="A328" s="4">
        <v>327</v>
      </c>
      <c r="B328" s="4">
        <v>0</v>
      </c>
      <c r="D328" s="5">
        <v>10.768484990022733</v>
      </c>
      <c r="E328" s="4">
        <v>1</v>
      </c>
      <c r="F328" s="5">
        <v>3.6375861597263857</v>
      </c>
      <c r="G328" s="4">
        <v>3</v>
      </c>
    </row>
    <row r="329" spans="1:7" x14ac:dyDescent="0.15">
      <c r="A329" s="4">
        <v>328</v>
      </c>
      <c r="B329" s="4">
        <v>1</v>
      </c>
      <c r="D329" s="5">
        <v>10.768484990022733</v>
      </c>
      <c r="E329" s="4">
        <v>1</v>
      </c>
      <c r="F329" s="5">
        <v>2.4849066497880004</v>
      </c>
      <c r="G329" s="4">
        <v>3</v>
      </c>
    </row>
    <row r="330" spans="1:7" x14ac:dyDescent="0.15">
      <c r="A330" s="4">
        <v>329</v>
      </c>
      <c r="B330" s="4">
        <v>1</v>
      </c>
      <c r="D330" s="5">
        <v>10.768484990022733</v>
      </c>
      <c r="E330" s="4">
        <v>0</v>
      </c>
      <c r="F330" s="5">
        <v>3.9889840465642745</v>
      </c>
      <c r="G330" s="4">
        <v>3</v>
      </c>
    </row>
    <row r="331" spans="1:7" x14ac:dyDescent="0.15">
      <c r="A331" s="4">
        <v>330</v>
      </c>
      <c r="B331" s="4">
        <v>0</v>
      </c>
      <c r="D331" s="5">
        <v>10.915088464214607</v>
      </c>
      <c r="E331" s="4">
        <v>1</v>
      </c>
      <c r="F331" s="5">
        <v>3.1780538303479458</v>
      </c>
      <c r="G331" s="4">
        <v>3</v>
      </c>
    </row>
    <row r="332" spans="1:7" x14ac:dyDescent="0.15">
      <c r="A332" s="4">
        <v>331</v>
      </c>
      <c r="B332" s="4">
        <v>1</v>
      </c>
      <c r="D332" s="5">
        <v>10.221941283654663</v>
      </c>
      <c r="E332" s="4">
        <v>1</v>
      </c>
      <c r="F332" s="5">
        <v>3.9512437185814275</v>
      </c>
      <c r="G332" s="4">
        <v>1</v>
      </c>
    </row>
    <row r="333" spans="1:7" x14ac:dyDescent="0.15">
      <c r="A333" s="4">
        <v>332</v>
      </c>
      <c r="B333" s="4">
        <v>0</v>
      </c>
      <c r="D333" s="5">
        <v>10.915088464214607</v>
      </c>
      <c r="E333" s="4">
        <v>1</v>
      </c>
      <c r="F333" s="5">
        <v>3.4339872044851463</v>
      </c>
      <c r="G333" s="4">
        <v>2</v>
      </c>
    </row>
    <row r="334" spans="1:7" x14ac:dyDescent="0.15">
      <c r="A334" s="4">
        <v>333</v>
      </c>
      <c r="B334" s="4">
        <v>0</v>
      </c>
      <c r="D334" s="5">
        <v>11.379394072345706</v>
      </c>
      <c r="E334" s="4">
        <v>1</v>
      </c>
      <c r="F334" s="5">
        <v>3.4011973816621555</v>
      </c>
      <c r="G334" s="4">
        <v>2</v>
      </c>
    </row>
    <row r="335" spans="1:7" x14ac:dyDescent="0.15">
      <c r="A335" s="4">
        <v>334</v>
      </c>
      <c r="B335" s="4">
        <v>2</v>
      </c>
      <c r="D335" s="5">
        <v>11.379394072345706</v>
      </c>
      <c r="E335" s="4">
        <v>1</v>
      </c>
      <c r="F335" s="5">
        <v>3.7376696182833684</v>
      </c>
      <c r="G335" s="4">
        <v>2</v>
      </c>
    </row>
    <row r="336" spans="1:7" x14ac:dyDescent="0.15">
      <c r="A336" s="4">
        <v>335</v>
      </c>
      <c r="B336" s="4">
        <v>1</v>
      </c>
      <c r="D336" s="5">
        <v>10.532096211958502</v>
      </c>
      <c r="E336" s="4">
        <v>0</v>
      </c>
      <c r="F336" s="5">
        <v>3.8286413964890951</v>
      </c>
      <c r="G336" s="4">
        <v>1</v>
      </c>
    </row>
    <row r="337" spans="1:7" x14ac:dyDescent="0.15">
      <c r="A337" s="4">
        <v>336</v>
      </c>
      <c r="B337" s="4">
        <v>0</v>
      </c>
      <c r="D337" s="5">
        <v>10.915088464214607</v>
      </c>
      <c r="E337" s="4">
        <v>1</v>
      </c>
      <c r="F337" s="5">
        <v>3.5553480614894135</v>
      </c>
      <c r="G337" s="4">
        <v>1</v>
      </c>
    </row>
    <row r="338" spans="1:7" x14ac:dyDescent="0.15">
      <c r="A338" s="4">
        <v>337</v>
      </c>
      <c r="B338" s="4">
        <v>0</v>
      </c>
      <c r="D338" s="5">
        <v>11.191341840842766</v>
      </c>
      <c r="E338" s="4">
        <v>0</v>
      </c>
      <c r="F338" s="5">
        <v>3.8501476017100584</v>
      </c>
      <c r="G338" s="4">
        <v>3</v>
      </c>
    </row>
    <row r="339" spans="1:7" x14ac:dyDescent="0.15">
      <c r="A339" s="4">
        <v>338</v>
      </c>
      <c r="B339" s="4">
        <v>0</v>
      </c>
      <c r="D339" s="5">
        <v>10.657259354912508</v>
      </c>
      <c r="E339" s="4">
        <v>1</v>
      </c>
      <c r="F339" s="5">
        <v>3.912023005428146</v>
      </c>
      <c r="G339" s="4">
        <v>2</v>
      </c>
    </row>
    <row r="340" spans="1:7" x14ac:dyDescent="0.15">
      <c r="A340" s="4">
        <v>339</v>
      </c>
      <c r="B340" s="4">
        <v>0</v>
      </c>
      <c r="D340" s="5">
        <v>10.915088464214607</v>
      </c>
      <c r="E340" s="4">
        <v>1</v>
      </c>
      <c r="F340" s="5">
        <v>2.6390573296152584</v>
      </c>
      <c r="G340" s="4">
        <v>3</v>
      </c>
    </row>
    <row r="341" spans="1:7" x14ac:dyDescent="0.15">
      <c r="A341" s="4">
        <v>340</v>
      </c>
      <c r="B341" s="4">
        <v>0</v>
      </c>
      <c r="D341" s="5">
        <v>11.191341840842766</v>
      </c>
      <c r="E341" s="4">
        <v>0</v>
      </c>
      <c r="F341" s="5">
        <v>3.8066624897703196</v>
      </c>
      <c r="G341" s="4">
        <v>3</v>
      </c>
    </row>
    <row r="342" spans="1:7" x14ac:dyDescent="0.15">
      <c r="A342" s="4">
        <v>341</v>
      </c>
      <c r="B342" s="4">
        <v>0</v>
      </c>
      <c r="D342" s="5">
        <v>10.915088464214607</v>
      </c>
      <c r="E342" s="4">
        <v>1</v>
      </c>
      <c r="F342" s="5">
        <v>3.6109179126442243</v>
      </c>
      <c r="G342" s="4">
        <v>2</v>
      </c>
    </row>
    <row r="343" spans="1:7" x14ac:dyDescent="0.15">
      <c r="A343" s="4">
        <v>342</v>
      </c>
      <c r="B343" s="4">
        <v>1</v>
      </c>
      <c r="D343" s="5">
        <v>11.736069016284437</v>
      </c>
      <c r="E343" s="4">
        <v>1</v>
      </c>
      <c r="F343" s="5">
        <v>3.4965075614664802</v>
      </c>
      <c r="G343" s="4">
        <v>2</v>
      </c>
    </row>
    <row r="344" spans="1:7" x14ac:dyDescent="0.15">
      <c r="A344" s="4">
        <v>343</v>
      </c>
      <c r="B344" s="4">
        <v>0</v>
      </c>
      <c r="D344" s="5">
        <v>11.082142548877775</v>
      </c>
      <c r="E344" s="4">
        <v>1</v>
      </c>
      <c r="F344" s="5">
        <v>4.0253516907351496</v>
      </c>
      <c r="G344" s="4">
        <v>1</v>
      </c>
    </row>
    <row r="345" spans="1:7" x14ac:dyDescent="0.15">
      <c r="A345" s="4">
        <v>344</v>
      </c>
      <c r="B345" s="4">
        <v>0</v>
      </c>
      <c r="D345" s="5">
        <v>11.736069016284437</v>
      </c>
      <c r="E345" s="4">
        <v>0</v>
      </c>
      <c r="F345" s="5">
        <v>4.1271343850450917</v>
      </c>
      <c r="G345" s="4">
        <v>2</v>
      </c>
    </row>
    <row r="346" spans="1:7" x14ac:dyDescent="0.15">
      <c r="A346" s="4">
        <v>345</v>
      </c>
      <c r="B346" s="4">
        <v>0</v>
      </c>
      <c r="D346" s="5">
        <v>11.191341840842766</v>
      </c>
      <c r="E346" s="4">
        <v>1</v>
      </c>
      <c r="F346" s="5">
        <v>3.7612001156935624</v>
      </c>
      <c r="G346" s="4">
        <v>2</v>
      </c>
    </row>
    <row r="347" spans="1:7" x14ac:dyDescent="0.15">
      <c r="A347" s="4">
        <v>346</v>
      </c>
      <c r="B347" s="4">
        <v>1</v>
      </c>
      <c r="D347" s="5">
        <v>11.191341840842766</v>
      </c>
      <c r="E347" s="4">
        <v>1</v>
      </c>
      <c r="F347" s="5">
        <v>2.7080502011022101</v>
      </c>
      <c r="G347" s="4">
        <v>3</v>
      </c>
    </row>
    <row r="348" spans="1:7" x14ac:dyDescent="0.15">
      <c r="A348" s="4">
        <v>347</v>
      </c>
      <c r="B348" s="4">
        <v>0</v>
      </c>
      <c r="D348" s="5">
        <v>11.379394072345706</v>
      </c>
      <c r="E348" s="4">
        <v>1</v>
      </c>
      <c r="F348" s="5">
        <v>2.7725887222397811</v>
      </c>
      <c r="G348" s="4">
        <v>4</v>
      </c>
    </row>
    <row r="349" spans="1:7" x14ac:dyDescent="0.15">
      <c r="A349" s="4">
        <v>348</v>
      </c>
      <c r="B349" s="4">
        <v>0</v>
      </c>
      <c r="D349" s="5">
        <v>11.379394072345706</v>
      </c>
      <c r="E349" s="4">
        <v>1</v>
      </c>
      <c r="F349" s="5">
        <v>2.4849066497880004</v>
      </c>
      <c r="G349" s="4">
        <v>4</v>
      </c>
    </row>
    <row r="350" spans="1:7" x14ac:dyDescent="0.15">
      <c r="A350" s="4">
        <v>349</v>
      </c>
      <c r="B350" s="4">
        <v>0</v>
      </c>
      <c r="D350" s="5">
        <v>11.379394072345706</v>
      </c>
      <c r="E350" s="4">
        <v>0</v>
      </c>
      <c r="F350" s="5">
        <v>4.3174881135363101</v>
      </c>
      <c r="G350" s="4">
        <v>2</v>
      </c>
    </row>
    <row r="351" spans="1:7" x14ac:dyDescent="0.15">
      <c r="A351" s="4">
        <v>350</v>
      </c>
      <c r="B351" s="4">
        <v>0</v>
      </c>
      <c r="D351" s="5">
        <v>10.915088464214607</v>
      </c>
      <c r="E351" s="4">
        <v>1</v>
      </c>
      <c r="F351" s="5">
        <v>3.970291913552122</v>
      </c>
      <c r="G351" s="4">
        <v>2</v>
      </c>
    </row>
    <row r="352" spans="1:7" x14ac:dyDescent="0.15">
      <c r="A352" s="4">
        <v>351</v>
      </c>
      <c r="B352" s="4">
        <v>0</v>
      </c>
      <c r="D352" s="5">
        <v>11.082142548877775</v>
      </c>
      <c r="E352" s="4">
        <v>1</v>
      </c>
      <c r="F352" s="5">
        <v>4.0604430105464191</v>
      </c>
      <c r="G352" s="4">
        <v>3</v>
      </c>
    </row>
    <row r="353" spans="1:7" x14ac:dyDescent="0.15">
      <c r="A353" s="4">
        <v>352</v>
      </c>
      <c r="B353" s="4">
        <v>0</v>
      </c>
      <c r="D353" s="5">
        <v>11.191341840842766</v>
      </c>
      <c r="E353" s="4">
        <v>0</v>
      </c>
      <c r="F353" s="5">
        <v>3.912023005428146</v>
      </c>
      <c r="G353" s="4">
        <v>3</v>
      </c>
    </row>
    <row r="354" spans="1:7" x14ac:dyDescent="0.15">
      <c r="A354" s="4">
        <v>353</v>
      </c>
      <c r="B354" s="4">
        <v>4</v>
      </c>
      <c r="D354" s="5">
        <v>10.388995368317829</v>
      </c>
      <c r="E354" s="4">
        <v>1</v>
      </c>
      <c r="F354" s="5">
        <v>3.4965075614664802</v>
      </c>
      <c r="G354" s="4">
        <v>2</v>
      </c>
    </row>
    <row r="355" spans="1:7" x14ac:dyDescent="0.15">
      <c r="A355" s="4">
        <v>354</v>
      </c>
      <c r="B355" s="4">
        <v>0</v>
      </c>
      <c r="D355" s="5">
        <v>10.915088464214607</v>
      </c>
      <c r="E355" s="4">
        <v>0</v>
      </c>
      <c r="F355" s="5">
        <v>3.6375861597263857</v>
      </c>
      <c r="G355" s="4">
        <v>2</v>
      </c>
    </row>
    <row r="356" spans="1:7" x14ac:dyDescent="0.15">
      <c r="A356" s="4">
        <v>355</v>
      </c>
      <c r="B356" s="4">
        <v>15</v>
      </c>
      <c r="D356" s="5">
        <v>11.082142548877775</v>
      </c>
      <c r="E356" s="4">
        <v>1</v>
      </c>
      <c r="F356" s="5">
        <v>3.8066624897703196</v>
      </c>
      <c r="G356" s="4">
        <v>4</v>
      </c>
    </row>
    <row r="357" spans="1:7" x14ac:dyDescent="0.15">
      <c r="A357" s="4">
        <v>356</v>
      </c>
      <c r="B357" s="4">
        <v>12</v>
      </c>
      <c r="D357" s="5">
        <v>11.082142548877775</v>
      </c>
      <c r="E357" s="4">
        <v>0</v>
      </c>
      <c r="F357" s="5">
        <v>3.784189633918261</v>
      </c>
      <c r="G357" s="4">
        <v>4</v>
      </c>
    </row>
    <row r="358" spans="1:7" x14ac:dyDescent="0.15">
      <c r="A358" s="4">
        <v>357</v>
      </c>
      <c r="B358" s="4">
        <v>0</v>
      </c>
      <c r="D358" s="5">
        <v>10.915088464214607</v>
      </c>
      <c r="E358" s="4">
        <v>0</v>
      </c>
      <c r="F358" s="5">
        <v>3.970291913552122</v>
      </c>
      <c r="G358" s="4">
        <v>3</v>
      </c>
    </row>
    <row r="359" spans="1:7" x14ac:dyDescent="0.15">
      <c r="A359" s="4">
        <v>358</v>
      </c>
      <c r="B359" s="4">
        <v>4</v>
      </c>
      <c r="D359" s="5">
        <v>10.768484990022733</v>
      </c>
      <c r="E359" s="4">
        <v>0</v>
      </c>
      <c r="F359" s="5">
        <v>3.5553480614894135</v>
      </c>
      <c r="G359" s="4">
        <v>6</v>
      </c>
    </row>
    <row r="360" spans="1:7" x14ac:dyDescent="0.15">
      <c r="A360" s="4">
        <v>359</v>
      </c>
      <c r="B360" s="4">
        <v>0</v>
      </c>
      <c r="D360" s="5">
        <v>11.736069016284437</v>
      </c>
      <c r="E360" s="4">
        <v>0</v>
      </c>
      <c r="F360" s="5">
        <v>3.8712010109078911</v>
      </c>
      <c r="G360" s="4">
        <v>5</v>
      </c>
    </row>
    <row r="361" spans="1:7" x14ac:dyDescent="0.15">
      <c r="A361" s="4">
        <v>360</v>
      </c>
      <c r="B361" s="4">
        <v>1</v>
      </c>
      <c r="D361" s="5">
        <v>11.736069016284437</v>
      </c>
      <c r="E361" s="4">
        <v>0</v>
      </c>
      <c r="F361" s="5">
        <v>4.2341065045972597</v>
      </c>
      <c r="G361" s="4">
        <v>2</v>
      </c>
    </row>
    <row r="362" spans="1:7" x14ac:dyDescent="0.15">
      <c r="A362" s="4">
        <v>361</v>
      </c>
      <c r="B362" s="4">
        <v>0</v>
      </c>
      <c r="D362" s="5">
        <v>10.915088464214607</v>
      </c>
      <c r="E362" s="4">
        <v>1</v>
      </c>
      <c r="F362" s="5">
        <v>3.7612001156935624</v>
      </c>
      <c r="G362" s="4">
        <v>1</v>
      </c>
    </row>
    <row r="363" spans="1:7" x14ac:dyDescent="0.15">
      <c r="A363" s="4">
        <v>362</v>
      </c>
      <c r="B363" s="4">
        <v>0</v>
      </c>
      <c r="D363" s="5">
        <v>11.191341840842766</v>
      </c>
      <c r="E363" s="4">
        <v>0</v>
      </c>
      <c r="F363" s="5">
        <v>3.9889840465642745</v>
      </c>
      <c r="G363" s="4">
        <v>4</v>
      </c>
    </row>
    <row r="364" spans="1:7" x14ac:dyDescent="0.15">
      <c r="A364" s="4">
        <v>363</v>
      </c>
      <c r="B364" s="4">
        <v>0</v>
      </c>
      <c r="D364" s="5">
        <v>10.532096211958502</v>
      </c>
      <c r="E364" s="4">
        <v>1</v>
      </c>
      <c r="F364" s="5">
        <v>2.7080502011022101</v>
      </c>
      <c r="G364" s="4">
        <v>5</v>
      </c>
    </row>
    <row r="365" spans="1:7" x14ac:dyDescent="0.15">
      <c r="A365" s="4">
        <v>364</v>
      </c>
      <c r="B365" s="4">
        <v>0</v>
      </c>
      <c r="D365" s="5">
        <v>10.532096211958502</v>
      </c>
      <c r="E365" s="4">
        <v>0</v>
      </c>
      <c r="F365" s="5">
        <v>3.6375861597263857</v>
      </c>
      <c r="G365" s="4">
        <v>5</v>
      </c>
    </row>
    <row r="366" spans="1:7" x14ac:dyDescent="0.15">
      <c r="A366" s="4">
        <v>365</v>
      </c>
      <c r="B366" s="4">
        <v>0</v>
      </c>
      <c r="D366" s="5">
        <v>10.221941283654663</v>
      </c>
      <c r="E366" s="4">
        <v>1</v>
      </c>
      <c r="F366" s="5">
        <v>3.2580965380214821</v>
      </c>
      <c r="G366" s="4">
        <v>2</v>
      </c>
    </row>
    <row r="367" spans="1:7" x14ac:dyDescent="0.15">
      <c r="A367" s="4">
        <v>366</v>
      </c>
      <c r="B367" s="4">
        <v>0</v>
      </c>
      <c r="D367" s="5">
        <v>11.736069016284437</v>
      </c>
      <c r="E367" s="4">
        <v>1</v>
      </c>
      <c r="F367" s="5">
        <v>3.8286413964890951</v>
      </c>
      <c r="G367" s="4">
        <v>3</v>
      </c>
    </row>
    <row r="368" spans="1:7" x14ac:dyDescent="0.15">
      <c r="A368" s="4">
        <v>367</v>
      </c>
      <c r="B368" s="4">
        <v>1</v>
      </c>
      <c r="D368" s="5">
        <v>10.657259354912508</v>
      </c>
      <c r="E368" s="4">
        <v>1</v>
      </c>
      <c r="F368" s="5">
        <v>3.6109179126442243</v>
      </c>
      <c r="G368" s="4">
        <v>4</v>
      </c>
    </row>
    <row r="369" spans="1:7" x14ac:dyDescent="0.15">
      <c r="A369" s="4">
        <v>368</v>
      </c>
      <c r="B369" s="4">
        <v>2</v>
      </c>
      <c r="D369" s="5">
        <v>11.082142548877775</v>
      </c>
      <c r="E369" s="4">
        <v>1</v>
      </c>
      <c r="F369" s="5">
        <v>3.9889840465642745</v>
      </c>
      <c r="G369" s="4">
        <v>2</v>
      </c>
    </row>
    <row r="370" spans="1:7" x14ac:dyDescent="0.15">
      <c r="A370" s="4">
        <v>369</v>
      </c>
      <c r="B370" s="4">
        <v>2</v>
      </c>
      <c r="D370" s="5">
        <v>10.768484990022733</v>
      </c>
      <c r="E370" s="4">
        <v>1</v>
      </c>
      <c r="F370" s="5">
        <v>3.6635616461296463</v>
      </c>
      <c r="G370" s="4">
        <v>3</v>
      </c>
    </row>
    <row r="371" spans="1:7" x14ac:dyDescent="0.15">
      <c r="A371" s="4">
        <v>370</v>
      </c>
      <c r="B371" s="4">
        <v>0</v>
      </c>
      <c r="D371" s="5">
        <v>10.768484990022733</v>
      </c>
      <c r="E371" s="4">
        <v>1</v>
      </c>
      <c r="F371" s="5">
        <v>3.7376696182833684</v>
      </c>
      <c r="G371" s="4">
        <v>4</v>
      </c>
    </row>
    <row r="372" spans="1:7" x14ac:dyDescent="0.15">
      <c r="A372" s="4">
        <v>371</v>
      </c>
      <c r="B372" s="4">
        <v>0</v>
      </c>
      <c r="D372" s="5">
        <v>11.379394072345706</v>
      </c>
      <c r="E372" s="4">
        <v>0</v>
      </c>
      <c r="F372" s="5">
        <v>3.9889840465642745</v>
      </c>
      <c r="G372" s="4">
        <v>3</v>
      </c>
    </row>
    <row r="373" spans="1:7" x14ac:dyDescent="0.15">
      <c r="A373" s="4">
        <v>372</v>
      </c>
      <c r="B373" s="4">
        <v>0</v>
      </c>
      <c r="D373" s="5">
        <v>11.379394072345706</v>
      </c>
      <c r="E373" s="4">
        <v>1</v>
      </c>
      <c r="F373" s="5">
        <v>3.6888794541139363</v>
      </c>
      <c r="G373" s="4">
        <v>5</v>
      </c>
    </row>
    <row r="374" spans="1:7" x14ac:dyDescent="0.15">
      <c r="A374" s="4">
        <v>373</v>
      </c>
      <c r="B374" s="4">
        <v>0</v>
      </c>
      <c r="D374" s="5">
        <v>10.915088464214607</v>
      </c>
      <c r="E374" s="4">
        <v>1</v>
      </c>
      <c r="F374" s="5">
        <v>3.6375861597263857</v>
      </c>
      <c r="G374" s="4">
        <v>2</v>
      </c>
    </row>
    <row r="375" spans="1:7" x14ac:dyDescent="0.15">
      <c r="A375" s="4">
        <v>374</v>
      </c>
      <c r="B375" s="4">
        <v>25</v>
      </c>
      <c r="D375" s="5">
        <v>10.221941283654663</v>
      </c>
      <c r="E375" s="4">
        <v>1</v>
      </c>
      <c r="F375" s="5">
        <v>3.713572066704308</v>
      </c>
      <c r="G375" s="4">
        <v>4</v>
      </c>
    </row>
    <row r="376" spans="1:7" x14ac:dyDescent="0.15">
      <c r="A376" s="4">
        <v>375</v>
      </c>
      <c r="B376" s="4">
        <v>0</v>
      </c>
      <c r="D376" s="5">
        <v>10.915088464214607</v>
      </c>
      <c r="E376" s="4">
        <v>1</v>
      </c>
      <c r="F376" s="5">
        <v>3.8286413964890951</v>
      </c>
      <c r="G376" s="4">
        <v>3</v>
      </c>
    </row>
    <row r="377" spans="1:7" x14ac:dyDescent="0.15">
      <c r="A377" s="4">
        <v>376</v>
      </c>
      <c r="B377" s="4">
        <v>0</v>
      </c>
      <c r="D377" s="5">
        <v>11.379394072345706</v>
      </c>
      <c r="E377" s="4">
        <v>0</v>
      </c>
      <c r="F377" s="5">
        <v>3.970291913552122</v>
      </c>
      <c r="G377" s="4">
        <v>2</v>
      </c>
    </row>
    <row r="378" spans="1:7" x14ac:dyDescent="0.15">
      <c r="A378" s="4">
        <v>377</v>
      </c>
      <c r="B378" s="4">
        <v>0</v>
      </c>
      <c r="D378" s="5">
        <v>12.072541252905651</v>
      </c>
      <c r="E378" s="4">
        <v>1</v>
      </c>
      <c r="F378" s="5">
        <v>3.8712010109078911</v>
      </c>
      <c r="G378" s="4">
        <v>2</v>
      </c>
    </row>
    <row r="379" spans="1:7" x14ac:dyDescent="0.15">
      <c r="A379" s="4">
        <v>378</v>
      </c>
      <c r="B379" s="4">
        <v>1</v>
      </c>
      <c r="D379" s="5">
        <v>10.915088464214607</v>
      </c>
      <c r="E379" s="4">
        <v>1</v>
      </c>
      <c r="F379" s="5">
        <v>4.0943445622221004</v>
      </c>
      <c r="G379" s="4">
        <v>2</v>
      </c>
    </row>
    <row r="380" spans="1:7" x14ac:dyDescent="0.15">
      <c r="A380" s="4">
        <v>379</v>
      </c>
      <c r="B380" s="4">
        <v>0</v>
      </c>
      <c r="D380" s="5">
        <v>11.379394072345706</v>
      </c>
      <c r="E380" s="4">
        <v>1</v>
      </c>
      <c r="F380" s="5">
        <v>3.6109179126442243</v>
      </c>
      <c r="G380" s="4">
        <v>2</v>
      </c>
    </row>
    <row r="381" spans="1:7" x14ac:dyDescent="0.15">
      <c r="A381" s="4">
        <v>380</v>
      </c>
      <c r="B381" s="4">
        <v>0</v>
      </c>
      <c r="D381" s="5">
        <v>11.379394072345706</v>
      </c>
      <c r="E381" s="4">
        <v>0</v>
      </c>
      <c r="F381" s="5">
        <v>3.912023005428146</v>
      </c>
      <c r="G381" s="4">
        <v>2</v>
      </c>
    </row>
    <row r="382" spans="1:7" x14ac:dyDescent="0.15">
      <c r="A382" s="4">
        <v>381</v>
      </c>
      <c r="B382" s="4">
        <v>0</v>
      </c>
      <c r="D382" s="5">
        <v>11.082142548877775</v>
      </c>
      <c r="E382" s="4">
        <v>1</v>
      </c>
      <c r="F382" s="5">
        <v>3.7376696182833684</v>
      </c>
      <c r="G382" s="4">
        <v>3</v>
      </c>
    </row>
    <row r="383" spans="1:7" x14ac:dyDescent="0.15">
      <c r="A383" s="4">
        <v>382</v>
      </c>
      <c r="B383" s="4">
        <v>0</v>
      </c>
      <c r="D383" s="5">
        <v>11.082142548877775</v>
      </c>
      <c r="E383" s="4">
        <v>0</v>
      </c>
      <c r="F383" s="5">
        <v>3.8918202981106265</v>
      </c>
      <c r="G383" s="4">
        <v>3</v>
      </c>
    </row>
    <row r="384" spans="1:7" x14ac:dyDescent="0.15">
      <c r="A384" s="4">
        <v>383</v>
      </c>
      <c r="B384" s="4">
        <v>3</v>
      </c>
      <c r="D384" s="5">
        <v>10.532096211958502</v>
      </c>
      <c r="E384" s="4">
        <v>1</v>
      </c>
      <c r="F384" s="5">
        <v>3.8918202981106265</v>
      </c>
      <c r="G384" s="4">
        <v>2</v>
      </c>
    </row>
    <row r="385" spans="1:7" x14ac:dyDescent="0.15">
      <c r="A385" s="4">
        <v>384</v>
      </c>
      <c r="B385" s="4">
        <v>0</v>
      </c>
      <c r="D385" s="5">
        <v>11.379394072345706</v>
      </c>
      <c r="E385" s="4">
        <v>1</v>
      </c>
      <c r="F385" s="5">
        <v>3.8066624897703196</v>
      </c>
      <c r="G385" s="4">
        <v>6</v>
      </c>
    </row>
    <row r="386" spans="1:7" x14ac:dyDescent="0.15">
      <c r="A386" s="4">
        <v>385</v>
      </c>
      <c r="B386" s="4">
        <v>0</v>
      </c>
      <c r="D386" s="5">
        <v>11.379394072345706</v>
      </c>
      <c r="E386" s="4">
        <v>0</v>
      </c>
      <c r="F386" s="5">
        <v>3.912023005428146</v>
      </c>
      <c r="G386" s="4">
        <v>6</v>
      </c>
    </row>
    <row r="387" spans="1:7" x14ac:dyDescent="0.15">
      <c r="A387" s="4">
        <v>386</v>
      </c>
      <c r="B387" s="4">
        <v>1</v>
      </c>
      <c r="D387" s="5">
        <v>11.379394072345706</v>
      </c>
      <c r="E387" s="4">
        <v>0</v>
      </c>
      <c r="F387" s="5">
        <v>2.6390573296152584</v>
      </c>
      <c r="G387" s="4">
        <v>6</v>
      </c>
    </row>
    <row r="388" spans="1:7" x14ac:dyDescent="0.15">
      <c r="A388" s="4">
        <v>387</v>
      </c>
      <c r="B388" s="4">
        <v>1</v>
      </c>
      <c r="D388" s="5">
        <v>11.379394072345706</v>
      </c>
      <c r="E388" s="4">
        <v>0</v>
      </c>
      <c r="F388" s="5">
        <v>2.4849066497880004</v>
      </c>
      <c r="G388" s="4">
        <v>6</v>
      </c>
    </row>
    <row r="389" spans="1:7" x14ac:dyDescent="0.15">
      <c r="A389" s="4">
        <v>388</v>
      </c>
      <c r="B389" s="4">
        <v>0</v>
      </c>
      <c r="D389" s="5">
        <v>11.736069016284437</v>
      </c>
      <c r="E389" s="4">
        <v>0</v>
      </c>
      <c r="F389" s="5">
        <v>3.7376696182833684</v>
      </c>
      <c r="G389" s="4">
        <v>4</v>
      </c>
    </row>
    <row r="390" spans="1:7" x14ac:dyDescent="0.15">
      <c r="A390" s="4">
        <v>389</v>
      </c>
      <c r="B390" s="4">
        <v>0</v>
      </c>
      <c r="D390" s="5">
        <v>11.191341840842766</v>
      </c>
      <c r="E390" s="4">
        <v>1</v>
      </c>
      <c r="F390" s="5">
        <v>3.713572066704308</v>
      </c>
      <c r="G390" s="4">
        <v>2</v>
      </c>
    </row>
    <row r="391" spans="1:7" x14ac:dyDescent="0.15">
      <c r="A391" s="4">
        <v>390</v>
      </c>
      <c r="B391" s="4">
        <v>0</v>
      </c>
      <c r="D391" s="5">
        <v>10.021270588192511</v>
      </c>
      <c r="E391" s="4">
        <v>1</v>
      </c>
      <c r="F391" s="5">
        <v>4.3694478524670215</v>
      </c>
      <c r="G391" s="4">
        <v>2</v>
      </c>
    </row>
    <row r="392" spans="1:7" x14ac:dyDescent="0.15">
      <c r="A392" s="4">
        <v>391</v>
      </c>
      <c r="B392" s="4">
        <v>0</v>
      </c>
      <c r="D392" s="5">
        <v>11.191341840842766</v>
      </c>
      <c r="E392" s="4">
        <v>1</v>
      </c>
      <c r="F392" s="5">
        <v>3.8286413964890951</v>
      </c>
      <c r="G392" s="4">
        <v>3</v>
      </c>
    </row>
    <row r="393" spans="1:7" x14ac:dyDescent="0.15">
      <c r="A393" s="4">
        <v>392</v>
      </c>
      <c r="B393" s="4">
        <v>0</v>
      </c>
      <c r="D393" s="5">
        <v>11.379394072345706</v>
      </c>
      <c r="E393" s="4">
        <v>1</v>
      </c>
      <c r="F393" s="5">
        <v>3.4965075614664802</v>
      </c>
      <c r="G393" s="4">
        <v>4</v>
      </c>
    </row>
    <row r="394" spans="1:7" x14ac:dyDescent="0.15">
      <c r="A394" s="4">
        <v>393</v>
      </c>
      <c r="B394" s="4">
        <v>0</v>
      </c>
      <c r="D394" s="5">
        <v>11.379394072345706</v>
      </c>
      <c r="E394" s="4">
        <v>0</v>
      </c>
      <c r="F394" s="5">
        <v>3.3672958299864741</v>
      </c>
      <c r="G394" s="4">
        <v>4</v>
      </c>
    </row>
    <row r="395" spans="1:7" x14ac:dyDescent="0.15">
      <c r="A395" s="4">
        <v>394</v>
      </c>
      <c r="B395" s="4">
        <v>0</v>
      </c>
      <c r="D395" s="5">
        <v>10.915088464214607</v>
      </c>
      <c r="E395" s="4">
        <v>1</v>
      </c>
      <c r="F395" s="5">
        <v>4.0073331852324712</v>
      </c>
      <c r="G395" s="4">
        <v>3</v>
      </c>
    </row>
    <row r="396" spans="1:7" x14ac:dyDescent="0.15">
      <c r="A396" s="4">
        <v>395</v>
      </c>
      <c r="B396" s="4">
        <v>0</v>
      </c>
      <c r="D396" s="5">
        <v>10.657259354912508</v>
      </c>
      <c r="E396" s="4">
        <v>1</v>
      </c>
      <c r="F396" s="5">
        <v>3.6635616461296463</v>
      </c>
      <c r="G396" s="4">
        <v>3</v>
      </c>
    </row>
    <row r="397" spans="1:7" x14ac:dyDescent="0.15">
      <c r="A397" s="4">
        <v>396</v>
      </c>
      <c r="B397" s="4">
        <v>1</v>
      </c>
      <c r="D397" s="5">
        <v>10.657259354912508</v>
      </c>
      <c r="E397" s="4">
        <v>0</v>
      </c>
      <c r="F397" s="5">
        <v>3.5835189384561099</v>
      </c>
      <c r="G397" s="4">
        <v>3</v>
      </c>
    </row>
    <row r="398" spans="1:7" x14ac:dyDescent="0.15">
      <c r="A398" s="4">
        <v>397</v>
      </c>
      <c r="B398" s="4">
        <v>0</v>
      </c>
      <c r="D398" s="5">
        <v>11.379394072345706</v>
      </c>
      <c r="E398" s="4">
        <v>1</v>
      </c>
      <c r="F398" s="5">
        <v>3.9889840465642745</v>
      </c>
      <c r="G398" s="4">
        <v>2</v>
      </c>
    </row>
    <row r="399" spans="1:7" x14ac:dyDescent="0.15">
      <c r="A399" s="4">
        <v>398</v>
      </c>
      <c r="B399" s="4">
        <v>0</v>
      </c>
      <c r="D399" s="5">
        <v>10.915088464214607</v>
      </c>
      <c r="E399" s="4">
        <v>1</v>
      </c>
      <c r="F399" s="5">
        <v>3.5835189384561099</v>
      </c>
      <c r="G399" s="4">
        <v>4</v>
      </c>
    </row>
    <row r="400" spans="1:7" x14ac:dyDescent="0.15">
      <c r="A400" s="4">
        <v>399</v>
      </c>
      <c r="B400" s="4">
        <v>2</v>
      </c>
      <c r="D400" s="5">
        <v>10.915088464214607</v>
      </c>
      <c r="E400" s="4">
        <v>0</v>
      </c>
      <c r="F400" s="5">
        <v>3.6109179126442243</v>
      </c>
      <c r="G400" s="4">
        <v>4</v>
      </c>
    </row>
    <row r="401" spans="1:7" x14ac:dyDescent="0.15">
      <c r="A401" s="4">
        <v>400</v>
      </c>
      <c r="B401" s="4">
        <v>0</v>
      </c>
      <c r="D401" s="5">
        <v>10.657259354912508</v>
      </c>
      <c r="E401" s="4">
        <v>1</v>
      </c>
      <c r="F401" s="5">
        <v>3.5835189384561099</v>
      </c>
      <c r="G401" s="4">
        <v>6</v>
      </c>
    </row>
    <row r="402" spans="1:7" x14ac:dyDescent="0.15">
      <c r="A402" s="4">
        <v>401</v>
      </c>
      <c r="B402" s="4">
        <v>0</v>
      </c>
      <c r="D402" s="5">
        <v>10.388995368317829</v>
      </c>
      <c r="E402" s="4">
        <v>1</v>
      </c>
      <c r="F402" s="5">
        <v>3.7612001156935624</v>
      </c>
      <c r="G402" s="4">
        <v>4</v>
      </c>
    </row>
    <row r="403" spans="1:7" x14ac:dyDescent="0.15">
      <c r="A403" s="4">
        <v>402</v>
      </c>
      <c r="B403" s="4">
        <v>5</v>
      </c>
      <c r="D403" s="5">
        <v>11.191341840842766</v>
      </c>
      <c r="E403" s="4">
        <v>1</v>
      </c>
      <c r="F403" s="5">
        <v>4.1271343850450917</v>
      </c>
      <c r="G403" s="4">
        <v>1</v>
      </c>
    </row>
    <row r="404" spans="1:7" x14ac:dyDescent="0.15">
      <c r="A404" s="4">
        <v>403</v>
      </c>
      <c r="B404" s="4">
        <v>0</v>
      </c>
      <c r="D404" s="5">
        <v>10.532096211958502</v>
      </c>
      <c r="E404" s="4">
        <v>1</v>
      </c>
      <c r="F404" s="5">
        <v>3.5553480614894135</v>
      </c>
      <c r="G404" s="4">
        <v>3</v>
      </c>
    </row>
    <row r="405" spans="1:7" x14ac:dyDescent="0.15">
      <c r="A405" s="4">
        <v>404</v>
      </c>
      <c r="B405" s="4">
        <v>0</v>
      </c>
      <c r="D405" s="5">
        <v>10.532096211958502</v>
      </c>
      <c r="E405" s="4">
        <v>0</v>
      </c>
      <c r="F405" s="5">
        <v>2.6390573296152584</v>
      </c>
      <c r="G405" s="4">
        <v>3</v>
      </c>
    </row>
    <row r="406" spans="1:7" x14ac:dyDescent="0.15">
      <c r="A406" s="4">
        <v>405</v>
      </c>
      <c r="B406" s="4">
        <v>4</v>
      </c>
      <c r="D406" s="5">
        <v>10.657259354912508</v>
      </c>
      <c r="E406" s="4">
        <v>1</v>
      </c>
      <c r="F406" s="5">
        <v>3.4011973816621555</v>
      </c>
      <c r="G406" s="4">
        <v>3</v>
      </c>
    </row>
    <row r="407" spans="1:7" x14ac:dyDescent="0.15">
      <c r="A407" s="4">
        <v>406</v>
      </c>
      <c r="B407" s="4">
        <v>0</v>
      </c>
      <c r="D407" s="5">
        <v>11.191341840842766</v>
      </c>
      <c r="E407" s="4">
        <v>0</v>
      </c>
      <c r="F407" s="5">
        <v>3.8286413964890951</v>
      </c>
      <c r="G407" s="4">
        <v>5</v>
      </c>
    </row>
    <row r="408" spans="1:7" x14ac:dyDescent="0.15">
      <c r="A408" s="4">
        <v>407</v>
      </c>
      <c r="B408" s="4">
        <v>0</v>
      </c>
      <c r="D408" s="5">
        <v>10.532096211958502</v>
      </c>
      <c r="E408" s="4">
        <v>1</v>
      </c>
      <c r="F408" s="5">
        <v>3.970291913552122</v>
      </c>
      <c r="G408" s="4">
        <v>2</v>
      </c>
    </row>
    <row r="409" spans="1:7" x14ac:dyDescent="0.15">
      <c r="A409" s="4">
        <v>408</v>
      </c>
      <c r="B409" s="4">
        <v>1</v>
      </c>
      <c r="D409" s="5">
        <v>10.221941283654663</v>
      </c>
      <c r="E409" s="4">
        <v>1</v>
      </c>
      <c r="F409" s="5">
        <v>4.0943445622221004</v>
      </c>
      <c r="G409" s="4">
        <v>2</v>
      </c>
    </row>
    <row r="410" spans="1:7" x14ac:dyDescent="0.15">
      <c r="A410" s="4">
        <v>409</v>
      </c>
      <c r="B410" s="4">
        <v>0</v>
      </c>
      <c r="D410" s="5">
        <v>10.388995368317829</v>
      </c>
      <c r="E410" s="4">
        <v>1</v>
      </c>
      <c r="F410" s="5">
        <v>3.6109179126442243</v>
      </c>
      <c r="G410" s="4">
        <v>2</v>
      </c>
    </row>
    <row r="411" spans="1:7" x14ac:dyDescent="0.15">
      <c r="A411" s="4">
        <v>410</v>
      </c>
      <c r="B411" s="4">
        <v>0</v>
      </c>
      <c r="D411" s="5">
        <v>10.915088464214607</v>
      </c>
      <c r="E411" s="4">
        <v>1</v>
      </c>
      <c r="F411" s="5">
        <v>3.6375861597263857</v>
      </c>
      <c r="G411" s="4">
        <v>4</v>
      </c>
    </row>
    <row r="412" spans="1:7" x14ac:dyDescent="0.15">
      <c r="A412" s="4">
        <v>411</v>
      </c>
      <c r="B412" s="4">
        <v>0</v>
      </c>
      <c r="D412" s="5">
        <v>11.736069016284437</v>
      </c>
      <c r="E412" s="4">
        <v>1</v>
      </c>
      <c r="F412" s="5">
        <v>3.6375861597263857</v>
      </c>
      <c r="G412" s="4">
        <v>4</v>
      </c>
    </row>
    <row r="413" spans="1:7" x14ac:dyDescent="0.15">
      <c r="A413" s="4">
        <v>412</v>
      </c>
      <c r="B413" s="4">
        <v>0</v>
      </c>
      <c r="D413" s="5">
        <v>11.736069016284437</v>
      </c>
      <c r="E413" s="4">
        <v>0</v>
      </c>
      <c r="F413" s="5">
        <v>2.8332133440562162</v>
      </c>
      <c r="G413" s="4">
        <v>4</v>
      </c>
    </row>
    <row r="414" spans="1:7" x14ac:dyDescent="0.15">
      <c r="A414" s="4">
        <v>413</v>
      </c>
      <c r="B414" s="4">
        <v>0</v>
      </c>
      <c r="D414" s="5">
        <v>11.736069016284437</v>
      </c>
      <c r="E414" s="4">
        <v>0</v>
      </c>
      <c r="F414" s="5">
        <v>2.5649493574615367</v>
      </c>
      <c r="G414" s="4">
        <v>4</v>
      </c>
    </row>
    <row r="415" spans="1:7" x14ac:dyDescent="0.15">
      <c r="A415" s="4">
        <v>414</v>
      </c>
      <c r="B415" s="4">
        <v>0</v>
      </c>
      <c r="D415" s="5">
        <v>11.082142548877775</v>
      </c>
      <c r="E415" s="4">
        <v>1</v>
      </c>
      <c r="F415" s="5">
        <v>3.8712010109078911</v>
      </c>
      <c r="G415" s="4">
        <v>3</v>
      </c>
    </row>
    <row r="416" spans="1:7" x14ac:dyDescent="0.15">
      <c r="A416" s="4">
        <v>415</v>
      </c>
      <c r="B416" s="4">
        <v>0</v>
      </c>
      <c r="D416" s="5">
        <v>10.021270588192511</v>
      </c>
      <c r="E416" s="4">
        <v>1</v>
      </c>
      <c r="F416" s="5">
        <v>3.6109179126442243</v>
      </c>
      <c r="G416" s="4">
        <v>5</v>
      </c>
    </row>
    <row r="417" spans="1:7" x14ac:dyDescent="0.15">
      <c r="A417" s="4">
        <v>416</v>
      </c>
      <c r="B417" s="4">
        <v>0</v>
      </c>
      <c r="D417" s="5">
        <v>11.379394072345706</v>
      </c>
      <c r="E417" s="4">
        <v>1</v>
      </c>
      <c r="F417" s="5">
        <v>3.8286413964890951</v>
      </c>
      <c r="G417" s="4">
        <v>3</v>
      </c>
    </row>
    <row r="418" spans="1:7" x14ac:dyDescent="0.15">
      <c r="A418" s="4">
        <v>417</v>
      </c>
      <c r="B418" s="4">
        <v>0</v>
      </c>
      <c r="D418" s="5">
        <v>10.915088464214607</v>
      </c>
      <c r="E418" s="4">
        <v>1</v>
      </c>
      <c r="F418" s="5">
        <v>3.5835189384561099</v>
      </c>
      <c r="G418" s="4">
        <v>2</v>
      </c>
    </row>
    <row r="419" spans="1:7" x14ac:dyDescent="0.15">
      <c r="A419" s="4">
        <v>418</v>
      </c>
      <c r="B419" s="4">
        <v>0</v>
      </c>
      <c r="D419" s="5">
        <v>11.082142548877775</v>
      </c>
      <c r="E419" s="4">
        <v>0</v>
      </c>
      <c r="F419" s="5">
        <v>3.8066624897703196</v>
      </c>
      <c r="G419" s="4">
        <v>4</v>
      </c>
    </row>
    <row r="420" spans="1:7" x14ac:dyDescent="0.15">
      <c r="A420" s="4">
        <v>419</v>
      </c>
      <c r="B420" s="4">
        <v>0</v>
      </c>
      <c r="D420" s="5">
        <v>11.379394072345706</v>
      </c>
      <c r="E420" s="4">
        <v>1</v>
      </c>
      <c r="F420" s="5">
        <v>3.8712010109078911</v>
      </c>
      <c r="G420" s="4">
        <v>2</v>
      </c>
    </row>
    <row r="421" spans="1:7" x14ac:dyDescent="0.15">
      <c r="A421" s="4">
        <v>420</v>
      </c>
      <c r="B421" s="4">
        <v>1</v>
      </c>
      <c r="D421" s="5">
        <v>10.388995368317829</v>
      </c>
      <c r="E421" s="4">
        <v>1</v>
      </c>
      <c r="F421" s="5">
        <v>3.970291913552122</v>
      </c>
      <c r="G421" s="4">
        <v>1</v>
      </c>
    </row>
    <row r="422" spans="1:7" x14ac:dyDescent="0.15">
      <c r="A422" s="4">
        <v>421</v>
      </c>
      <c r="B422" s="4">
        <v>0</v>
      </c>
      <c r="D422" s="5">
        <v>10.532096211958502</v>
      </c>
      <c r="E422" s="4">
        <v>1</v>
      </c>
      <c r="F422" s="5">
        <v>3.2188758248682006</v>
      </c>
      <c r="G422" s="4">
        <v>2</v>
      </c>
    </row>
    <row r="423" spans="1:7" x14ac:dyDescent="0.15">
      <c r="A423" s="4">
        <v>422</v>
      </c>
      <c r="B423" s="4">
        <v>0</v>
      </c>
      <c r="D423" s="5">
        <v>10.657259354912508</v>
      </c>
      <c r="E423" s="4">
        <v>0</v>
      </c>
      <c r="F423" s="5">
        <v>3.6109179126442243</v>
      </c>
      <c r="G423" s="4">
        <v>4</v>
      </c>
    </row>
    <row r="424" spans="1:7" x14ac:dyDescent="0.15">
      <c r="A424" s="4">
        <v>423</v>
      </c>
      <c r="B424" s="4">
        <v>3</v>
      </c>
      <c r="D424" s="5">
        <v>11.379394072345706</v>
      </c>
      <c r="E424" s="4">
        <v>1</v>
      </c>
      <c r="F424" s="5">
        <v>3.6109179126442243</v>
      </c>
      <c r="G424" s="4">
        <v>4</v>
      </c>
    </row>
    <row r="425" spans="1:7" x14ac:dyDescent="0.15">
      <c r="A425" s="4">
        <v>424</v>
      </c>
      <c r="B425" s="4">
        <v>0</v>
      </c>
      <c r="D425" s="5">
        <v>10.915088464214607</v>
      </c>
      <c r="E425" s="4">
        <v>1</v>
      </c>
      <c r="F425" s="5">
        <v>3.713572066704308</v>
      </c>
      <c r="G425" s="4">
        <v>3</v>
      </c>
    </row>
    <row r="426" spans="1:7" x14ac:dyDescent="0.15">
      <c r="A426" s="4">
        <v>425</v>
      </c>
      <c r="B426" s="4">
        <v>0</v>
      </c>
      <c r="D426" s="5">
        <v>11.736069016284437</v>
      </c>
      <c r="E426" s="4">
        <v>0</v>
      </c>
      <c r="F426" s="5">
        <v>3.7376696182833684</v>
      </c>
      <c r="G426" s="4">
        <v>4</v>
      </c>
    </row>
    <row r="427" spans="1:7" x14ac:dyDescent="0.15">
      <c r="A427" s="4">
        <v>426</v>
      </c>
      <c r="B427" s="4">
        <v>1</v>
      </c>
      <c r="D427" s="5">
        <v>11.191341840842766</v>
      </c>
      <c r="E427" s="4">
        <v>1</v>
      </c>
      <c r="F427" s="5">
        <v>3.6109179126442243</v>
      </c>
      <c r="G427" s="4">
        <v>2</v>
      </c>
    </row>
    <row r="428" spans="1:7" x14ac:dyDescent="0.15">
      <c r="A428" s="4">
        <v>427</v>
      </c>
      <c r="B428" s="4">
        <v>1</v>
      </c>
      <c r="D428" s="5">
        <v>10.768484990022733</v>
      </c>
      <c r="E428" s="4">
        <v>1</v>
      </c>
      <c r="F428" s="5">
        <v>3.4657359027997265</v>
      </c>
      <c r="G428" s="4">
        <v>3</v>
      </c>
    </row>
    <row r="429" spans="1:7" x14ac:dyDescent="0.15">
      <c r="A429" s="4">
        <v>428</v>
      </c>
      <c r="B429" s="4">
        <v>5</v>
      </c>
      <c r="D429" s="5">
        <v>11.082142548877775</v>
      </c>
      <c r="E429" s="4">
        <v>0</v>
      </c>
      <c r="F429" s="5">
        <v>4.0943445622221004</v>
      </c>
      <c r="G429" s="4">
        <v>1</v>
      </c>
    </row>
    <row r="430" spans="1:7" x14ac:dyDescent="0.15">
      <c r="A430" s="4">
        <v>429</v>
      </c>
      <c r="B430" s="4">
        <v>2</v>
      </c>
      <c r="D430" s="5">
        <v>10.915088464214607</v>
      </c>
      <c r="E430" s="4">
        <v>0</v>
      </c>
      <c r="F430" s="5">
        <v>4.1896547420264252</v>
      </c>
      <c r="G430" s="4">
        <v>2</v>
      </c>
    </row>
    <row r="431" spans="1:7" x14ac:dyDescent="0.15">
      <c r="A431" s="4">
        <v>430</v>
      </c>
      <c r="B431" s="4">
        <v>0</v>
      </c>
      <c r="D431" s="5">
        <v>11.379394072345706</v>
      </c>
      <c r="E431" s="4">
        <v>1</v>
      </c>
      <c r="F431" s="5">
        <v>3.8286413964890951</v>
      </c>
      <c r="G431" s="4">
        <v>4</v>
      </c>
    </row>
    <row r="432" spans="1:7" x14ac:dyDescent="0.15">
      <c r="A432" s="4">
        <v>431</v>
      </c>
      <c r="B432" s="4">
        <v>0</v>
      </c>
      <c r="D432" s="5">
        <v>11.736069016284437</v>
      </c>
      <c r="E432" s="4">
        <v>1</v>
      </c>
      <c r="F432" s="5">
        <v>4.0073331852324712</v>
      </c>
      <c r="G432" s="4">
        <v>1</v>
      </c>
    </row>
    <row r="433" spans="1:7" x14ac:dyDescent="0.15">
      <c r="A433" s="4">
        <v>432</v>
      </c>
      <c r="B433" s="4">
        <v>0</v>
      </c>
      <c r="D433" s="5">
        <v>11.736069016284437</v>
      </c>
      <c r="E433" s="4">
        <v>1</v>
      </c>
      <c r="F433" s="5">
        <v>3.044522437723423</v>
      </c>
      <c r="G433" s="4">
        <v>1</v>
      </c>
    </row>
    <row r="434" spans="1:7" x14ac:dyDescent="0.15">
      <c r="A434" s="4">
        <v>433</v>
      </c>
      <c r="B434" s="4">
        <v>1</v>
      </c>
      <c r="D434" s="5">
        <v>10.532096211958502</v>
      </c>
      <c r="E434" s="4">
        <v>1</v>
      </c>
      <c r="F434" s="5">
        <v>3.5553480614894135</v>
      </c>
      <c r="G434" s="4">
        <v>1</v>
      </c>
    </row>
    <row r="435" spans="1:7" x14ac:dyDescent="0.15">
      <c r="A435" s="4">
        <v>434</v>
      </c>
      <c r="B435" s="4">
        <v>5</v>
      </c>
      <c r="D435" s="5">
        <v>10.768484990022733</v>
      </c>
      <c r="E435" s="4">
        <v>0</v>
      </c>
      <c r="F435" s="5">
        <v>3.8501476017100584</v>
      </c>
      <c r="G435" s="4">
        <v>2</v>
      </c>
    </row>
    <row r="436" spans="1:7" x14ac:dyDescent="0.15">
      <c r="A436" s="4">
        <v>435</v>
      </c>
      <c r="B436" s="4">
        <v>0</v>
      </c>
      <c r="D436" s="5">
        <v>10.657259354912508</v>
      </c>
      <c r="E436" s="4">
        <v>0</v>
      </c>
      <c r="F436" s="5">
        <v>3.784189633918261</v>
      </c>
      <c r="G436" s="4">
        <v>1</v>
      </c>
    </row>
    <row r="437" spans="1:7" x14ac:dyDescent="0.15">
      <c r="A437" s="4">
        <v>436</v>
      </c>
      <c r="B437" s="4">
        <v>0</v>
      </c>
      <c r="D437" s="5">
        <v>10.221941283654663</v>
      </c>
      <c r="E437" s="4">
        <v>0</v>
      </c>
      <c r="F437" s="5">
        <v>2.7080502011022101</v>
      </c>
      <c r="G437" s="4">
        <v>3</v>
      </c>
    </row>
    <row r="438" spans="1:7" x14ac:dyDescent="0.15">
      <c r="A438" s="4">
        <v>437</v>
      </c>
      <c r="B438" s="4">
        <v>0</v>
      </c>
      <c r="D438" s="5">
        <v>9.5287941030947181</v>
      </c>
      <c r="E438" s="4">
        <v>1</v>
      </c>
      <c r="F438" s="5">
        <v>2.7080502011022101</v>
      </c>
      <c r="G438" s="4">
        <v>4</v>
      </c>
    </row>
    <row r="439" spans="1:7" x14ac:dyDescent="0.15">
      <c r="A439" s="4">
        <v>438</v>
      </c>
      <c r="B439" s="4">
        <v>18</v>
      </c>
      <c r="D439" s="5">
        <v>10.915088464214607</v>
      </c>
      <c r="E439" s="4">
        <v>1</v>
      </c>
      <c r="F439" s="5">
        <v>3.4339872044851463</v>
      </c>
      <c r="G439" s="4">
        <v>4</v>
      </c>
    </row>
    <row r="440" spans="1:7" x14ac:dyDescent="0.15">
      <c r="A440" s="4">
        <v>439</v>
      </c>
      <c r="B440" s="4">
        <v>4</v>
      </c>
      <c r="D440" s="5">
        <v>10.915088464214607</v>
      </c>
      <c r="E440" s="4">
        <v>0</v>
      </c>
      <c r="F440" s="5">
        <v>3.5835189384561099</v>
      </c>
      <c r="G440" s="4">
        <v>4</v>
      </c>
    </row>
    <row r="441" spans="1:7" x14ac:dyDescent="0.15">
      <c r="A441" s="4">
        <v>440</v>
      </c>
      <c r="B441" s="4">
        <v>1</v>
      </c>
      <c r="D441" s="5">
        <v>11.191341840842766</v>
      </c>
      <c r="E441" s="4">
        <v>1</v>
      </c>
      <c r="F441" s="5">
        <v>4.0430512678345503</v>
      </c>
      <c r="G441" s="4">
        <v>2</v>
      </c>
    </row>
    <row r="442" spans="1:7" x14ac:dyDescent="0.15">
      <c r="A442" s="4">
        <v>441</v>
      </c>
      <c r="B442" s="4">
        <v>0</v>
      </c>
      <c r="D442" s="5">
        <v>11.082142548877775</v>
      </c>
      <c r="E442" s="4">
        <v>1</v>
      </c>
      <c r="F442" s="5">
        <v>4.0253516907351496</v>
      </c>
      <c r="G442" s="4">
        <v>5</v>
      </c>
    </row>
    <row r="443" spans="1:7" x14ac:dyDescent="0.15">
      <c r="A443" s="4">
        <v>442</v>
      </c>
      <c r="B443" s="4">
        <v>0</v>
      </c>
      <c r="D443" s="5">
        <v>11.082142548877775</v>
      </c>
      <c r="E443" s="4">
        <v>1</v>
      </c>
      <c r="F443" s="5">
        <v>3.4011973816621555</v>
      </c>
      <c r="G443" s="4">
        <v>5</v>
      </c>
    </row>
    <row r="444" spans="1:7" x14ac:dyDescent="0.15">
      <c r="A444" s="4">
        <v>443</v>
      </c>
      <c r="B444" s="4">
        <v>1</v>
      </c>
      <c r="D444" s="5">
        <v>11.082142548877775</v>
      </c>
      <c r="E444" s="4">
        <v>0</v>
      </c>
      <c r="F444" s="5">
        <v>4.0253516907351496</v>
      </c>
      <c r="G444" s="4">
        <v>2</v>
      </c>
    </row>
    <row r="445" spans="1:7" x14ac:dyDescent="0.15">
      <c r="A445" s="4">
        <v>444</v>
      </c>
      <c r="B445" s="4">
        <v>0</v>
      </c>
      <c r="D445" s="5">
        <v>10.768484990022733</v>
      </c>
      <c r="E445" s="4">
        <v>1</v>
      </c>
      <c r="F445" s="5">
        <v>3.9889840465642745</v>
      </c>
      <c r="G445" s="4">
        <v>2</v>
      </c>
    </row>
    <row r="446" spans="1:7" x14ac:dyDescent="0.15">
      <c r="A446" s="4">
        <v>445</v>
      </c>
      <c r="B446" s="4">
        <v>0</v>
      </c>
      <c r="D446" s="5">
        <v>11.379394072345706</v>
      </c>
      <c r="E446" s="4">
        <v>1</v>
      </c>
      <c r="F446" s="5">
        <v>3.8286413964890951</v>
      </c>
      <c r="G446" s="4">
        <v>4</v>
      </c>
    </row>
    <row r="447" spans="1:7" x14ac:dyDescent="0.15">
      <c r="A447" s="4">
        <v>446</v>
      </c>
      <c r="B447" s="4">
        <v>0</v>
      </c>
      <c r="D447" s="5">
        <v>10.915088464214607</v>
      </c>
      <c r="E447" s="4">
        <v>1</v>
      </c>
      <c r="F447" s="5">
        <v>3.8501476017100584</v>
      </c>
      <c r="G447" s="4">
        <v>2</v>
      </c>
    </row>
    <row r="448" spans="1:7" x14ac:dyDescent="0.15">
      <c r="A448" s="4">
        <v>447</v>
      </c>
      <c r="B448" s="4">
        <v>5</v>
      </c>
      <c r="D448" s="5">
        <v>11.736069016284437</v>
      </c>
      <c r="E448" s="4">
        <v>0</v>
      </c>
      <c r="F448" s="5">
        <v>3.8712010109078911</v>
      </c>
      <c r="G448" s="4">
        <v>2</v>
      </c>
    </row>
    <row r="449" spans="1:7" x14ac:dyDescent="0.15">
      <c r="A449" s="4">
        <v>448</v>
      </c>
      <c r="B449" s="4">
        <v>0</v>
      </c>
      <c r="D449" s="5">
        <v>11.379394072345706</v>
      </c>
      <c r="E449" s="4">
        <v>1</v>
      </c>
      <c r="F449" s="5">
        <v>4.0775374439057197</v>
      </c>
      <c r="G449" s="4">
        <v>2</v>
      </c>
    </row>
    <row r="450" spans="1:7" x14ac:dyDescent="0.15">
      <c r="A450" s="4">
        <v>449</v>
      </c>
      <c r="B450" s="4">
        <v>1</v>
      </c>
      <c r="D450" s="5">
        <v>10.819778284410283</v>
      </c>
      <c r="E450" s="4">
        <v>1</v>
      </c>
      <c r="F450" s="5">
        <v>3.5835189384561099</v>
      </c>
      <c r="G450" s="4">
        <v>5</v>
      </c>
    </row>
    <row r="451" spans="1:7" x14ac:dyDescent="0.15">
      <c r="A451" s="4">
        <v>450</v>
      </c>
      <c r="B451" s="4">
        <v>0</v>
      </c>
      <c r="D451" s="5">
        <v>11.379394072345706</v>
      </c>
      <c r="E451" s="4">
        <v>1</v>
      </c>
      <c r="F451" s="5">
        <v>3.2958368660043291</v>
      </c>
      <c r="G451" s="4">
        <v>4</v>
      </c>
    </row>
    <row r="452" spans="1:7" x14ac:dyDescent="0.15">
      <c r="A452" s="4">
        <v>451</v>
      </c>
      <c r="B452" s="4">
        <v>0</v>
      </c>
      <c r="D452" s="5">
        <v>11.191341840842766</v>
      </c>
      <c r="E452" s="4">
        <v>0</v>
      </c>
      <c r="F452" s="5">
        <v>3.784189633918261</v>
      </c>
      <c r="G452" s="4">
        <v>5</v>
      </c>
    </row>
    <row r="453" spans="1:7" x14ac:dyDescent="0.15">
      <c r="A453" s="4">
        <v>452</v>
      </c>
      <c r="B453" s="4">
        <v>0</v>
      </c>
      <c r="D453" s="5">
        <v>11.191341840842766</v>
      </c>
      <c r="E453" s="4">
        <v>0</v>
      </c>
      <c r="F453" s="5">
        <v>2.3025850929940459</v>
      </c>
      <c r="G453" s="4">
        <v>5</v>
      </c>
    </row>
    <row r="454" spans="1:7" x14ac:dyDescent="0.15">
      <c r="A454" s="4">
        <v>453</v>
      </c>
      <c r="B454" s="4">
        <v>2</v>
      </c>
      <c r="D454" s="5">
        <v>11.379394072345706</v>
      </c>
      <c r="E454" s="4">
        <v>1</v>
      </c>
      <c r="F454" s="5">
        <v>3.4657359027997265</v>
      </c>
      <c r="G454" s="4">
        <v>2</v>
      </c>
    </row>
    <row r="455" spans="1:7" x14ac:dyDescent="0.15">
      <c r="A455" s="4">
        <v>454</v>
      </c>
      <c r="B455" s="4">
        <v>0</v>
      </c>
      <c r="D455" s="5">
        <v>10.388995368317829</v>
      </c>
      <c r="E455" s="4">
        <v>1</v>
      </c>
      <c r="F455" s="5">
        <v>3.7612001156935624</v>
      </c>
      <c r="G455" s="4">
        <v>1</v>
      </c>
    </row>
    <row r="456" spans="1:7" x14ac:dyDescent="0.15">
      <c r="A456" s="4">
        <v>455</v>
      </c>
      <c r="B456" s="4">
        <v>0</v>
      </c>
      <c r="D456" s="5">
        <v>11.082142548877775</v>
      </c>
      <c r="E456" s="4">
        <v>1</v>
      </c>
      <c r="F456" s="5">
        <v>4.2341065045972597</v>
      </c>
      <c r="G456" s="4">
        <v>2</v>
      </c>
    </row>
    <row r="457" spans="1:7" x14ac:dyDescent="0.15">
      <c r="A457" s="4">
        <v>456</v>
      </c>
      <c r="B457" s="4">
        <v>0</v>
      </c>
      <c r="D457" s="5">
        <v>11.082142548877775</v>
      </c>
      <c r="E457" s="4">
        <v>0</v>
      </c>
      <c r="F457" s="5">
        <v>3.8066624897703196</v>
      </c>
      <c r="G457" s="4">
        <v>2</v>
      </c>
    </row>
    <row r="458" spans="1:7" x14ac:dyDescent="0.15">
      <c r="A458" s="4">
        <v>457</v>
      </c>
      <c r="B458" s="4">
        <v>0</v>
      </c>
      <c r="D458" s="5">
        <v>10.657259354912508</v>
      </c>
      <c r="E458" s="4">
        <v>1</v>
      </c>
      <c r="F458" s="5">
        <v>3.3672958299864741</v>
      </c>
      <c r="G458" s="4">
        <v>2</v>
      </c>
    </row>
    <row r="459" spans="1:7" x14ac:dyDescent="0.15">
      <c r="A459" s="4">
        <v>458</v>
      </c>
      <c r="B459" s="4">
        <v>0</v>
      </c>
      <c r="D459" s="5">
        <v>9.7699561599116063</v>
      </c>
      <c r="E459" s="4">
        <v>1</v>
      </c>
      <c r="F459" s="5">
        <v>3.784189633918261</v>
      </c>
      <c r="G459" s="4">
        <v>2</v>
      </c>
    </row>
    <row r="460" spans="1:7" x14ac:dyDescent="0.15">
      <c r="A460" s="4">
        <v>459</v>
      </c>
      <c r="B460" s="4">
        <v>0</v>
      </c>
      <c r="D460" s="5">
        <v>9.7699561599116063</v>
      </c>
      <c r="E460" s="4">
        <v>1</v>
      </c>
      <c r="F460" s="5">
        <v>2.7725887222397811</v>
      </c>
      <c r="G460" s="4">
        <v>2</v>
      </c>
    </row>
    <row r="461" spans="1:7" x14ac:dyDescent="0.15">
      <c r="A461" s="4">
        <v>460</v>
      </c>
      <c r="B461" s="4">
        <v>2</v>
      </c>
      <c r="D461" s="5">
        <v>10.657259354912508</v>
      </c>
      <c r="E461" s="4">
        <v>0</v>
      </c>
      <c r="F461" s="5">
        <v>3.784189633918261</v>
      </c>
      <c r="G461" s="4">
        <v>1</v>
      </c>
    </row>
    <row r="462" spans="1:7" x14ac:dyDescent="0.15">
      <c r="A462" s="4">
        <v>461</v>
      </c>
      <c r="B462" s="4">
        <v>0</v>
      </c>
      <c r="D462" s="5">
        <v>11.082142548877775</v>
      </c>
      <c r="E462" s="4">
        <v>1</v>
      </c>
      <c r="F462" s="5">
        <v>3.970291913552122</v>
      </c>
      <c r="G462" s="4">
        <v>2</v>
      </c>
    </row>
    <row r="463" spans="1:7" x14ac:dyDescent="0.15">
      <c r="A463" s="4">
        <v>462</v>
      </c>
      <c r="B463" s="4">
        <v>0</v>
      </c>
      <c r="D463" s="5">
        <v>10.915088464214607</v>
      </c>
      <c r="E463" s="4">
        <v>0</v>
      </c>
      <c r="F463" s="5">
        <v>3.713572066704308</v>
      </c>
      <c r="G463" s="4">
        <v>4</v>
      </c>
    </row>
    <row r="464" spans="1:7" x14ac:dyDescent="0.15">
      <c r="A464" s="4">
        <v>463</v>
      </c>
      <c r="B464" s="4">
        <v>0</v>
      </c>
      <c r="D464" s="5">
        <v>11.082142548877775</v>
      </c>
      <c r="E464" s="4">
        <v>0</v>
      </c>
      <c r="F464" s="5">
        <v>3.7376696182833684</v>
      </c>
      <c r="G464" s="4">
        <v>4</v>
      </c>
    </row>
    <row r="465" spans="1:7" x14ac:dyDescent="0.15">
      <c r="A465" s="4">
        <v>464</v>
      </c>
      <c r="B465" s="4">
        <v>9</v>
      </c>
      <c r="D465" s="5">
        <v>10.388995368317829</v>
      </c>
      <c r="E465" s="4">
        <v>1</v>
      </c>
      <c r="F465" s="5">
        <v>3.3672958299864741</v>
      </c>
      <c r="G465" s="4">
        <v>2</v>
      </c>
    </row>
    <row r="466" spans="1:7" x14ac:dyDescent="0.15">
      <c r="A466" s="4">
        <v>465</v>
      </c>
      <c r="B466" s="4">
        <v>0</v>
      </c>
      <c r="D466" s="5">
        <v>11.191341840842766</v>
      </c>
      <c r="E466" s="4">
        <v>1</v>
      </c>
      <c r="F466" s="5">
        <v>3.8286413964890951</v>
      </c>
      <c r="G466" s="4">
        <v>3</v>
      </c>
    </row>
    <row r="467" spans="1:7" x14ac:dyDescent="0.15">
      <c r="A467" s="4">
        <v>466</v>
      </c>
      <c r="B467" s="4">
        <v>0</v>
      </c>
      <c r="D467" s="5">
        <v>10.532096211958502</v>
      </c>
      <c r="E467" s="4">
        <v>1</v>
      </c>
      <c r="F467" s="5">
        <v>3.9512437185814275</v>
      </c>
      <c r="G467" s="4">
        <v>2</v>
      </c>
    </row>
    <row r="468" spans="1:7" x14ac:dyDescent="0.15">
      <c r="A468" s="4">
        <v>467</v>
      </c>
      <c r="B468" s="4">
        <v>0</v>
      </c>
      <c r="D468" s="5">
        <v>10.532096211958502</v>
      </c>
      <c r="E468" s="4">
        <v>0</v>
      </c>
      <c r="F468" s="5">
        <v>4.0604430105464191</v>
      </c>
      <c r="G468" s="4">
        <v>2</v>
      </c>
    </row>
    <row r="469" spans="1:7" x14ac:dyDescent="0.15">
      <c r="A469" s="4">
        <v>468</v>
      </c>
      <c r="B469" s="4">
        <v>2</v>
      </c>
      <c r="D469" s="5">
        <v>11.191341840842766</v>
      </c>
      <c r="E469" s="4">
        <v>1</v>
      </c>
      <c r="F469" s="5">
        <v>3.8918202981106265</v>
      </c>
      <c r="G469" s="4">
        <v>5</v>
      </c>
    </row>
    <row r="470" spans="1:7" x14ac:dyDescent="0.15">
      <c r="A470" s="4">
        <v>469</v>
      </c>
      <c r="B470" s="4">
        <v>3</v>
      </c>
      <c r="D470" s="5">
        <v>11.191341840842766</v>
      </c>
      <c r="E470" s="4">
        <v>0</v>
      </c>
      <c r="F470" s="5">
        <v>3.912023005428146</v>
      </c>
      <c r="G470" s="4">
        <v>5</v>
      </c>
    </row>
    <row r="471" spans="1:7" x14ac:dyDescent="0.15">
      <c r="A471" s="4">
        <v>470</v>
      </c>
      <c r="B471" s="4">
        <v>0</v>
      </c>
      <c r="D471" s="5">
        <v>11.082142548877775</v>
      </c>
      <c r="E471" s="4">
        <v>1</v>
      </c>
      <c r="F471" s="5">
        <v>3.9512437185814275</v>
      </c>
      <c r="G471" s="4">
        <v>2</v>
      </c>
    </row>
    <row r="472" spans="1:7" x14ac:dyDescent="0.15">
      <c r="A472" s="4">
        <v>471</v>
      </c>
      <c r="B472" s="4">
        <v>0</v>
      </c>
      <c r="D472" s="5">
        <v>10.657259354912508</v>
      </c>
      <c r="E472" s="4">
        <v>1</v>
      </c>
      <c r="F472" s="5">
        <v>4.1588830833596715</v>
      </c>
      <c r="G472" s="4">
        <v>1</v>
      </c>
    </row>
    <row r="473" spans="1:7" x14ac:dyDescent="0.15">
      <c r="A473" s="4">
        <v>472</v>
      </c>
      <c r="B473" s="4">
        <v>0</v>
      </c>
      <c r="D473" s="5">
        <v>10.819778284410283</v>
      </c>
      <c r="E473" s="4">
        <v>1</v>
      </c>
      <c r="F473" s="5">
        <v>3.713572066704308</v>
      </c>
      <c r="G473" s="4">
        <v>2</v>
      </c>
    </row>
    <row r="474" spans="1:7" x14ac:dyDescent="0.15">
      <c r="A474" s="4">
        <v>473</v>
      </c>
      <c r="B474" s="4">
        <v>0</v>
      </c>
      <c r="D474" s="5">
        <v>11.736069016284437</v>
      </c>
      <c r="E474" s="4">
        <v>1</v>
      </c>
      <c r="F474" s="5">
        <v>3.9318256327243257</v>
      </c>
      <c r="G474" s="4">
        <v>4</v>
      </c>
    </row>
    <row r="475" spans="1:7" x14ac:dyDescent="0.15">
      <c r="A475" s="4">
        <v>474</v>
      </c>
      <c r="B475" s="4">
        <v>0</v>
      </c>
      <c r="D475" s="5">
        <v>10.768484990022733</v>
      </c>
      <c r="E475" s="4">
        <v>1</v>
      </c>
      <c r="F475" s="5">
        <v>3.8066624897703196</v>
      </c>
      <c r="G475" s="4">
        <v>4</v>
      </c>
    </row>
    <row r="476" spans="1:7" x14ac:dyDescent="0.15">
      <c r="A476" s="4">
        <v>475</v>
      </c>
      <c r="B476" s="4">
        <v>2</v>
      </c>
      <c r="D476" s="5">
        <v>11.379394072345706</v>
      </c>
      <c r="E476" s="4">
        <v>1</v>
      </c>
      <c r="F476" s="5">
        <v>3.6888794541139363</v>
      </c>
      <c r="G476" s="4">
        <v>4</v>
      </c>
    </row>
    <row r="477" spans="1:7" x14ac:dyDescent="0.15">
      <c r="A477" s="4">
        <v>476</v>
      </c>
      <c r="B477" s="4">
        <v>1</v>
      </c>
      <c r="D477" s="5">
        <v>11.379394072345706</v>
      </c>
      <c r="E477" s="4">
        <v>1</v>
      </c>
      <c r="F477" s="5">
        <v>4.1108738641733114</v>
      </c>
      <c r="G477" s="4">
        <v>2</v>
      </c>
    </row>
    <row r="478" spans="1:7" x14ac:dyDescent="0.15">
      <c r="A478" s="4">
        <v>477</v>
      </c>
      <c r="B478" s="4">
        <v>0</v>
      </c>
      <c r="D478" s="5">
        <v>10.915088464214607</v>
      </c>
      <c r="E478" s="4">
        <v>1</v>
      </c>
      <c r="F478" s="5">
        <v>3.4011973816621555</v>
      </c>
      <c r="G478" s="4">
        <v>2</v>
      </c>
    </row>
    <row r="479" spans="1:7" x14ac:dyDescent="0.15">
      <c r="A479" s="4">
        <v>478</v>
      </c>
      <c r="B479" s="4">
        <v>79</v>
      </c>
      <c r="D479" s="5">
        <v>10.532096211958502</v>
      </c>
      <c r="E479" s="4">
        <v>1</v>
      </c>
      <c r="F479" s="5">
        <v>3.5835189384561099</v>
      </c>
      <c r="G479" s="4">
        <v>4</v>
      </c>
    </row>
    <row r="480" spans="1:7" x14ac:dyDescent="0.15">
      <c r="A480" s="4">
        <v>479</v>
      </c>
      <c r="B480" s="4">
        <v>1</v>
      </c>
      <c r="D480" s="5">
        <v>10.532096211958502</v>
      </c>
      <c r="E480" s="4">
        <v>0</v>
      </c>
      <c r="F480" s="5">
        <v>3.4965075614664802</v>
      </c>
      <c r="G480" s="4">
        <v>4</v>
      </c>
    </row>
    <row r="481" spans="1:7" x14ac:dyDescent="0.15">
      <c r="A481" s="4">
        <v>480</v>
      </c>
      <c r="B481" s="4">
        <v>5</v>
      </c>
      <c r="D481" s="5">
        <v>10.657259354912508</v>
      </c>
      <c r="E481" s="4">
        <v>1</v>
      </c>
      <c r="F481" s="5">
        <v>3.713572066704308</v>
      </c>
      <c r="G481" s="4">
        <v>2</v>
      </c>
    </row>
    <row r="482" spans="1:7" x14ac:dyDescent="0.15">
      <c r="A482" s="4">
        <v>481</v>
      </c>
      <c r="B482" s="4">
        <v>0</v>
      </c>
      <c r="D482" s="5">
        <v>10.915088464214607</v>
      </c>
      <c r="E482" s="4">
        <v>0</v>
      </c>
      <c r="F482" s="5">
        <v>3.7376696182833684</v>
      </c>
      <c r="G482" s="4">
        <v>4</v>
      </c>
    </row>
    <row r="483" spans="1:7" x14ac:dyDescent="0.15">
      <c r="A483" s="4">
        <v>482</v>
      </c>
      <c r="B483" s="4">
        <v>0</v>
      </c>
      <c r="D483" s="5">
        <v>10.768484990022733</v>
      </c>
      <c r="E483" s="4">
        <v>1</v>
      </c>
      <c r="F483" s="5">
        <v>4.0943445622221004</v>
      </c>
      <c r="G483" s="4">
        <v>2</v>
      </c>
    </row>
    <row r="484" spans="1:7" x14ac:dyDescent="0.15">
      <c r="A484" s="4">
        <v>483</v>
      </c>
      <c r="B484" s="4">
        <v>8</v>
      </c>
      <c r="D484" s="5">
        <v>11.379394072345706</v>
      </c>
      <c r="E484" s="4">
        <v>1</v>
      </c>
      <c r="F484" s="5">
        <v>3.8918202981106265</v>
      </c>
      <c r="G484" s="4">
        <v>3</v>
      </c>
    </row>
    <row r="485" spans="1:7" x14ac:dyDescent="0.15">
      <c r="A485" s="4">
        <v>484</v>
      </c>
      <c r="B485" s="4">
        <v>0</v>
      </c>
      <c r="D485" s="5">
        <v>11.191341840842766</v>
      </c>
      <c r="E485" s="4">
        <v>1</v>
      </c>
      <c r="F485" s="5">
        <v>3.5553480614894135</v>
      </c>
      <c r="G485" s="4">
        <v>2</v>
      </c>
    </row>
    <row r="486" spans="1:7" x14ac:dyDescent="0.15">
      <c r="A486" s="4">
        <v>485</v>
      </c>
      <c r="B486" s="4">
        <v>1</v>
      </c>
      <c r="D486" s="5">
        <v>9.7699561599116063</v>
      </c>
      <c r="E486" s="4">
        <v>0</v>
      </c>
      <c r="F486" s="5">
        <v>3.044522437723423</v>
      </c>
      <c r="G486" s="4">
        <v>1</v>
      </c>
    </row>
    <row r="487" spans="1:7" x14ac:dyDescent="0.15">
      <c r="A487" s="4">
        <v>486</v>
      </c>
      <c r="B487" s="4">
        <v>0</v>
      </c>
      <c r="D487" s="5">
        <v>10.532096211958502</v>
      </c>
      <c r="E487" s="4">
        <v>1</v>
      </c>
      <c r="F487" s="5">
        <v>3.4657359027997265</v>
      </c>
      <c r="G487" s="4">
        <v>2</v>
      </c>
    </row>
    <row r="488" spans="1:7" x14ac:dyDescent="0.15">
      <c r="A488" s="4">
        <v>487</v>
      </c>
      <c r="B488" s="4">
        <v>0</v>
      </c>
      <c r="D488" s="5">
        <v>10.021270588192511</v>
      </c>
      <c r="E488" s="4">
        <v>1</v>
      </c>
      <c r="F488" s="5">
        <v>3.0910424533583161</v>
      </c>
      <c r="G488" s="4">
        <v>1</v>
      </c>
    </row>
    <row r="489" spans="1:7" x14ac:dyDescent="0.15">
      <c r="A489" s="4">
        <v>488</v>
      </c>
      <c r="B489" s="4">
        <v>0</v>
      </c>
      <c r="D489" s="5">
        <v>11.736069016284437</v>
      </c>
      <c r="E489" s="4">
        <v>0</v>
      </c>
      <c r="F489" s="5">
        <v>3.8286413964890951</v>
      </c>
      <c r="G489" s="4">
        <v>2</v>
      </c>
    </row>
    <row r="490" spans="1:7" x14ac:dyDescent="0.15">
      <c r="A490" s="4">
        <v>489</v>
      </c>
      <c r="B490" s="4">
        <v>1</v>
      </c>
      <c r="D490" s="5">
        <v>11.379394072345706</v>
      </c>
      <c r="E490" s="4">
        <v>1</v>
      </c>
      <c r="F490" s="5">
        <v>3.8286413964890951</v>
      </c>
      <c r="G490" s="4">
        <v>3</v>
      </c>
    </row>
    <row r="491" spans="1:7" x14ac:dyDescent="0.15">
      <c r="A491" s="4">
        <v>490</v>
      </c>
      <c r="B491" s="4">
        <v>0</v>
      </c>
      <c r="D491" s="5">
        <v>10.915088464214607</v>
      </c>
      <c r="E491" s="4">
        <v>1</v>
      </c>
      <c r="F491" s="5">
        <v>3.6109179126442243</v>
      </c>
      <c r="G491" s="4">
        <v>3</v>
      </c>
    </row>
    <row r="492" spans="1:7" x14ac:dyDescent="0.15">
      <c r="A492" s="4">
        <v>491</v>
      </c>
      <c r="B492" s="4">
        <v>0</v>
      </c>
      <c r="D492" s="5">
        <v>10.221941283654663</v>
      </c>
      <c r="E492" s="4">
        <v>1</v>
      </c>
      <c r="F492" s="5">
        <v>3.8501476017100584</v>
      </c>
      <c r="G492" s="4">
        <v>2</v>
      </c>
    </row>
    <row r="493" spans="1:7" x14ac:dyDescent="0.15">
      <c r="A493" s="4">
        <v>492</v>
      </c>
      <c r="B493" s="4">
        <v>0</v>
      </c>
      <c r="D493" s="5">
        <v>11.379394072345706</v>
      </c>
      <c r="E493" s="4">
        <v>1</v>
      </c>
      <c r="F493" s="5">
        <v>3.6375861597263857</v>
      </c>
      <c r="G493" s="4">
        <v>3</v>
      </c>
    </row>
    <row r="494" spans="1:7" x14ac:dyDescent="0.15">
      <c r="A494" s="4">
        <v>493</v>
      </c>
      <c r="B494" s="4">
        <v>0</v>
      </c>
      <c r="D494" s="5">
        <v>10.657259354912508</v>
      </c>
      <c r="E494" s="4">
        <v>1</v>
      </c>
      <c r="F494" s="5">
        <v>3.4657359027997265</v>
      </c>
      <c r="G494" s="4">
        <v>2</v>
      </c>
    </row>
    <row r="495" spans="1:7" x14ac:dyDescent="0.15">
      <c r="A495" s="4">
        <v>494</v>
      </c>
      <c r="B495" s="4">
        <v>0</v>
      </c>
      <c r="D495" s="5">
        <v>11.191341840842766</v>
      </c>
      <c r="E495" s="4">
        <v>0</v>
      </c>
      <c r="F495" s="5">
        <v>1.3862943611198906</v>
      </c>
      <c r="G495" s="4">
        <v>2</v>
      </c>
    </row>
    <row r="496" spans="1:7" x14ac:dyDescent="0.15">
      <c r="A496" s="4">
        <v>495</v>
      </c>
      <c r="B496" s="4">
        <v>0</v>
      </c>
      <c r="D496" s="5">
        <v>11.082142548877775</v>
      </c>
      <c r="E496" s="4">
        <v>0</v>
      </c>
      <c r="F496" s="5">
        <v>4.219507705176107</v>
      </c>
      <c r="G496" s="4">
        <v>3</v>
      </c>
    </row>
    <row r="497" spans="1:7" x14ac:dyDescent="0.15">
      <c r="A497" s="4">
        <v>496</v>
      </c>
      <c r="B497" s="4">
        <v>2</v>
      </c>
      <c r="D497" s="5">
        <v>11.736069016284437</v>
      </c>
      <c r="E497" s="4">
        <v>1</v>
      </c>
      <c r="F497" s="5">
        <v>3.9889840465642745</v>
      </c>
      <c r="G497" s="4">
        <v>2</v>
      </c>
    </row>
    <row r="498" spans="1:7" x14ac:dyDescent="0.15">
      <c r="A498" s="4">
        <v>497</v>
      </c>
      <c r="B498" s="4">
        <v>0</v>
      </c>
      <c r="D498" s="5">
        <v>10.388995368317829</v>
      </c>
      <c r="E498" s="4">
        <v>0</v>
      </c>
      <c r="F498" s="5">
        <v>3.9318256327243257</v>
      </c>
      <c r="G498" s="4">
        <v>2</v>
      </c>
    </row>
    <row r="499" spans="1:7" x14ac:dyDescent="0.15">
      <c r="A499" s="4">
        <v>498</v>
      </c>
      <c r="B499" s="4">
        <v>0</v>
      </c>
      <c r="D499" s="5">
        <v>9.5287941030947181</v>
      </c>
      <c r="E499" s="4">
        <v>1</v>
      </c>
      <c r="F499" s="5">
        <v>3.9512437185814275</v>
      </c>
      <c r="G499" s="4">
        <v>5</v>
      </c>
    </row>
    <row r="500" spans="1:7" x14ac:dyDescent="0.15">
      <c r="A500" s="4">
        <v>499</v>
      </c>
      <c r="B500" s="4">
        <v>1</v>
      </c>
      <c r="D500" s="5">
        <v>10.915088464214607</v>
      </c>
      <c r="E500" s="4">
        <v>1</v>
      </c>
      <c r="F500" s="5">
        <v>3.9889840465642745</v>
      </c>
      <c r="G500" s="4">
        <v>2</v>
      </c>
    </row>
    <row r="501" spans="1:7" x14ac:dyDescent="0.15">
      <c r="A501" s="4">
        <v>500</v>
      </c>
      <c r="B501" s="4">
        <v>0</v>
      </c>
      <c r="D501" s="5">
        <v>11.379394072345706</v>
      </c>
      <c r="E501" s="4">
        <v>1</v>
      </c>
      <c r="F501" s="5">
        <v>3.9889840465642745</v>
      </c>
      <c r="G501" s="4">
        <v>2</v>
      </c>
    </row>
    <row r="502" spans="1:7" x14ac:dyDescent="0.15">
      <c r="A502" s="4">
        <v>501</v>
      </c>
      <c r="B502" s="4">
        <v>0</v>
      </c>
      <c r="D502" s="5">
        <v>11.082142548877775</v>
      </c>
      <c r="E502" s="4">
        <v>0</v>
      </c>
      <c r="F502" s="5">
        <v>2.3978952727983707</v>
      </c>
      <c r="G502" s="4">
        <v>4</v>
      </c>
    </row>
    <row r="503" spans="1:7" x14ac:dyDescent="0.15">
      <c r="A503" s="4">
        <v>502</v>
      </c>
      <c r="B503" s="4">
        <v>0</v>
      </c>
      <c r="D503" s="5">
        <v>10.532096211958502</v>
      </c>
      <c r="E503" s="4">
        <v>1</v>
      </c>
      <c r="F503" s="5">
        <v>2.8332133440562162</v>
      </c>
      <c r="G503" s="4">
        <v>7</v>
      </c>
    </row>
    <row r="504" spans="1:7" x14ac:dyDescent="0.15">
      <c r="A504" s="4">
        <v>503</v>
      </c>
      <c r="B504" s="4">
        <v>0</v>
      </c>
      <c r="D504" s="5">
        <v>9.5287941030947181</v>
      </c>
      <c r="E504" s="4">
        <v>1</v>
      </c>
      <c r="F504" s="5">
        <v>4.1896547420264252</v>
      </c>
      <c r="G504" s="4">
        <v>1</v>
      </c>
    </row>
    <row r="505" spans="1:7" x14ac:dyDescent="0.15">
      <c r="A505" s="4">
        <v>504</v>
      </c>
      <c r="B505" s="4">
        <v>0</v>
      </c>
      <c r="D505" s="5">
        <v>11.082142548877775</v>
      </c>
      <c r="E505" s="4">
        <v>0</v>
      </c>
      <c r="F505" s="5">
        <v>4.0604430105464191</v>
      </c>
      <c r="G505" s="4">
        <v>1</v>
      </c>
    </row>
    <row r="506" spans="1:7" x14ac:dyDescent="0.15">
      <c r="A506" s="4">
        <v>505</v>
      </c>
      <c r="B506" s="4">
        <v>0</v>
      </c>
      <c r="D506" s="5">
        <v>11.379394072345706</v>
      </c>
      <c r="E506" s="4">
        <v>1</v>
      </c>
      <c r="F506" s="5">
        <v>3.6888794541139363</v>
      </c>
      <c r="G506" s="4">
        <v>4</v>
      </c>
    </row>
    <row r="507" spans="1:7" x14ac:dyDescent="0.15">
      <c r="A507" s="4">
        <v>506</v>
      </c>
      <c r="B507" s="4">
        <v>0</v>
      </c>
      <c r="D507" s="5">
        <v>10.657259354912508</v>
      </c>
      <c r="E507" s="4">
        <v>0</v>
      </c>
      <c r="F507" s="5">
        <v>3.4965075614664802</v>
      </c>
      <c r="G507" s="4">
        <v>3</v>
      </c>
    </row>
    <row r="508" spans="1:7" x14ac:dyDescent="0.15">
      <c r="A508" s="4">
        <v>507</v>
      </c>
      <c r="B508" s="4">
        <v>3</v>
      </c>
      <c r="D508" s="5">
        <v>9.7699561599116063</v>
      </c>
      <c r="E508" s="4">
        <v>0</v>
      </c>
      <c r="F508" s="5">
        <v>4.1743872698956368</v>
      </c>
      <c r="G508" s="4">
        <v>1</v>
      </c>
    </row>
    <row r="509" spans="1:7" x14ac:dyDescent="0.15">
      <c r="A509" s="4">
        <v>508</v>
      </c>
      <c r="B509" s="4">
        <v>0</v>
      </c>
      <c r="D509" s="5">
        <v>11.379394072345706</v>
      </c>
      <c r="E509" s="4">
        <v>0</v>
      </c>
      <c r="F509" s="5">
        <v>4.5747109785033828</v>
      </c>
      <c r="G509" s="4">
        <v>4</v>
      </c>
    </row>
    <row r="510" spans="1:7" x14ac:dyDescent="0.15">
      <c r="A510" s="4">
        <v>509</v>
      </c>
      <c r="B510" s="4">
        <v>0</v>
      </c>
      <c r="D510" s="5">
        <v>11.379394072345706</v>
      </c>
      <c r="E510" s="4">
        <v>0</v>
      </c>
      <c r="F510" s="5">
        <v>4.0604430105464191</v>
      </c>
      <c r="G510" s="4">
        <v>4</v>
      </c>
    </row>
    <row r="511" spans="1:7" x14ac:dyDescent="0.15">
      <c r="A511" s="4">
        <v>510</v>
      </c>
      <c r="B511" s="4">
        <v>0</v>
      </c>
      <c r="D511" s="5">
        <v>11.736069016284437</v>
      </c>
      <c r="E511" s="4">
        <v>0</v>
      </c>
      <c r="F511" s="5">
        <v>4.1271343850450917</v>
      </c>
      <c r="G511" s="4">
        <v>2</v>
      </c>
    </row>
    <row r="512" spans="1:7" x14ac:dyDescent="0.15">
      <c r="A512" s="4">
        <v>511</v>
      </c>
      <c r="B512" s="4">
        <v>0</v>
      </c>
      <c r="D512" s="5">
        <v>10.221941283654663</v>
      </c>
      <c r="E512" s="4">
        <v>0</v>
      </c>
      <c r="F512" s="5">
        <v>3.6375861597263857</v>
      </c>
      <c r="G512" s="4">
        <v>6</v>
      </c>
    </row>
    <row r="513" spans="1:7" x14ac:dyDescent="0.15">
      <c r="A513" s="4">
        <v>512</v>
      </c>
      <c r="B513" s="4">
        <v>0</v>
      </c>
      <c r="D513" s="5">
        <v>11.736069016284437</v>
      </c>
      <c r="E513" s="4">
        <v>0</v>
      </c>
      <c r="F513" s="5">
        <v>4.3944491546724391</v>
      </c>
      <c r="G513" s="4">
        <v>2</v>
      </c>
    </row>
    <row r="514" spans="1:7" x14ac:dyDescent="0.15">
      <c r="A514" s="4">
        <v>513</v>
      </c>
      <c r="B514" s="4">
        <v>2</v>
      </c>
      <c r="D514" s="5">
        <v>10.221941283654663</v>
      </c>
      <c r="E514" s="4">
        <v>0</v>
      </c>
      <c r="F514" s="5">
        <v>4.1271343850450917</v>
      </c>
      <c r="G514" s="4">
        <v>1</v>
      </c>
    </row>
    <row r="515" spans="1:7" x14ac:dyDescent="0.15">
      <c r="A515" s="4">
        <v>514</v>
      </c>
      <c r="B515" s="4">
        <v>2</v>
      </c>
      <c r="D515" s="5">
        <v>12.206072645530174</v>
      </c>
      <c r="E515" s="4">
        <v>0</v>
      </c>
      <c r="F515" s="5">
        <v>3.713572066704308</v>
      </c>
      <c r="G515" s="4">
        <v>4</v>
      </c>
    </row>
    <row r="516" spans="1:7" x14ac:dyDescent="0.15">
      <c r="A516" s="4">
        <v>515</v>
      </c>
      <c r="B516" s="4">
        <v>1</v>
      </c>
      <c r="D516" s="5">
        <v>10.221941283654663</v>
      </c>
      <c r="E516" s="4">
        <v>1</v>
      </c>
      <c r="F516" s="5">
        <v>3.8066624897703196</v>
      </c>
      <c r="G516" s="4">
        <v>5</v>
      </c>
    </row>
    <row r="517" spans="1:7" x14ac:dyDescent="0.15">
      <c r="A517" s="4">
        <v>516</v>
      </c>
      <c r="B517" s="4">
        <v>16</v>
      </c>
      <c r="D517" s="5">
        <v>11.736069016284437</v>
      </c>
      <c r="E517" s="4">
        <v>0</v>
      </c>
      <c r="F517" s="5">
        <v>4.0775374439057197</v>
      </c>
      <c r="G517" s="4">
        <v>2</v>
      </c>
    </row>
    <row r="518" spans="1:7" x14ac:dyDescent="0.15">
      <c r="A518" s="4">
        <v>517</v>
      </c>
      <c r="B518" s="4">
        <v>0</v>
      </c>
      <c r="D518" s="5">
        <v>11.082142548877775</v>
      </c>
      <c r="E518" s="4">
        <v>1</v>
      </c>
      <c r="F518" s="5">
        <v>3.5835189384561099</v>
      </c>
      <c r="G518" s="4">
        <v>2</v>
      </c>
    </row>
    <row r="519" spans="1:7" x14ac:dyDescent="0.15">
      <c r="A519" s="4">
        <v>518</v>
      </c>
      <c r="B519" s="4">
        <v>0</v>
      </c>
      <c r="D519" s="5">
        <v>10.532096211958502</v>
      </c>
      <c r="E519" s="4">
        <v>0</v>
      </c>
      <c r="F519" s="5">
        <v>4.2484952420493594</v>
      </c>
      <c r="G519" s="4">
        <v>2</v>
      </c>
    </row>
    <row r="520" spans="1:7" x14ac:dyDescent="0.15">
      <c r="A520" s="4">
        <v>519</v>
      </c>
      <c r="B520" s="4">
        <v>5</v>
      </c>
      <c r="D520" s="5">
        <v>11.379394072345706</v>
      </c>
      <c r="E520" s="4">
        <v>0</v>
      </c>
      <c r="F520" s="5">
        <v>3.784189633918261</v>
      </c>
      <c r="G520" s="4">
        <v>5</v>
      </c>
    </row>
    <row r="521" spans="1:7" x14ac:dyDescent="0.15">
      <c r="A521" s="4">
        <v>520</v>
      </c>
      <c r="B521" s="4">
        <v>0</v>
      </c>
      <c r="D521" s="5">
        <v>10.915088464214607</v>
      </c>
      <c r="E521" s="4">
        <v>1</v>
      </c>
      <c r="F521" s="5">
        <v>4.0253516907351496</v>
      </c>
      <c r="G521" s="4">
        <v>3</v>
      </c>
    </row>
    <row r="522" spans="1:7" x14ac:dyDescent="0.15">
      <c r="A522" s="4">
        <v>521</v>
      </c>
      <c r="B522" s="4">
        <v>0</v>
      </c>
      <c r="D522" s="5">
        <v>10.915088464214607</v>
      </c>
      <c r="E522" s="4">
        <v>0</v>
      </c>
      <c r="F522" s="5">
        <v>4.0253516907351496</v>
      </c>
      <c r="G522" s="4">
        <v>3</v>
      </c>
    </row>
    <row r="523" spans="1:7" x14ac:dyDescent="0.15">
      <c r="A523" s="4">
        <v>522</v>
      </c>
      <c r="B523" s="4">
        <v>1</v>
      </c>
      <c r="D523" s="5">
        <v>11.191341840842766</v>
      </c>
      <c r="E523" s="4">
        <v>0</v>
      </c>
      <c r="F523" s="5">
        <v>4.0253516907351496</v>
      </c>
      <c r="G523" s="4">
        <v>2</v>
      </c>
    </row>
    <row r="524" spans="1:7" x14ac:dyDescent="0.15">
      <c r="A524" s="4">
        <v>523</v>
      </c>
      <c r="B524" s="4">
        <v>0</v>
      </c>
      <c r="D524" s="5">
        <v>10.915088464214607</v>
      </c>
      <c r="E524" s="4">
        <v>1</v>
      </c>
      <c r="F524" s="5">
        <v>3.5263605246161616</v>
      </c>
      <c r="G524" s="4">
        <v>4</v>
      </c>
    </row>
    <row r="525" spans="1:7" x14ac:dyDescent="0.15">
      <c r="A525" s="4">
        <v>524</v>
      </c>
      <c r="B525" s="4">
        <v>0</v>
      </c>
      <c r="D525" s="5">
        <v>11.736069016284437</v>
      </c>
      <c r="E525" s="4">
        <v>1</v>
      </c>
      <c r="F525" s="5">
        <v>4.0253516907351496</v>
      </c>
      <c r="G525" s="4">
        <v>4</v>
      </c>
    </row>
    <row r="526" spans="1:7" x14ac:dyDescent="0.15">
      <c r="A526" s="4">
        <v>525</v>
      </c>
      <c r="B526" s="4">
        <v>0</v>
      </c>
      <c r="D526" s="5">
        <v>11.379394072345706</v>
      </c>
      <c r="E526" s="4">
        <v>1</v>
      </c>
      <c r="F526" s="5">
        <v>4.0943445622221004</v>
      </c>
      <c r="G526" s="4">
        <v>2</v>
      </c>
    </row>
    <row r="527" spans="1:7" x14ac:dyDescent="0.15">
      <c r="A527" s="4">
        <v>526</v>
      </c>
      <c r="B527" s="4">
        <v>1</v>
      </c>
      <c r="D527" s="5">
        <v>10.657259354912508</v>
      </c>
      <c r="E527" s="4">
        <v>0</v>
      </c>
      <c r="F527" s="5">
        <v>4.0073331852324712</v>
      </c>
      <c r="G527" s="4">
        <v>2</v>
      </c>
    </row>
    <row r="528" spans="1:7" x14ac:dyDescent="0.15">
      <c r="A528" s="4">
        <v>527</v>
      </c>
      <c r="B528" s="4">
        <v>0</v>
      </c>
      <c r="D528" s="5">
        <v>10.768484990022733</v>
      </c>
      <c r="E528" s="4">
        <v>0</v>
      </c>
      <c r="F528" s="5">
        <v>3.6888794541139363</v>
      </c>
      <c r="G528" s="4">
        <v>2</v>
      </c>
    </row>
    <row r="529" spans="1:7" x14ac:dyDescent="0.15">
      <c r="A529" s="4">
        <v>528</v>
      </c>
      <c r="B529" s="4">
        <v>0</v>
      </c>
      <c r="D529" s="5">
        <v>11.082142548877775</v>
      </c>
      <c r="E529" s="4">
        <v>1</v>
      </c>
      <c r="F529" s="5">
        <v>3.970291913552122</v>
      </c>
      <c r="G529" s="4">
        <v>2</v>
      </c>
    </row>
    <row r="530" spans="1:7" x14ac:dyDescent="0.15">
      <c r="A530" s="4">
        <v>529</v>
      </c>
      <c r="B530" s="4">
        <v>0</v>
      </c>
      <c r="D530" s="5">
        <v>11.082142548877775</v>
      </c>
      <c r="E530" s="4">
        <v>0</v>
      </c>
      <c r="F530" s="5">
        <v>4.0253516907351496</v>
      </c>
      <c r="G530" s="4">
        <v>2</v>
      </c>
    </row>
    <row r="531" spans="1:7" x14ac:dyDescent="0.15">
      <c r="A531" s="4">
        <v>530</v>
      </c>
      <c r="B531" s="4">
        <v>0</v>
      </c>
      <c r="D531" s="5">
        <v>11.736069016284437</v>
      </c>
      <c r="E531" s="4">
        <v>1</v>
      </c>
      <c r="F531" s="5">
        <v>2.7080502011022101</v>
      </c>
      <c r="G531" s="4">
        <v>4</v>
      </c>
    </row>
    <row r="532" spans="1:7" x14ac:dyDescent="0.15">
      <c r="A532" s="4">
        <v>531</v>
      </c>
      <c r="B532" s="4">
        <v>0</v>
      </c>
      <c r="D532" s="5">
        <v>10.388995368317829</v>
      </c>
      <c r="E532" s="4">
        <v>0</v>
      </c>
      <c r="F532" s="5">
        <v>4.2046926193909657</v>
      </c>
      <c r="G532" s="4">
        <v>1</v>
      </c>
    </row>
    <row r="533" spans="1:7" x14ac:dyDescent="0.15">
      <c r="A533" s="4">
        <v>532</v>
      </c>
      <c r="B533" s="4">
        <v>0</v>
      </c>
      <c r="D533" s="5">
        <v>11.379394072345706</v>
      </c>
      <c r="E533" s="4">
        <v>1</v>
      </c>
      <c r="F533" s="5">
        <v>2.9957322735539909</v>
      </c>
      <c r="G533" s="4">
        <v>2</v>
      </c>
    </row>
    <row r="534" spans="1:7" x14ac:dyDescent="0.15">
      <c r="A534" s="4">
        <v>533</v>
      </c>
      <c r="B534" s="4">
        <v>0</v>
      </c>
      <c r="D534" s="5">
        <v>11.082142548877775</v>
      </c>
      <c r="E534" s="4">
        <v>1</v>
      </c>
      <c r="F534" s="5">
        <v>2.7080502011022101</v>
      </c>
      <c r="G534" s="4">
        <v>4</v>
      </c>
    </row>
    <row r="535" spans="1:7" x14ac:dyDescent="0.15">
      <c r="A535" s="4">
        <v>534</v>
      </c>
      <c r="B535" s="4">
        <v>0</v>
      </c>
      <c r="D535" s="5">
        <v>11.082142548877775</v>
      </c>
      <c r="E535" s="4">
        <v>0</v>
      </c>
      <c r="F535" s="5">
        <v>3.6888794541139363</v>
      </c>
      <c r="G535" s="4">
        <v>4</v>
      </c>
    </row>
    <row r="536" spans="1:7" x14ac:dyDescent="0.15">
      <c r="A536" s="4">
        <v>535</v>
      </c>
      <c r="B536" s="4">
        <v>0</v>
      </c>
      <c r="D536" s="5">
        <v>10.915088464214607</v>
      </c>
      <c r="E536" s="4">
        <v>1</v>
      </c>
      <c r="F536" s="5">
        <v>4.0430512678345503</v>
      </c>
      <c r="G536" s="4">
        <v>2</v>
      </c>
    </row>
    <row r="537" spans="1:7" x14ac:dyDescent="0.15">
      <c r="A537" s="4">
        <v>536</v>
      </c>
      <c r="B537" s="4">
        <v>0</v>
      </c>
      <c r="D537" s="5">
        <v>10.915088464214607</v>
      </c>
      <c r="E537" s="4">
        <v>1</v>
      </c>
      <c r="F537" s="5">
        <v>3.6375861597263857</v>
      </c>
      <c r="G537" s="4">
        <v>2</v>
      </c>
    </row>
    <row r="538" spans="1:7" x14ac:dyDescent="0.15">
      <c r="A538" s="4">
        <v>537</v>
      </c>
      <c r="B538" s="4">
        <v>0</v>
      </c>
      <c r="D538" s="5">
        <v>11.379394072345706</v>
      </c>
      <c r="E538" s="4">
        <v>1</v>
      </c>
      <c r="F538" s="5">
        <v>3.9512437185814275</v>
      </c>
      <c r="G538" s="4">
        <v>3</v>
      </c>
    </row>
    <row r="539" spans="1:7" x14ac:dyDescent="0.15">
      <c r="A539" s="4">
        <v>538</v>
      </c>
      <c r="B539" s="4">
        <v>0</v>
      </c>
      <c r="D539" s="5">
        <v>10.915088464214607</v>
      </c>
      <c r="E539" s="4">
        <v>0</v>
      </c>
      <c r="F539" s="5">
        <v>3.8501476017100584</v>
      </c>
      <c r="G539" s="4">
        <v>3</v>
      </c>
    </row>
    <row r="540" spans="1:7" x14ac:dyDescent="0.15">
      <c r="A540" s="4">
        <v>539</v>
      </c>
      <c r="B540" s="4">
        <v>0</v>
      </c>
      <c r="D540" s="5">
        <v>10.915088464214607</v>
      </c>
      <c r="E540" s="4">
        <v>0</v>
      </c>
      <c r="F540" s="5">
        <v>2.7080502011022101</v>
      </c>
      <c r="G540" s="4">
        <v>3</v>
      </c>
    </row>
    <row r="541" spans="1:7" x14ac:dyDescent="0.15">
      <c r="A541" s="4">
        <v>540</v>
      </c>
      <c r="B541" s="4">
        <v>1</v>
      </c>
      <c r="D541" s="5">
        <v>10.388995368317829</v>
      </c>
      <c r="E541" s="4">
        <v>0</v>
      </c>
      <c r="F541" s="5">
        <v>4.3174881135363101</v>
      </c>
      <c r="G541" s="4">
        <v>1</v>
      </c>
    </row>
    <row r="542" spans="1:7" x14ac:dyDescent="0.15">
      <c r="A542" s="4">
        <v>541</v>
      </c>
      <c r="B542" s="4">
        <v>2</v>
      </c>
      <c r="D542" s="5">
        <v>11.191341840842766</v>
      </c>
      <c r="E542" s="4">
        <v>0</v>
      </c>
      <c r="F542" s="5">
        <v>4.1271343850450917</v>
      </c>
      <c r="G542" s="4">
        <v>2</v>
      </c>
    </row>
    <row r="543" spans="1:7" x14ac:dyDescent="0.15">
      <c r="A543" s="4">
        <v>542</v>
      </c>
      <c r="B543" s="4">
        <v>10</v>
      </c>
      <c r="D543" s="5">
        <v>11.736069016284437</v>
      </c>
      <c r="E543" s="4">
        <v>0</v>
      </c>
      <c r="F543" s="5">
        <v>3.6375861597263857</v>
      </c>
      <c r="G543" s="4">
        <v>2</v>
      </c>
    </row>
    <row r="544" spans="1:7" x14ac:dyDescent="0.15">
      <c r="A544" s="4">
        <v>543</v>
      </c>
      <c r="B544" s="4">
        <v>16</v>
      </c>
      <c r="D544" s="5">
        <v>11.736069016284437</v>
      </c>
      <c r="E544" s="4">
        <v>0</v>
      </c>
      <c r="F544" s="5">
        <v>3.6375861597263857</v>
      </c>
      <c r="G544" s="4">
        <v>2</v>
      </c>
    </row>
    <row r="545" spans="1:7" x14ac:dyDescent="0.15">
      <c r="A545" s="4">
        <v>544</v>
      </c>
      <c r="B545" s="4">
        <v>0</v>
      </c>
      <c r="D545" s="5">
        <v>10.915088464214607</v>
      </c>
      <c r="E545" s="4">
        <v>0</v>
      </c>
      <c r="F545" s="5">
        <v>4.1588830833596715</v>
      </c>
      <c r="G545" s="4">
        <v>2</v>
      </c>
    </row>
    <row r="546" spans="1:7" x14ac:dyDescent="0.15">
      <c r="A546" s="4">
        <v>545</v>
      </c>
      <c r="B546" s="4">
        <v>1</v>
      </c>
      <c r="D546" s="5">
        <v>10.532096211958502</v>
      </c>
      <c r="E546" s="4">
        <v>0</v>
      </c>
      <c r="F546" s="5">
        <v>3.784189633918261</v>
      </c>
      <c r="G546" s="4">
        <v>1</v>
      </c>
    </row>
    <row r="547" spans="1:7" x14ac:dyDescent="0.15">
      <c r="A547" s="4">
        <v>546</v>
      </c>
      <c r="B547" s="4">
        <v>5</v>
      </c>
      <c r="D547" s="5">
        <v>10.221941283654663</v>
      </c>
      <c r="E547" s="4">
        <v>0</v>
      </c>
      <c r="F547" s="5">
        <v>3.6375861597263857</v>
      </c>
      <c r="G547" s="4">
        <v>1</v>
      </c>
    </row>
    <row r="548" spans="1:7" x14ac:dyDescent="0.15">
      <c r="A548" s="4">
        <v>547</v>
      </c>
      <c r="B548" s="4">
        <v>0</v>
      </c>
      <c r="D548" s="5">
        <v>10.388995368317829</v>
      </c>
      <c r="E548" s="4">
        <v>0</v>
      </c>
      <c r="F548" s="5">
        <v>3.9512437185814275</v>
      </c>
      <c r="G548" s="4">
        <v>1</v>
      </c>
    </row>
    <row r="549" spans="1:7" x14ac:dyDescent="0.15">
      <c r="A549" s="4">
        <v>548</v>
      </c>
      <c r="B549" s="4">
        <v>1</v>
      </c>
      <c r="D549" s="5">
        <v>11.119882876860622</v>
      </c>
      <c r="E549" s="4">
        <v>1</v>
      </c>
      <c r="F549" s="5">
        <v>3.8918202981106265</v>
      </c>
      <c r="G549" s="4">
        <v>6</v>
      </c>
    </row>
    <row r="550" spans="1:7" x14ac:dyDescent="0.15">
      <c r="A550" s="4">
        <v>549</v>
      </c>
      <c r="B550" s="4">
        <v>0</v>
      </c>
      <c r="D550" s="5">
        <v>10.915088464214607</v>
      </c>
      <c r="E550" s="4">
        <v>0</v>
      </c>
      <c r="F550" s="5">
        <v>4.0775374439057197</v>
      </c>
      <c r="G550" s="4">
        <v>2</v>
      </c>
    </row>
    <row r="551" spans="1:7" x14ac:dyDescent="0.15">
      <c r="A551" s="4">
        <v>550</v>
      </c>
      <c r="B551" s="4">
        <v>0</v>
      </c>
      <c r="D551" s="5">
        <v>10.221941283654663</v>
      </c>
      <c r="E551" s="4">
        <v>1</v>
      </c>
      <c r="F551" s="5">
        <v>3.7612001156935624</v>
      </c>
      <c r="G551" s="4">
        <v>6</v>
      </c>
    </row>
    <row r="552" spans="1:7" x14ac:dyDescent="0.15">
      <c r="A552" s="4">
        <v>551</v>
      </c>
      <c r="B552" s="4">
        <v>0</v>
      </c>
      <c r="D552" s="5">
        <v>11.082142548877775</v>
      </c>
      <c r="E552" s="4">
        <v>0</v>
      </c>
      <c r="F552" s="5">
        <v>4.2484952420493594</v>
      </c>
      <c r="G552" s="4">
        <v>2</v>
      </c>
    </row>
    <row r="553" spans="1:7" x14ac:dyDescent="0.15">
      <c r="A553" s="4">
        <v>552</v>
      </c>
      <c r="B553" s="4">
        <v>5</v>
      </c>
      <c r="D553" s="5">
        <v>11.736069016284437</v>
      </c>
      <c r="E553" s="4">
        <v>1</v>
      </c>
      <c r="F553" s="5">
        <v>4.1743872698956368</v>
      </c>
      <c r="G553" s="4">
        <v>2</v>
      </c>
    </row>
    <row r="554" spans="1:7" x14ac:dyDescent="0.15">
      <c r="A554" s="4">
        <v>553</v>
      </c>
      <c r="B554" s="4">
        <v>0</v>
      </c>
      <c r="D554" s="5">
        <v>11.736069016284437</v>
      </c>
      <c r="E554" s="4">
        <v>1</v>
      </c>
      <c r="F554" s="5">
        <v>3.8712010109078911</v>
      </c>
      <c r="G554" s="4">
        <v>3</v>
      </c>
    </row>
    <row r="555" spans="1:7" x14ac:dyDescent="0.15">
      <c r="A555" s="4">
        <v>554</v>
      </c>
      <c r="B555" s="4">
        <v>0</v>
      </c>
      <c r="D555" s="5">
        <v>9.3281234076325656</v>
      </c>
      <c r="E555" s="4">
        <v>1</v>
      </c>
      <c r="F555" s="5">
        <v>3.9512437185814275</v>
      </c>
      <c r="G555" s="4">
        <v>1</v>
      </c>
    </row>
    <row r="556" spans="1:7" x14ac:dyDescent="0.15">
      <c r="A556" s="4">
        <v>555</v>
      </c>
      <c r="B556" s="4">
        <v>0</v>
      </c>
      <c r="D556" s="5">
        <v>11.082142548877775</v>
      </c>
      <c r="E556" s="4">
        <v>1</v>
      </c>
      <c r="F556" s="5">
        <v>3.044522437723423</v>
      </c>
      <c r="G556" s="4">
        <v>4</v>
      </c>
    </row>
    <row r="557" spans="1:7" x14ac:dyDescent="0.15">
      <c r="A557" s="4">
        <v>556</v>
      </c>
      <c r="B557" s="4">
        <v>0</v>
      </c>
      <c r="D557" s="5">
        <v>10.915088464214607</v>
      </c>
      <c r="E557" s="4">
        <v>1</v>
      </c>
      <c r="F557" s="5">
        <v>3.9889840465642745</v>
      </c>
      <c r="G557" s="4">
        <v>2</v>
      </c>
    </row>
    <row r="558" spans="1:7" x14ac:dyDescent="0.15">
      <c r="A558" s="4">
        <v>557</v>
      </c>
      <c r="B558" s="4">
        <v>1</v>
      </c>
      <c r="D558" s="5">
        <v>10.388995368317829</v>
      </c>
      <c r="E558" s="4">
        <v>0</v>
      </c>
      <c r="F558" s="5">
        <v>4.0253516907351496</v>
      </c>
      <c r="G558" s="4">
        <v>2</v>
      </c>
    </row>
    <row r="559" spans="1:7" x14ac:dyDescent="0.15">
      <c r="A559" s="4">
        <v>558</v>
      </c>
      <c r="B559" s="4">
        <v>0</v>
      </c>
      <c r="D559" s="5">
        <v>12.206072645530174</v>
      </c>
      <c r="E559" s="4">
        <v>0</v>
      </c>
      <c r="F559" s="5">
        <v>3.7376696182833684</v>
      </c>
      <c r="G559" s="4">
        <v>4</v>
      </c>
    </row>
    <row r="560" spans="1:7" x14ac:dyDescent="0.15">
      <c r="A560" s="4">
        <v>559</v>
      </c>
      <c r="B560" s="4">
        <v>3</v>
      </c>
      <c r="D560" s="5">
        <v>10.532096211958502</v>
      </c>
      <c r="E560" s="4">
        <v>0</v>
      </c>
      <c r="F560" s="5">
        <v>3.7376696182833684</v>
      </c>
      <c r="G560" s="4">
        <v>1</v>
      </c>
    </row>
    <row r="561" spans="1:7" x14ac:dyDescent="0.15">
      <c r="A561" s="4">
        <v>560</v>
      </c>
      <c r="B561" s="4">
        <v>0</v>
      </c>
      <c r="D561" s="5">
        <v>11.082142548877775</v>
      </c>
      <c r="E561" s="4">
        <v>0</v>
      </c>
      <c r="F561" s="5">
        <v>3.8066624897703196</v>
      </c>
      <c r="G561" s="4">
        <v>4</v>
      </c>
    </row>
    <row r="562" spans="1:7" x14ac:dyDescent="0.15">
      <c r="A562" s="4">
        <v>561</v>
      </c>
      <c r="B562" s="4">
        <v>0</v>
      </c>
      <c r="D562" s="5">
        <v>10.657259354912508</v>
      </c>
      <c r="E562" s="4">
        <v>1</v>
      </c>
      <c r="F562" s="5">
        <v>2.6390573296152584</v>
      </c>
      <c r="G562" s="4">
        <v>4</v>
      </c>
    </row>
    <row r="563" spans="1:7" x14ac:dyDescent="0.15">
      <c r="A563" s="4">
        <v>562</v>
      </c>
      <c r="B563" s="4">
        <v>0</v>
      </c>
      <c r="D563" s="5">
        <v>10.532096211958502</v>
      </c>
      <c r="E563" s="4">
        <v>0</v>
      </c>
      <c r="F563" s="5">
        <v>3.6888794541139363</v>
      </c>
      <c r="G563" s="4">
        <v>2</v>
      </c>
    </row>
    <row r="564" spans="1:7" x14ac:dyDescent="0.15">
      <c r="A564" s="4">
        <v>563</v>
      </c>
      <c r="B564" s="4">
        <v>22</v>
      </c>
      <c r="D564" s="5">
        <v>11.379394072345706</v>
      </c>
      <c r="E564" s="4">
        <v>0</v>
      </c>
      <c r="F564" s="5">
        <v>3.4011973816621555</v>
      </c>
      <c r="G564" s="4">
        <v>2</v>
      </c>
    </row>
    <row r="565" spans="1:7" x14ac:dyDescent="0.15">
      <c r="A565" s="4">
        <v>564</v>
      </c>
      <c r="B565" s="4">
        <v>0</v>
      </c>
      <c r="D565" s="5">
        <v>10.532096211958502</v>
      </c>
      <c r="E565" s="4">
        <v>0</v>
      </c>
      <c r="F565" s="5">
        <v>3.6635616461296463</v>
      </c>
      <c r="G565" s="4">
        <v>4</v>
      </c>
    </row>
    <row r="566" spans="1:7" x14ac:dyDescent="0.15">
      <c r="A566" s="4">
        <v>565</v>
      </c>
      <c r="B566" s="4">
        <v>0</v>
      </c>
      <c r="D566" s="5">
        <v>10.532096211958502</v>
      </c>
      <c r="E566" s="4">
        <v>0</v>
      </c>
      <c r="F566" s="5">
        <v>3.8501476017100584</v>
      </c>
      <c r="G566" s="4">
        <v>2</v>
      </c>
    </row>
    <row r="567" spans="1:7" x14ac:dyDescent="0.15">
      <c r="A567" s="4">
        <v>566</v>
      </c>
      <c r="B567" s="4">
        <v>0</v>
      </c>
      <c r="D567" s="5">
        <v>10.819778284410283</v>
      </c>
      <c r="E567" s="4">
        <v>0</v>
      </c>
      <c r="F567" s="5">
        <v>4.0604430105464191</v>
      </c>
      <c r="G567" s="4">
        <v>2</v>
      </c>
    </row>
    <row r="568" spans="1:7" x14ac:dyDescent="0.15">
      <c r="A568" s="4">
        <v>567</v>
      </c>
      <c r="B568" s="4">
        <v>2</v>
      </c>
      <c r="D568" s="5">
        <v>10.532096211958502</v>
      </c>
      <c r="E568" s="4">
        <v>1</v>
      </c>
      <c r="F568" s="5">
        <v>3.912023005428146</v>
      </c>
      <c r="G568" s="4">
        <v>2</v>
      </c>
    </row>
    <row r="569" spans="1:7" x14ac:dyDescent="0.15">
      <c r="A569" s="4">
        <v>568</v>
      </c>
      <c r="B569" s="4">
        <v>0</v>
      </c>
      <c r="D569" s="5">
        <v>10.915088464214607</v>
      </c>
      <c r="E569" s="4">
        <v>0</v>
      </c>
      <c r="F569" s="5">
        <v>3.8918202981106265</v>
      </c>
      <c r="G569" s="4">
        <v>4</v>
      </c>
    </row>
    <row r="570" spans="1:7" x14ac:dyDescent="0.15">
      <c r="A570" s="4">
        <v>569</v>
      </c>
      <c r="B570" s="4">
        <v>3</v>
      </c>
      <c r="D570" s="5">
        <v>11.191341840842766</v>
      </c>
      <c r="E570" s="4">
        <v>1</v>
      </c>
      <c r="F570" s="5">
        <v>3.5553480614894135</v>
      </c>
      <c r="G570" s="4">
        <v>4</v>
      </c>
    </row>
    <row r="571" spans="1:7" x14ac:dyDescent="0.15">
      <c r="A571" s="4">
        <v>570</v>
      </c>
      <c r="B571" s="4">
        <v>0</v>
      </c>
      <c r="D571" s="5">
        <v>10.388995368317829</v>
      </c>
      <c r="E571" s="4">
        <v>1</v>
      </c>
      <c r="F571" s="5">
        <v>2.7725887222397811</v>
      </c>
      <c r="G571" s="4">
        <v>5</v>
      </c>
    </row>
    <row r="572" spans="1:7" x14ac:dyDescent="0.15">
      <c r="A572" s="4">
        <v>571</v>
      </c>
      <c r="B572" s="4">
        <v>0</v>
      </c>
      <c r="D572" s="5">
        <v>11.191341840842766</v>
      </c>
      <c r="E572" s="4">
        <v>1</v>
      </c>
      <c r="F572" s="5">
        <v>2.8903717578961645</v>
      </c>
      <c r="G572" s="4">
        <v>5</v>
      </c>
    </row>
    <row r="573" spans="1:7" x14ac:dyDescent="0.15">
      <c r="A573" s="4">
        <v>572</v>
      </c>
      <c r="B573" s="4">
        <v>0</v>
      </c>
      <c r="D573" s="5">
        <v>11.736069016284437</v>
      </c>
      <c r="E573" s="4">
        <v>1</v>
      </c>
      <c r="F573" s="5">
        <v>3.8712010109078911</v>
      </c>
      <c r="G573" s="4">
        <v>2</v>
      </c>
    </row>
    <row r="574" spans="1:7" x14ac:dyDescent="0.15">
      <c r="A574" s="4">
        <v>573</v>
      </c>
      <c r="B574" s="4">
        <v>0</v>
      </c>
      <c r="D574" s="5">
        <v>11.119882876860622</v>
      </c>
      <c r="E574" s="4">
        <v>1</v>
      </c>
      <c r="F574" s="5">
        <v>3.4011973816621555</v>
      </c>
      <c r="G574" s="4">
        <v>5</v>
      </c>
    </row>
    <row r="575" spans="1:7" x14ac:dyDescent="0.15">
      <c r="A575" s="4">
        <v>574</v>
      </c>
      <c r="B575" s="4">
        <v>0</v>
      </c>
      <c r="D575" s="5">
        <v>11.736069016284437</v>
      </c>
      <c r="E575" s="4">
        <v>1</v>
      </c>
      <c r="F575" s="5">
        <v>3.5835189384561099</v>
      </c>
      <c r="G575" s="4">
        <v>3</v>
      </c>
    </row>
    <row r="576" spans="1:7" x14ac:dyDescent="0.15">
      <c r="A576" s="4">
        <v>575</v>
      </c>
      <c r="B576" s="4">
        <v>1</v>
      </c>
      <c r="D576" s="5">
        <v>11.082142548877775</v>
      </c>
      <c r="E576" s="4">
        <v>1</v>
      </c>
      <c r="F576" s="5">
        <v>3.4965075614664802</v>
      </c>
      <c r="G576" s="4">
        <v>3</v>
      </c>
    </row>
    <row r="577" spans="1:7" x14ac:dyDescent="0.15">
      <c r="A577" s="4">
        <v>576</v>
      </c>
      <c r="B577" s="4">
        <v>0</v>
      </c>
      <c r="D577" s="5">
        <v>11.379394072345706</v>
      </c>
      <c r="E577" s="4">
        <v>1</v>
      </c>
      <c r="F577" s="5">
        <v>3.2188758248682006</v>
      </c>
      <c r="G577" s="4">
        <v>5</v>
      </c>
    </row>
    <row r="578" spans="1:7" x14ac:dyDescent="0.15">
      <c r="A578" s="4">
        <v>577</v>
      </c>
      <c r="B578" s="4">
        <v>0</v>
      </c>
      <c r="D578" s="5">
        <v>10.308952660644293</v>
      </c>
      <c r="E578" s="4">
        <v>1</v>
      </c>
      <c r="F578" s="5">
        <v>3.2958368660043291</v>
      </c>
      <c r="G578" s="4">
        <v>5</v>
      </c>
    </row>
    <row r="579" spans="1:7" x14ac:dyDescent="0.15">
      <c r="A579" s="4">
        <v>578</v>
      </c>
      <c r="B579" s="4">
        <v>0</v>
      </c>
      <c r="D579" s="5">
        <v>10.768484990022733</v>
      </c>
      <c r="E579" s="4">
        <v>0</v>
      </c>
      <c r="F579" s="5">
        <v>3.9318256327243257</v>
      </c>
      <c r="G579" s="4">
        <v>2</v>
      </c>
    </row>
    <row r="580" spans="1:7" x14ac:dyDescent="0.15">
      <c r="A580" s="4">
        <v>579</v>
      </c>
      <c r="B580" s="4">
        <v>0</v>
      </c>
      <c r="D580" s="5">
        <v>12.206072645530174</v>
      </c>
      <c r="E580" s="4">
        <v>1</v>
      </c>
      <c r="F580" s="5">
        <v>3.784189633918261</v>
      </c>
      <c r="G580" s="4">
        <v>2</v>
      </c>
    </row>
    <row r="581" spans="1:7" x14ac:dyDescent="0.15">
      <c r="A581" s="4">
        <v>580</v>
      </c>
      <c r="B581" s="4">
        <v>0</v>
      </c>
      <c r="D581" s="5">
        <v>11.082142548877775</v>
      </c>
      <c r="E581" s="4">
        <v>0</v>
      </c>
      <c r="F581" s="5">
        <v>3.3672958299864741</v>
      </c>
      <c r="G581" s="4">
        <v>2</v>
      </c>
    </row>
    <row r="582" spans="1:7" x14ac:dyDescent="0.15">
      <c r="A582" s="4">
        <v>581</v>
      </c>
      <c r="B582" s="4">
        <v>0</v>
      </c>
      <c r="D582" s="5">
        <v>10.532096211958502</v>
      </c>
      <c r="E582" s="4">
        <v>0</v>
      </c>
      <c r="F582" s="5">
        <v>2.8903717578961645</v>
      </c>
      <c r="G582" s="4">
        <v>5</v>
      </c>
    </row>
    <row r="583" spans="1:7" x14ac:dyDescent="0.15">
      <c r="A583" s="4">
        <v>582</v>
      </c>
      <c r="B583" s="4">
        <v>1</v>
      </c>
      <c r="D583" s="5">
        <v>11.082142548877775</v>
      </c>
      <c r="E583" s="4">
        <v>0</v>
      </c>
      <c r="F583" s="5">
        <v>3.4657359027997265</v>
      </c>
      <c r="G583" s="4">
        <v>3</v>
      </c>
    </row>
    <row r="584" spans="1:7" x14ac:dyDescent="0.15">
      <c r="A584" s="4">
        <v>583</v>
      </c>
      <c r="B584" s="4">
        <v>0</v>
      </c>
      <c r="D584" s="5">
        <v>11.082142548877775</v>
      </c>
      <c r="E584" s="4">
        <v>0</v>
      </c>
      <c r="F584" s="5">
        <v>3.8286413964890951</v>
      </c>
      <c r="G584" s="4">
        <v>3</v>
      </c>
    </row>
    <row r="585" spans="1:7" x14ac:dyDescent="0.15">
      <c r="A585" s="4">
        <v>584</v>
      </c>
      <c r="B585" s="4">
        <v>5</v>
      </c>
      <c r="D585" s="5">
        <v>9.7699561599116063</v>
      </c>
      <c r="E585" s="4">
        <v>1</v>
      </c>
      <c r="F585" s="5">
        <v>3.912023005428146</v>
      </c>
      <c r="G585" s="4">
        <v>1</v>
      </c>
    </row>
    <row r="586" spans="1:7" x14ac:dyDescent="0.15">
      <c r="A586" s="4">
        <v>585</v>
      </c>
      <c r="B586" s="4">
        <v>0</v>
      </c>
      <c r="D586" s="5">
        <v>11.379394072345706</v>
      </c>
      <c r="E586" s="4">
        <v>0</v>
      </c>
      <c r="F586" s="5">
        <v>3.784189633918261</v>
      </c>
      <c r="G586" s="4">
        <v>4</v>
      </c>
    </row>
    <row r="587" spans="1:7" x14ac:dyDescent="0.15">
      <c r="A587" s="4">
        <v>586</v>
      </c>
      <c r="B587" s="4">
        <v>2</v>
      </c>
      <c r="D587" s="5">
        <v>11.736069016284437</v>
      </c>
      <c r="E587" s="4">
        <v>0</v>
      </c>
      <c r="F587" s="5">
        <v>3.912023005428146</v>
      </c>
      <c r="G587" s="4">
        <v>2</v>
      </c>
    </row>
    <row r="588" spans="1:7" x14ac:dyDescent="0.15">
      <c r="A588" s="4">
        <v>587</v>
      </c>
      <c r="B588" s="4">
        <v>0</v>
      </c>
      <c r="D588" s="5">
        <v>11.736069016284437</v>
      </c>
      <c r="E588" s="4">
        <v>1</v>
      </c>
      <c r="F588" s="5">
        <v>4.0073331852324712</v>
      </c>
      <c r="G588" s="4">
        <v>5</v>
      </c>
    </row>
    <row r="589" spans="1:7" x14ac:dyDescent="0.15">
      <c r="A589" s="4">
        <v>588</v>
      </c>
      <c r="B589" s="4">
        <v>0</v>
      </c>
      <c r="D589" s="5">
        <v>10.819778284410283</v>
      </c>
      <c r="E589" s="4">
        <v>1</v>
      </c>
      <c r="F589" s="5">
        <v>4.0430512678345503</v>
      </c>
      <c r="G589" s="4">
        <v>3</v>
      </c>
    </row>
    <row r="590" spans="1:7" x14ac:dyDescent="0.15">
      <c r="A590" s="4">
        <v>589</v>
      </c>
      <c r="B590" s="4">
        <v>0</v>
      </c>
      <c r="D590" s="5">
        <v>10.308952660644293</v>
      </c>
      <c r="E590" s="4">
        <v>1</v>
      </c>
      <c r="F590" s="5">
        <v>4.0943445622221004</v>
      </c>
      <c r="G590" s="4">
        <v>3</v>
      </c>
    </row>
    <row r="591" spans="1:7" x14ac:dyDescent="0.15">
      <c r="A591" s="4">
        <v>590</v>
      </c>
      <c r="B591" s="4">
        <v>0</v>
      </c>
      <c r="D591" s="5">
        <v>11.736069016284437</v>
      </c>
      <c r="E591" s="4">
        <v>0</v>
      </c>
      <c r="F591" s="5">
        <v>3.7376696182833684</v>
      </c>
      <c r="G591" s="4">
        <v>2</v>
      </c>
    </row>
    <row r="592" spans="1:7" x14ac:dyDescent="0.15">
      <c r="A592" s="4">
        <v>591</v>
      </c>
      <c r="B592" s="4">
        <v>0</v>
      </c>
      <c r="D592" s="5">
        <v>11.191341840842766</v>
      </c>
      <c r="E592" s="4">
        <v>1</v>
      </c>
      <c r="F592" s="5">
        <v>4.2341065045972597</v>
      </c>
      <c r="G592" s="4">
        <v>2</v>
      </c>
    </row>
    <row r="593" spans="1:7" x14ac:dyDescent="0.15">
      <c r="A593" s="4">
        <v>592</v>
      </c>
      <c r="B593" s="4">
        <v>0</v>
      </c>
      <c r="D593" s="5">
        <v>10.768484990022733</v>
      </c>
      <c r="E593" s="4">
        <v>0</v>
      </c>
      <c r="F593" s="5">
        <v>4.1431347263915326</v>
      </c>
      <c r="G593" s="4">
        <v>2</v>
      </c>
    </row>
    <row r="594" spans="1:7" x14ac:dyDescent="0.15">
      <c r="A594" s="4">
        <v>593</v>
      </c>
      <c r="B594" s="4">
        <v>0</v>
      </c>
      <c r="D594" s="5">
        <v>10.768484990022733</v>
      </c>
      <c r="E594" s="4">
        <v>1</v>
      </c>
      <c r="F594" s="5">
        <v>3.7376696182833684</v>
      </c>
      <c r="G594" s="4">
        <v>4</v>
      </c>
    </row>
    <row r="595" spans="1:7" x14ac:dyDescent="0.15">
      <c r="A595" s="4">
        <v>594</v>
      </c>
      <c r="B595" s="4">
        <v>0</v>
      </c>
      <c r="D595" s="5">
        <v>11.379394072345706</v>
      </c>
      <c r="E595" s="4">
        <v>1</v>
      </c>
      <c r="F595" s="5">
        <v>2.8332133440562162</v>
      </c>
      <c r="G595" s="4">
        <v>4</v>
      </c>
    </row>
    <row r="596" spans="1:7" x14ac:dyDescent="0.15">
      <c r="A596" s="4">
        <v>595</v>
      </c>
      <c r="B596" s="4">
        <v>15</v>
      </c>
      <c r="D596" s="5">
        <v>11.736069016284437</v>
      </c>
      <c r="E596" s="4">
        <v>0</v>
      </c>
      <c r="F596" s="5">
        <v>3.9889840465642745</v>
      </c>
      <c r="G596" s="4">
        <v>2</v>
      </c>
    </row>
    <row r="597" spans="1:7" x14ac:dyDescent="0.15">
      <c r="A597" s="4">
        <v>596</v>
      </c>
      <c r="B597" s="4">
        <v>1</v>
      </c>
      <c r="D597" s="5">
        <v>11.736069016284437</v>
      </c>
      <c r="E597" s="4">
        <v>0</v>
      </c>
      <c r="F597" s="5">
        <v>3.784189633918261</v>
      </c>
      <c r="G597" s="4">
        <v>7</v>
      </c>
    </row>
    <row r="598" spans="1:7" x14ac:dyDescent="0.15">
      <c r="A598" s="4">
        <v>597</v>
      </c>
      <c r="B598" s="4">
        <v>0</v>
      </c>
      <c r="D598" s="5">
        <v>11.191341840842766</v>
      </c>
      <c r="E598" s="4">
        <v>1</v>
      </c>
      <c r="F598" s="5">
        <v>3.9889840465642745</v>
      </c>
      <c r="G598" s="4">
        <v>2</v>
      </c>
    </row>
    <row r="599" spans="1:7" x14ac:dyDescent="0.15">
      <c r="A599" s="4">
        <v>598</v>
      </c>
      <c r="B599" s="4">
        <v>0</v>
      </c>
      <c r="D599" s="5">
        <v>11.736069016284437</v>
      </c>
      <c r="E599" s="4">
        <v>1</v>
      </c>
      <c r="F599" s="5">
        <v>3.6635616461296463</v>
      </c>
      <c r="G599" s="4">
        <v>4</v>
      </c>
    </row>
    <row r="600" spans="1:7" x14ac:dyDescent="0.15">
      <c r="A600" s="4">
        <v>599</v>
      </c>
      <c r="B600" s="4">
        <v>0</v>
      </c>
      <c r="D600" s="5">
        <v>10.308952660644293</v>
      </c>
      <c r="E600" s="4">
        <v>1</v>
      </c>
      <c r="F600" s="5">
        <v>3.784189633918261</v>
      </c>
      <c r="G600" s="4">
        <v>2</v>
      </c>
    </row>
    <row r="601" spans="1:7" x14ac:dyDescent="0.15">
      <c r="A601" s="4">
        <v>600</v>
      </c>
      <c r="B601" s="4">
        <v>0</v>
      </c>
      <c r="D601" s="5">
        <v>11.918390573078392</v>
      </c>
      <c r="E601" s="4">
        <v>1</v>
      </c>
      <c r="F601" s="5">
        <v>3.8066624897703196</v>
      </c>
      <c r="G601" s="4">
        <v>4</v>
      </c>
    </row>
    <row r="602" spans="1:7" x14ac:dyDescent="0.15">
      <c r="A602" s="4">
        <v>601</v>
      </c>
      <c r="B602" s="4">
        <v>0</v>
      </c>
      <c r="D602" s="5">
        <v>11.379394072345706</v>
      </c>
      <c r="E602" s="4">
        <v>0</v>
      </c>
      <c r="F602" s="5">
        <v>3.8501476017100584</v>
      </c>
      <c r="G602" s="4">
        <v>4</v>
      </c>
    </row>
    <row r="603" spans="1:7" x14ac:dyDescent="0.15">
      <c r="A603" s="4">
        <v>602</v>
      </c>
      <c r="B603" s="4">
        <v>0</v>
      </c>
      <c r="D603" s="5">
        <v>11.379394072345706</v>
      </c>
      <c r="E603" s="4">
        <v>1</v>
      </c>
      <c r="F603" s="5">
        <v>3.7376696182833684</v>
      </c>
      <c r="G603" s="4">
        <v>2</v>
      </c>
    </row>
    <row r="604" spans="1:7" x14ac:dyDescent="0.15">
      <c r="A604" s="4">
        <v>603</v>
      </c>
      <c r="B604" s="4">
        <v>0</v>
      </c>
      <c r="D604" s="5">
        <v>11.379394072345706</v>
      </c>
      <c r="E604" s="4">
        <v>0</v>
      </c>
      <c r="F604" s="5">
        <v>4.2484952420493594</v>
      </c>
      <c r="G604" s="4">
        <v>2</v>
      </c>
    </row>
    <row r="605" spans="1:7" x14ac:dyDescent="0.15">
      <c r="A605" s="4">
        <v>604</v>
      </c>
      <c r="B605" s="4">
        <v>0</v>
      </c>
      <c r="D605" s="5">
        <v>10.915088464214607</v>
      </c>
      <c r="E605" s="4">
        <v>0</v>
      </c>
      <c r="F605" s="5">
        <v>3.784189633918261</v>
      </c>
      <c r="G605" s="4">
        <v>6</v>
      </c>
    </row>
    <row r="606" spans="1:7" x14ac:dyDescent="0.15">
      <c r="A606" s="4">
        <v>605</v>
      </c>
      <c r="B606" s="4">
        <v>0</v>
      </c>
      <c r="D606" s="5">
        <v>11.119882876860622</v>
      </c>
      <c r="E606" s="4">
        <v>0</v>
      </c>
      <c r="F606" s="5">
        <v>3.6888794541139363</v>
      </c>
      <c r="G606" s="4">
        <v>5</v>
      </c>
    </row>
    <row r="607" spans="1:7" x14ac:dyDescent="0.15">
      <c r="A607" s="4">
        <v>606</v>
      </c>
      <c r="B607" s="4">
        <v>2</v>
      </c>
      <c r="D607" s="5">
        <v>11.191341840842766</v>
      </c>
      <c r="E607" s="4">
        <v>1</v>
      </c>
      <c r="F607" s="5">
        <v>3.713572066704308</v>
      </c>
      <c r="G607" s="4">
        <v>3</v>
      </c>
    </row>
    <row r="608" spans="1:7" x14ac:dyDescent="0.15">
      <c r="A608" s="4">
        <v>607</v>
      </c>
      <c r="B608" s="4">
        <v>0</v>
      </c>
      <c r="D608" s="5">
        <v>11.082142548877775</v>
      </c>
      <c r="E608" s="4">
        <v>1</v>
      </c>
      <c r="F608" s="5">
        <v>3.4011973816621555</v>
      </c>
      <c r="G608" s="4">
        <v>3</v>
      </c>
    </row>
    <row r="609" spans="1:7" x14ac:dyDescent="0.15">
      <c r="A609" s="4">
        <v>608</v>
      </c>
      <c r="B609" s="4">
        <v>0</v>
      </c>
      <c r="D609" s="5">
        <v>11.119882876860622</v>
      </c>
      <c r="E609" s="4">
        <v>1</v>
      </c>
      <c r="F609" s="5">
        <v>3.9318256327243257</v>
      </c>
      <c r="G609" s="4">
        <v>3</v>
      </c>
    </row>
    <row r="610" spans="1:7" x14ac:dyDescent="0.15">
      <c r="A610" s="4">
        <v>609</v>
      </c>
      <c r="B610" s="4">
        <v>0</v>
      </c>
      <c r="D610" s="5">
        <v>11.119882876860622</v>
      </c>
      <c r="E610" s="4">
        <v>1</v>
      </c>
      <c r="F610" s="5">
        <v>3.4965075614664802</v>
      </c>
      <c r="G610" s="4">
        <v>2</v>
      </c>
    </row>
    <row r="611" spans="1:7" x14ac:dyDescent="0.15">
      <c r="A611" s="4">
        <v>610</v>
      </c>
      <c r="B611" s="4">
        <v>0</v>
      </c>
      <c r="D611" s="5">
        <v>10.915088464214607</v>
      </c>
      <c r="E611" s="4">
        <v>0</v>
      </c>
      <c r="F611" s="5">
        <v>2.7725887222397811</v>
      </c>
      <c r="G611" s="4">
        <v>4</v>
      </c>
    </row>
    <row r="612" spans="1:7" x14ac:dyDescent="0.15">
      <c r="A612" s="4">
        <v>611</v>
      </c>
      <c r="B612" s="4">
        <v>0</v>
      </c>
      <c r="D612" s="5">
        <v>10.021270588192511</v>
      </c>
      <c r="E612" s="4">
        <v>1</v>
      </c>
      <c r="F612" s="5">
        <v>3.1780538303479458</v>
      </c>
      <c r="G612" s="4">
        <v>3</v>
      </c>
    </row>
    <row r="613" spans="1:7" x14ac:dyDescent="0.15">
      <c r="A613" s="4">
        <v>612</v>
      </c>
      <c r="B613" s="4">
        <v>0</v>
      </c>
      <c r="D613" s="5">
        <v>11.379394072345706</v>
      </c>
      <c r="E613" s="4">
        <v>1</v>
      </c>
      <c r="F613" s="5">
        <v>3.3322045101752038</v>
      </c>
      <c r="G613" s="4">
        <v>5</v>
      </c>
    </row>
    <row r="614" spans="1:7" x14ac:dyDescent="0.15">
      <c r="A614" s="4">
        <v>613</v>
      </c>
      <c r="B614" s="4">
        <v>1</v>
      </c>
      <c r="D614" s="5">
        <v>11.191341840842766</v>
      </c>
      <c r="E614" s="4">
        <v>1</v>
      </c>
      <c r="F614" s="5">
        <v>3.8712010109078911</v>
      </c>
      <c r="G614" s="4">
        <v>3</v>
      </c>
    </row>
    <row r="615" spans="1:7" x14ac:dyDescent="0.15">
      <c r="A615" s="4">
        <v>614</v>
      </c>
      <c r="B615" s="4">
        <v>0</v>
      </c>
      <c r="D615" s="5">
        <v>11.379394072345706</v>
      </c>
      <c r="E615" s="4">
        <v>1</v>
      </c>
      <c r="F615" s="5">
        <v>3.8286413964890951</v>
      </c>
      <c r="G615" s="4">
        <v>2</v>
      </c>
    </row>
    <row r="616" spans="1:7" x14ac:dyDescent="0.15">
      <c r="A616" s="4">
        <v>615</v>
      </c>
      <c r="B616" s="4">
        <v>0</v>
      </c>
      <c r="D616" s="5">
        <v>10.915088464214607</v>
      </c>
      <c r="E616" s="4">
        <v>1</v>
      </c>
      <c r="F616" s="5">
        <v>4.0253516907351496</v>
      </c>
      <c r="G616" s="4">
        <v>2</v>
      </c>
    </row>
    <row r="617" spans="1:7" x14ac:dyDescent="0.15">
      <c r="A617" s="4">
        <v>616</v>
      </c>
      <c r="B617" s="4">
        <v>0</v>
      </c>
      <c r="D617" s="5">
        <v>11.736069016284437</v>
      </c>
      <c r="E617" s="4">
        <v>1</v>
      </c>
      <c r="F617" s="5">
        <v>4.0430512678345503</v>
      </c>
      <c r="G617" s="4">
        <v>2</v>
      </c>
    </row>
    <row r="618" spans="1:7" x14ac:dyDescent="0.15">
      <c r="A618" s="4">
        <v>617</v>
      </c>
      <c r="B618" s="4">
        <v>0</v>
      </c>
      <c r="D618" s="5">
        <v>10.819778284410283</v>
      </c>
      <c r="E618" s="4">
        <v>1</v>
      </c>
      <c r="F618" s="5">
        <v>3.5835189384561099</v>
      </c>
      <c r="G618" s="4">
        <v>3</v>
      </c>
    </row>
    <row r="619" spans="1:7" x14ac:dyDescent="0.15">
      <c r="A619" s="4">
        <v>618</v>
      </c>
      <c r="B619" s="4">
        <v>2</v>
      </c>
      <c r="D619" s="5">
        <v>10.819778284410283</v>
      </c>
      <c r="E619" s="4">
        <v>1</v>
      </c>
      <c r="F619" s="5">
        <v>3.6375861597263857</v>
      </c>
      <c r="G619" s="4">
        <v>7</v>
      </c>
    </row>
    <row r="620" spans="1:7" x14ac:dyDescent="0.15">
      <c r="A620" s="4">
        <v>619</v>
      </c>
      <c r="B620" s="4">
        <v>1</v>
      </c>
      <c r="D620" s="5">
        <v>10.768484990022733</v>
      </c>
      <c r="E620" s="4">
        <v>0</v>
      </c>
      <c r="F620" s="5">
        <v>3.713572066704308</v>
      </c>
      <c r="G620" s="4">
        <v>2</v>
      </c>
    </row>
    <row r="621" spans="1:7" x14ac:dyDescent="0.15">
      <c r="A621" s="4">
        <v>620</v>
      </c>
      <c r="B621" s="4">
        <v>0</v>
      </c>
      <c r="D621" s="5">
        <v>11.119882876860622</v>
      </c>
      <c r="E621" s="4">
        <v>1</v>
      </c>
      <c r="F621" s="5">
        <v>2.4849066497880004</v>
      </c>
      <c r="G621" s="4">
        <v>7</v>
      </c>
    </row>
    <row r="622" spans="1:7" x14ac:dyDescent="0.15">
      <c r="A622" s="4">
        <v>621</v>
      </c>
      <c r="B622" s="4">
        <v>0</v>
      </c>
      <c r="D622" s="5">
        <v>11.119882876860622</v>
      </c>
      <c r="E622" s="4">
        <v>0</v>
      </c>
      <c r="F622" s="5">
        <v>3.6888794541139363</v>
      </c>
      <c r="G622" s="4">
        <v>7</v>
      </c>
    </row>
    <row r="623" spans="1:7" x14ac:dyDescent="0.15">
      <c r="A623" s="4">
        <v>622</v>
      </c>
      <c r="B623" s="4">
        <v>1</v>
      </c>
      <c r="D623" s="5">
        <v>10.388995368317829</v>
      </c>
      <c r="E623" s="4">
        <v>0</v>
      </c>
      <c r="F623" s="5">
        <v>3.2188758248682006</v>
      </c>
      <c r="G623" s="4">
        <v>3</v>
      </c>
    </row>
    <row r="624" spans="1:7" x14ac:dyDescent="0.15">
      <c r="A624" s="4">
        <v>623</v>
      </c>
      <c r="B624" s="4">
        <v>2</v>
      </c>
      <c r="D624" s="5">
        <v>10.388995368317829</v>
      </c>
      <c r="E624" s="4">
        <v>0</v>
      </c>
      <c r="F624" s="5">
        <v>3.1354942159291497</v>
      </c>
      <c r="G624" s="4">
        <v>3</v>
      </c>
    </row>
    <row r="625" spans="1:7" x14ac:dyDescent="0.15">
      <c r="A625" s="4">
        <v>624</v>
      </c>
      <c r="B625" s="4">
        <v>0</v>
      </c>
      <c r="D625" s="5">
        <v>11.119882876860622</v>
      </c>
      <c r="E625" s="4">
        <v>1</v>
      </c>
      <c r="F625" s="5">
        <v>3.970291913552122</v>
      </c>
      <c r="G625" s="4">
        <v>3</v>
      </c>
    </row>
    <row r="626" spans="1:7" x14ac:dyDescent="0.15">
      <c r="A626" s="4">
        <v>625</v>
      </c>
      <c r="B626" s="4">
        <v>0</v>
      </c>
      <c r="D626" s="5">
        <v>11.379394072345706</v>
      </c>
      <c r="E626" s="4">
        <v>1</v>
      </c>
      <c r="F626" s="5">
        <v>3.5553480614894135</v>
      </c>
      <c r="G626" s="4">
        <v>1</v>
      </c>
    </row>
    <row r="627" spans="1:7" x14ac:dyDescent="0.15">
      <c r="A627" s="4">
        <v>626</v>
      </c>
      <c r="B627" s="4">
        <v>0</v>
      </c>
      <c r="D627" s="5">
        <v>10.308952660644293</v>
      </c>
      <c r="E627" s="4">
        <v>0</v>
      </c>
      <c r="F627" s="5">
        <v>3.3672958299864741</v>
      </c>
      <c r="G627" s="4">
        <v>2</v>
      </c>
    </row>
    <row r="628" spans="1:7" x14ac:dyDescent="0.15">
      <c r="A628" s="4">
        <v>627</v>
      </c>
      <c r="B628" s="4">
        <v>0</v>
      </c>
      <c r="D628" s="5">
        <v>10.915088464214607</v>
      </c>
      <c r="E628" s="4">
        <v>1</v>
      </c>
      <c r="F628" s="5">
        <v>3.6635616461296463</v>
      </c>
      <c r="G628" s="4">
        <v>4</v>
      </c>
    </row>
    <row r="629" spans="1:7" x14ac:dyDescent="0.15">
      <c r="A629" s="4">
        <v>628</v>
      </c>
      <c r="B629" s="4">
        <v>0</v>
      </c>
      <c r="D629" s="5">
        <v>11.119882876860622</v>
      </c>
      <c r="E629" s="4">
        <v>0</v>
      </c>
      <c r="F629" s="5">
        <v>3.044522437723423</v>
      </c>
      <c r="G629" s="4">
        <v>4</v>
      </c>
    </row>
    <row r="630" spans="1:7" x14ac:dyDescent="0.15">
      <c r="A630" s="4">
        <v>629</v>
      </c>
      <c r="B630" s="4">
        <v>1</v>
      </c>
      <c r="D630" s="5">
        <v>10.768484990022733</v>
      </c>
      <c r="E630" s="4">
        <v>0</v>
      </c>
      <c r="F630" s="5">
        <v>3.6888794541139363</v>
      </c>
      <c r="G630" s="4">
        <v>2</v>
      </c>
    </row>
    <row r="631" spans="1:7" x14ac:dyDescent="0.15">
      <c r="A631" s="4">
        <v>630</v>
      </c>
      <c r="B631" s="4">
        <v>0</v>
      </c>
      <c r="D631" s="5">
        <v>11.082142548877775</v>
      </c>
      <c r="E631" s="4">
        <v>1</v>
      </c>
      <c r="F631" s="5">
        <v>4.0943445622221004</v>
      </c>
      <c r="G631" s="4">
        <v>4</v>
      </c>
    </row>
    <row r="632" spans="1:7" x14ac:dyDescent="0.15">
      <c r="A632" s="4">
        <v>631</v>
      </c>
      <c r="B632" s="4">
        <v>0</v>
      </c>
      <c r="D632" s="5">
        <v>10.819778284410283</v>
      </c>
      <c r="E632" s="4">
        <v>1</v>
      </c>
      <c r="F632" s="5">
        <v>3.2188758248682006</v>
      </c>
      <c r="G632" s="4">
        <v>6</v>
      </c>
    </row>
    <row r="633" spans="1:7" x14ac:dyDescent="0.15">
      <c r="A633" s="4">
        <v>632</v>
      </c>
      <c r="B633" s="4">
        <v>0</v>
      </c>
      <c r="D633" s="5">
        <v>11.379394072345706</v>
      </c>
      <c r="E633" s="4">
        <v>0</v>
      </c>
      <c r="F633" s="5">
        <v>3.6109179126442243</v>
      </c>
      <c r="G633" s="4">
        <v>3</v>
      </c>
    </row>
    <row r="634" spans="1:7" x14ac:dyDescent="0.15">
      <c r="A634" s="4">
        <v>633</v>
      </c>
      <c r="B634" s="4">
        <v>0</v>
      </c>
      <c r="D634" s="5">
        <v>10.308952660644293</v>
      </c>
      <c r="E634" s="4">
        <v>1</v>
      </c>
      <c r="F634" s="5">
        <v>2.7725887222397811</v>
      </c>
      <c r="G634" s="4">
        <v>2</v>
      </c>
    </row>
    <row r="635" spans="1:7" x14ac:dyDescent="0.15">
      <c r="A635" s="4">
        <v>634</v>
      </c>
      <c r="B635" s="4">
        <v>0</v>
      </c>
      <c r="D635" s="5">
        <v>10.819778284410283</v>
      </c>
      <c r="E635" s="4">
        <v>1</v>
      </c>
      <c r="F635" s="5">
        <v>4.2766661190160553</v>
      </c>
      <c r="G635" s="4">
        <v>3</v>
      </c>
    </row>
    <row r="636" spans="1:7" x14ac:dyDescent="0.15">
      <c r="A636" s="4">
        <v>635</v>
      </c>
      <c r="B636" s="4">
        <v>1</v>
      </c>
      <c r="D636" s="5">
        <v>10.308952660644293</v>
      </c>
      <c r="E636" s="4">
        <v>0</v>
      </c>
      <c r="F636" s="5">
        <v>3.8918202981106265</v>
      </c>
      <c r="G636" s="4">
        <v>6</v>
      </c>
    </row>
    <row r="637" spans="1:7" x14ac:dyDescent="0.15">
      <c r="A637" s="4">
        <v>636</v>
      </c>
      <c r="B637" s="4">
        <v>1</v>
      </c>
      <c r="D637" s="5">
        <v>9.9034875525361272</v>
      </c>
      <c r="E637" s="4">
        <v>1</v>
      </c>
      <c r="F637" s="5">
        <v>3.0910424533583161</v>
      </c>
      <c r="G637" s="4">
        <v>2</v>
      </c>
    </row>
    <row r="638" spans="1:7" x14ac:dyDescent="0.15">
      <c r="A638" s="4">
        <v>637</v>
      </c>
      <c r="B638" s="4">
        <v>0</v>
      </c>
      <c r="D638" s="5">
        <v>9.9034875525361272</v>
      </c>
      <c r="E638" s="4">
        <v>0</v>
      </c>
      <c r="F638" s="5">
        <v>2.7725887222397811</v>
      </c>
      <c r="G638" s="4">
        <v>2</v>
      </c>
    </row>
    <row r="639" spans="1:7" x14ac:dyDescent="0.15">
      <c r="A639" s="4">
        <v>638</v>
      </c>
      <c r="B639" s="4">
        <v>0</v>
      </c>
      <c r="D639" s="5">
        <v>11.191341840842766</v>
      </c>
      <c r="E639" s="4">
        <v>0</v>
      </c>
      <c r="F639" s="5">
        <v>4.1271343850450917</v>
      </c>
      <c r="G639" s="4">
        <v>2</v>
      </c>
    </row>
    <row r="640" spans="1:7" x14ac:dyDescent="0.15">
      <c r="A640" s="4">
        <v>639</v>
      </c>
      <c r="B640" s="4">
        <v>1</v>
      </c>
      <c r="D640" s="5">
        <v>10.819778284410283</v>
      </c>
      <c r="E640" s="4">
        <v>1</v>
      </c>
      <c r="F640" s="5">
        <v>3.4339872044851463</v>
      </c>
      <c r="G640" s="4">
        <v>5</v>
      </c>
    </row>
    <row r="641" spans="1:7" x14ac:dyDescent="0.15">
      <c r="A641" s="4">
        <v>640</v>
      </c>
      <c r="B641" s="4">
        <v>0</v>
      </c>
      <c r="D641" s="5">
        <v>11.379394072345706</v>
      </c>
      <c r="E641" s="4">
        <v>1</v>
      </c>
      <c r="F641" s="5">
        <v>2.7080502011022101</v>
      </c>
      <c r="G641" s="4">
        <v>6</v>
      </c>
    </row>
    <row r="642" spans="1:7" x14ac:dyDescent="0.15">
      <c r="A642" s="4">
        <v>641</v>
      </c>
      <c r="B642" s="4">
        <v>1</v>
      </c>
      <c r="D642" s="5">
        <v>9.9034875525361272</v>
      </c>
      <c r="E642" s="4">
        <v>1</v>
      </c>
      <c r="F642" s="5">
        <v>3.3322045101752038</v>
      </c>
      <c r="G642" s="4">
        <v>2</v>
      </c>
    </row>
    <row r="643" spans="1:7" x14ac:dyDescent="0.15">
      <c r="A643" s="4">
        <v>642</v>
      </c>
      <c r="B643" s="4">
        <v>0</v>
      </c>
      <c r="D643" s="5">
        <v>10.657259354912508</v>
      </c>
      <c r="E643" s="4">
        <v>1</v>
      </c>
      <c r="F643" s="5">
        <v>3.5835189384561099</v>
      </c>
      <c r="G643" s="4">
        <v>3</v>
      </c>
    </row>
    <row r="644" spans="1:7" x14ac:dyDescent="0.15">
      <c r="A644" s="4">
        <v>643</v>
      </c>
      <c r="B644" s="4">
        <v>1</v>
      </c>
      <c r="D644" s="5">
        <v>10.532096211958502</v>
      </c>
      <c r="E644" s="4">
        <v>1</v>
      </c>
      <c r="F644" s="5">
        <v>3.6635616461296463</v>
      </c>
      <c r="G644" s="4">
        <v>3</v>
      </c>
    </row>
    <row r="645" spans="1:7" x14ac:dyDescent="0.15">
      <c r="A645" s="4">
        <v>644</v>
      </c>
      <c r="B645" s="4">
        <v>0</v>
      </c>
      <c r="D645" s="5">
        <v>10.532096211958502</v>
      </c>
      <c r="E645" s="4">
        <v>1</v>
      </c>
      <c r="F645" s="5">
        <v>3.9512437185814275</v>
      </c>
      <c r="G645" s="4">
        <v>2</v>
      </c>
    </row>
    <row r="646" spans="1:7" x14ac:dyDescent="0.15">
      <c r="A646" s="4">
        <v>645</v>
      </c>
      <c r="B646" s="4">
        <v>0</v>
      </c>
      <c r="D646" s="5">
        <v>10.819778284410283</v>
      </c>
      <c r="E646" s="4">
        <v>1</v>
      </c>
      <c r="F646" s="5">
        <v>3.9318256327243257</v>
      </c>
      <c r="G646" s="4">
        <v>4</v>
      </c>
    </row>
    <row r="647" spans="1:7" x14ac:dyDescent="0.15">
      <c r="A647" s="4">
        <v>646</v>
      </c>
      <c r="B647" s="4">
        <v>0</v>
      </c>
      <c r="D647" s="5">
        <v>10.819778284410283</v>
      </c>
      <c r="E647" s="4">
        <v>0</v>
      </c>
      <c r="F647" s="5">
        <v>3.9318256327243257</v>
      </c>
      <c r="G647" s="4">
        <v>4</v>
      </c>
    </row>
    <row r="648" spans="1:7" x14ac:dyDescent="0.15">
      <c r="A648" s="4">
        <v>647</v>
      </c>
      <c r="B648" s="4">
        <v>0</v>
      </c>
      <c r="D648" s="5">
        <v>11.082142548877775</v>
      </c>
      <c r="E648" s="4">
        <v>0</v>
      </c>
      <c r="F648" s="5">
        <v>3.4657359027997265</v>
      </c>
      <c r="G648" s="4">
        <v>2</v>
      </c>
    </row>
    <row r="649" spans="1:7" x14ac:dyDescent="0.15">
      <c r="A649" s="4">
        <v>648</v>
      </c>
      <c r="B649" s="4">
        <v>12</v>
      </c>
      <c r="D649" s="5">
        <v>10.819778284410283</v>
      </c>
      <c r="E649" s="4">
        <v>1</v>
      </c>
      <c r="F649" s="5">
        <v>3.4011973816621555</v>
      </c>
      <c r="G649" s="4">
        <v>6</v>
      </c>
    </row>
    <row r="650" spans="1:7" x14ac:dyDescent="0.15">
      <c r="A650" s="4">
        <v>649</v>
      </c>
      <c r="B650" s="4">
        <v>8</v>
      </c>
      <c r="D650" s="5">
        <v>11.082142548877775</v>
      </c>
      <c r="E650" s="4">
        <v>1</v>
      </c>
      <c r="F650" s="5">
        <v>3.6635616461296463</v>
      </c>
      <c r="G650" s="4">
        <v>6</v>
      </c>
    </row>
    <row r="651" spans="1:7" x14ac:dyDescent="0.15">
      <c r="A651" s="4">
        <v>650</v>
      </c>
      <c r="B651" s="4">
        <v>0</v>
      </c>
      <c r="D651" s="5">
        <v>11.082142548877775</v>
      </c>
      <c r="E651" s="4">
        <v>1</v>
      </c>
      <c r="F651" s="5">
        <v>2.1972245773362196</v>
      </c>
      <c r="G651" s="4">
        <v>6</v>
      </c>
    </row>
    <row r="652" spans="1:7" x14ac:dyDescent="0.15">
      <c r="A652" s="4">
        <v>651</v>
      </c>
      <c r="B652" s="4">
        <v>0</v>
      </c>
      <c r="D652" s="5">
        <v>11.082142548877775</v>
      </c>
      <c r="E652" s="4">
        <v>0</v>
      </c>
      <c r="F652" s="5">
        <v>2.8903717578961645</v>
      </c>
      <c r="G652" s="4">
        <v>6</v>
      </c>
    </row>
    <row r="653" spans="1:7" x14ac:dyDescent="0.15">
      <c r="A653" s="4">
        <v>652</v>
      </c>
      <c r="B653" s="4">
        <v>0</v>
      </c>
      <c r="D653" s="5">
        <v>11.082142548877775</v>
      </c>
      <c r="E653" s="4">
        <v>0</v>
      </c>
      <c r="F653" s="5">
        <v>2.7080502011022101</v>
      </c>
      <c r="G653" s="4">
        <v>6</v>
      </c>
    </row>
    <row r="654" spans="1:7" x14ac:dyDescent="0.15">
      <c r="A654" s="4">
        <v>653</v>
      </c>
      <c r="B654" s="4">
        <v>1</v>
      </c>
      <c r="D654" s="5">
        <v>11.379394072345706</v>
      </c>
      <c r="E654" s="4">
        <v>0</v>
      </c>
      <c r="F654" s="5">
        <v>3.9512437185814275</v>
      </c>
      <c r="G654" s="4">
        <v>3</v>
      </c>
    </row>
    <row r="655" spans="1:7" x14ac:dyDescent="0.15">
      <c r="A655" s="4">
        <v>654</v>
      </c>
      <c r="B655" s="4">
        <v>0</v>
      </c>
      <c r="D655" s="5">
        <v>10.532096211958502</v>
      </c>
      <c r="E655" s="4">
        <v>1</v>
      </c>
      <c r="F655" s="5">
        <v>4.0430512678345503</v>
      </c>
      <c r="G655" s="4">
        <v>2</v>
      </c>
    </row>
    <row r="656" spans="1:7" x14ac:dyDescent="0.15">
      <c r="A656" s="4">
        <v>655</v>
      </c>
      <c r="B656" s="4">
        <v>2</v>
      </c>
      <c r="D656" s="5">
        <v>11.379394072345706</v>
      </c>
      <c r="E656" s="4">
        <v>0</v>
      </c>
      <c r="F656" s="5">
        <v>3.784189633918261</v>
      </c>
      <c r="G656" s="4">
        <v>3</v>
      </c>
    </row>
    <row r="657" spans="1:7" x14ac:dyDescent="0.15">
      <c r="A657" s="4">
        <v>656</v>
      </c>
      <c r="B657" s="4">
        <v>0</v>
      </c>
      <c r="D657" s="5">
        <v>10.388995368317829</v>
      </c>
      <c r="E657" s="4">
        <v>1</v>
      </c>
      <c r="F657" s="5">
        <v>3.6888794541139363</v>
      </c>
      <c r="G657" s="4">
        <v>2</v>
      </c>
    </row>
    <row r="658" spans="1:7" x14ac:dyDescent="0.15">
      <c r="A658" s="4">
        <v>657</v>
      </c>
      <c r="B658" s="4">
        <v>1</v>
      </c>
      <c r="D658" s="5">
        <v>10.768484990022733</v>
      </c>
      <c r="E658" s="4">
        <v>0</v>
      </c>
      <c r="F658" s="5">
        <v>4.219507705176107</v>
      </c>
      <c r="G658" s="4">
        <v>2</v>
      </c>
    </row>
    <row r="659" spans="1:7" x14ac:dyDescent="0.15">
      <c r="A659" s="4">
        <v>658</v>
      </c>
      <c r="B659" s="4">
        <v>0</v>
      </c>
      <c r="D659" s="5">
        <v>10.915088464214607</v>
      </c>
      <c r="E659" s="4">
        <v>1</v>
      </c>
      <c r="F659" s="5">
        <v>3.6635616461296463</v>
      </c>
      <c r="G659" s="4">
        <v>7</v>
      </c>
    </row>
    <row r="660" spans="1:7" x14ac:dyDescent="0.15">
      <c r="A660" s="4">
        <v>659</v>
      </c>
      <c r="B660" s="4">
        <v>5</v>
      </c>
      <c r="D660" s="5">
        <v>10.657259354912508</v>
      </c>
      <c r="E660" s="4">
        <v>0</v>
      </c>
      <c r="F660" s="5">
        <v>3.5553480614894135</v>
      </c>
      <c r="G660" s="4">
        <v>5</v>
      </c>
    </row>
    <row r="661" spans="1:7" x14ac:dyDescent="0.15">
      <c r="A661" s="4">
        <v>660</v>
      </c>
      <c r="B661" s="4">
        <v>0</v>
      </c>
      <c r="D661" s="5">
        <v>12.072541252905651</v>
      </c>
      <c r="E661" s="4">
        <v>1</v>
      </c>
      <c r="F661" s="5">
        <v>2.3978952727983707</v>
      </c>
      <c r="G661" s="4">
        <v>4</v>
      </c>
    </row>
    <row r="662" spans="1:7" x14ac:dyDescent="0.15">
      <c r="A662" s="4">
        <v>661</v>
      </c>
      <c r="B662" s="4">
        <v>0</v>
      </c>
      <c r="D662" s="5">
        <v>10.819778284410283</v>
      </c>
      <c r="E662" s="4">
        <v>1</v>
      </c>
      <c r="F662" s="5">
        <v>2.7725887222397811</v>
      </c>
      <c r="G662" s="4">
        <v>4</v>
      </c>
    </row>
    <row r="663" spans="1:7" x14ac:dyDescent="0.15">
      <c r="A663" s="4">
        <v>662</v>
      </c>
      <c r="B663" s="4">
        <v>0</v>
      </c>
      <c r="D663" s="5">
        <v>10.819778284410283</v>
      </c>
      <c r="E663" s="4">
        <v>0</v>
      </c>
      <c r="F663" s="5">
        <v>3.9318256327243257</v>
      </c>
      <c r="G663" s="4">
        <v>4</v>
      </c>
    </row>
    <row r="664" spans="1:7" x14ac:dyDescent="0.15">
      <c r="A664" s="4">
        <v>663</v>
      </c>
      <c r="B664" s="4">
        <v>0</v>
      </c>
      <c r="D664" s="5">
        <v>10.308952660644293</v>
      </c>
      <c r="E664" s="4">
        <v>1</v>
      </c>
      <c r="F664" s="5">
        <v>3.3322045101752038</v>
      </c>
      <c r="G664" s="4">
        <v>4</v>
      </c>
    </row>
    <row r="665" spans="1:7" x14ac:dyDescent="0.15">
      <c r="A665" s="4">
        <v>664</v>
      </c>
      <c r="B665" s="4">
        <v>2</v>
      </c>
      <c r="D665" s="5">
        <v>10.657259354912508</v>
      </c>
      <c r="E665" s="4">
        <v>1</v>
      </c>
      <c r="F665" s="5">
        <v>3.4657359027997265</v>
      </c>
      <c r="G665" s="4">
        <v>1</v>
      </c>
    </row>
    <row r="666" spans="1:7" x14ac:dyDescent="0.15">
      <c r="A666" s="4">
        <v>665</v>
      </c>
      <c r="B666" s="4">
        <v>0</v>
      </c>
      <c r="D666" s="5">
        <v>11.379394072345706</v>
      </c>
      <c r="E666" s="4">
        <v>1</v>
      </c>
      <c r="F666" s="5">
        <v>3.6888794541139363</v>
      </c>
      <c r="G666" s="4">
        <v>5</v>
      </c>
    </row>
    <row r="667" spans="1:7" x14ac:dyDescent="0.15">
      <c r="A667" s="4">
        <v>666</v>
      </c>
      <c r="B667" s="4">
        <v>0</v>
      </c>
      <c r="D667" s="5">
        <v>11.119882876860622</v>
      </c>
      <c r="E667" s="4">
        <v>0</v>
      </c>
      <c r="F667" s="5">
        <v>2.4849066497880004</v>
      </c>
      <c r="G667" s="4">
        <v>5</v>
      </c>
    </row>
    <row r="668" spans="1:7" x14ac:dyDescent="0.15">
      <c r="A668" s="4">
        <v>667</v>
      </c>
      <c r="B668" s="4">
        <v>0</v>
      </c>
      <c r="D668" s="5">
        <v>10.308952660644293</v>
      </c>
      <c r="E668" s="4">
        <v>1</v>
      </c>
      <c r="F668" s="5">
        <v>3.5553480614894135</v>
      </c>
      <c r="G668" s="4">
        <v>2</v>
      </c>
    </row>
    <row r="669" spans="1:7" x14ac:dyDescent="0.15">
      <c r="A669" s="4">
        <v>668</v>
      </c>
      <c r="B669" s="4">
        <v>0</v>
      </c>
      <c r="D669" s="5">
        <v>10.308952660644293</v>
      </c>
      <c r="E669" s="4">
        <v>1</v>
      </c>
      <c r="F669" s="5">
        <v>2.6390573296152584</v>
      </c>
      <c r="G669" s="4">
        <v>5</v>
      </c>
    </row>
    <row r="670" spans="1:7" x14ac:dyDescent="0.15">
      <c r="A670" s="4">
        <v>669</v>
      </c>
      <c r="B670" s="4">
        <v>0</v>
      </c>
      <c r="D670" s="5">
        <v>11.191341840842766</v>
      </c>
      <c r="E670" s="4">
        <v>1</v>
      </c>
      <c r="F670" s="5">
        <v>3.3322045101752038</v>
      </c>
      <c r="G670" s="4">
        <v>2</v>
      </c>
    </row>
    <row r="671" spans="1:7" x14ac:dyDescent="0.15">
      <c r="A671" s="4">
        <v>670</v>
      </c>
      <c r="B671" s="4">
        <v>0</v>
      </c>
      <c r="D671" s="5">
        <v>10.388995368317829</v>
      </c>
      <c r="E671" s="4">
        <v>1</v>
      </c>
      <c r="F671" s="5">
        <v>2.7725887222397811</v>
      </c>
      <c r="G671" s="4">
        <v>4</v>
      </c>
    </row>
    <row r="672" spans="1:7" x14ac:dyDescent="0.15">
      <c r="A672" s="4">
        <v>671</v>
      </c>
      <c r="B672" s="4">
        <v>0</v>
      </c>
      <c r="D672" s="5">
        <v>10.308952660644293</v>
      </c>
      <c r="E672" s="4">
        <v>1</v>
      </c>
      <c r="F672" s="5">
        <v>3.4011973816621555</v>
      </c>
      <c r="G672" s="4">
        <v>4</v>
      </c>
    </row>
    <row r="673" spans="1:7" x14ac:dyDescent="0.15">
      <c r="A673" s="4">
        <v>672</v>
      </c>
      <c r="B673" s="4">
        <v>0</v>
      </c>
      <c r="D673" s="5">
        <v>10.819778284410283</v>
      </c>
      <c r="E673" s="4">
        <v>1</v>
      </c>
      <c r="F673" s="5">
        <v>3.6109179126442243</v>
      </c>
      <c r="G673" s="4">
        <v>2</v>
      </c>
    </row>
    <row r="674" spans="1:7" x14ac:dyDescent="0.15">
      <c r="A674" s="4">
        <v>673</v>
      </c>
      <c r="B674" s="4">
        <v>0</v>
      </c>
      <c r="D674" s="5">
        <v>10.221941283654663</v>
      </c>
      <c r="E674" s="4">
        <v>0</v>
      </c>
      <c r="F674" s="5">
        <v>3.1780538303479458</v>
      </c>
      <c r="G674" s="4">
        <v>3</v>
      </c>
    </row>
    <row r="675" spans="1:7" x14ac:dyDescent="0.15">
      <c r="A675" s="4">
        <v>674</v>
      </c>
      <c r="B675" s="4">
        <v>0</v>
      </c>
      <c r="D675" s="5">
        <v>11.736069016284437</v>
      </c>
      <c r="E675" s="4">
        <v>1</v>
      </c>
      <c r="F675" s="5">
        <v>3.4339872044851463</v>
      </c>
      <c r="G675" s="4">
        <v>2</v>
      </c>
    </row>
    <row r="676" spans="1:7" x14ac:dyDescent="0.15">
      <c r="A676" s="4">
        <v>675</v>
      </c>
      <c r="B676" s="4">
        <v>3</v>
      </c>
      <c r="D676" s="5">
        <v>11.191341840842766</v>
      </c>
      <c r="E676" s="4">
        <v>0</v>
      </c>
      <c r="F676" s="5">
        <v>4.2046926193909657</v>
      </c>
      <c r="G676" s="4">
        <v>2</v>
      </c>
    </row>
    <row r="677" spans="1:7" x14ac:dyDescent="0.15">
      <c r="A677" s="4">
        <v>676</v>
      </c>
      <c r="B677" s="4">
        <v>0</v>
      </c>
      <c r="D677" s="5">
        <v>12.206072645530174</v>
      </c>
      <c r="E677" s="4">
        <v>1</v>
      </c>
      <c r="F677" s="5">
        <v>2.7080502011022101</v>
      </c>
      <c r="G677" s="4">
        <v>5</v>
      </c>
    </row>
    <row r="678" spans="1:7" x14ac:dyDescent="0.15">
      <c r="A678" s="4">
        <v>677</v>
      </c>
      <c r="B678" s="4">
        <v>0</v>
      </c>
      <c r="D678" s="5">
        <v>11.379394072345706</v>
      </c>
      <c r="E678" s="4">
        <v>1</v>
      </c>
      <c r="F678" s="5">
        <v>3.6109179126442243</v>
      </c>
      <c r="G678" s="4">
        <v>5</v>
      </c>
    </row>
    <row r="679" spans="1:7" x14ac:dyDescent="0.15">
      <c r="A679" s="4">
        <v>678</v>
      </c>
      <c r="B679" s="4">
        <v>0</v>
      </c>
      <c r="D679" s="5">
        <v>10.915088464214607</v>
      </c>
      <c r="E679" s="4">
        <v>1</v>
      </c>
      <c r="F679" s="5">
        <v>3.4011973816621555</v>
      </c>
      <c r="G679" s="4">
        <v>3</v>
      </c>
    </row>
    <row r="680" spans="1:7" x14ac:dyDescent="0.15">
      <c r="A680" s="4">
        <v>679</v>
      </c>
      <c r="B680" s="4">
        <v>0</v>
      </c>
      <c r="D680" s="5">
        <v>11.082142548877775</v>
      </c>
      <c r="E680" s="4">
        <v>1</v>
      </c>
      <c r="F680" s="5">
        <v>3.8066624897703196</v>
      </c>
      <c r="G680" s="4">
        <v>3</v>
      </c>
    </row>
    <row r="681" spans="1:7" x14ac:dyDescent="0.15">
      <c r="A681" s="4">
        <v>680</v>
      </c>
      <c r="B681" s="4">
        <v>0</v>
      </c>
      <c r="D681" s="5">
        <v>11.379394072345706</v>
      </c>
      <c r="E681" s="4">
        <v>1</v>
      </c>
      <c r="F681" s="5">
        <v>3.912023005428146</v>
      </c>
      <c r="G681" s="4">
        <v>2</v>
      </c>
    </row>
    <row r="682" spans="1:7" x14ac:dyDescent="0.15">
      <c r="A682" s="4">
        <v>681</v>
      </c>
      <c r="B682" s="4">
        <v>0</v>
      </c>
      <c r="D682" s="5">
        <v>10.657259354912508</v>
      </c>
      <c r="E682" s="4">
        <v>0</v>
      </c>
      <c r="F682" s="5">
        <v>3.970291913552122</v>
      </c>
      <c r="G682" s="4">
        <v>3</v>
      </c>
    </row>
    <row r="683" spans="1:7" x14ac:dyDescent="0.15">
      <c r="A683" s="4">
        <v>682</v>
      </c>
      <c r="B683" s="4">
        <v>0</v>
      </c>
      <c r="D683" s="5">
        <v>10.221941283654663</v>
      </c>
      <c r="E683" s="4">
        <v>1</v>
      </c>
      <c r="F683" s="5">
        <v>3.4011973816621555</v>
      </c>
      <c r="G683" s="4">
        <v>3</v>
      </c>
    </row>
    <row r="684" spans="1:7" x14ac:dyDescent="0.15">
      <c r="A684" s="4">
        <v>683</v>
      </c>
      <c r="B684" s="4">
        <v>0</v>
      </c>
      <c r="D684" s="5">
        <v>10.021270588192511</v>
      </c>
      <c r="E684" s="4">
        <v>1</v>
      </c>
      <c r="F684" s="5">
        <v>4.1588830833596715</v>
      </c>
      <c r="G684" s="4">
        <v>3</v>
      </c>
    </row>
    <row r="685" spans="1:7" x14ac:dyDescent="0.15">
      <c r="A685" s="4">
        <v>684</v>
      </c>
      <c r="B685" s="4">
        <v>1</v>
      </c>
      <c r="D685" s="5">
        <v>10.915088464214607</v>
      </c>
      <c r="E685" s="4">
        <v>0</v>
      </c>
      <c r="F685" s="5">
        <v>3.784189633918261</v>
      </c>
      <c r="G685" s="4">
        <v>3</v>
      </c>
    </row>
    <row r="686" spans="1:7" x14ac:dyDescent="0.15">
      <c r="A686" s="4">
        <v>685</v>
      </c>
      <c r="B686" s="4">
        <v>0</v>
      </c>
      <c r="D686" s="5">
        <v>11.736069016284437</v>
      </c>
      <c r="E686" s="4">
        <v>0</v>
      </c>
      <c r="F686" s="5">
        <v>3.784189633918261</v>
      </c>
      <c r="G686" s="4">
        <v>6</v>
      </c>
    </row>
    <row r="687" spans="1:7" x14ac:dyDescent="0.15">
      <c r="A687" s="4">
        <v>686</v>
      </c>
      <c r="B687" s="4">
        <v>0</v>
      </c>
      <c r="D687" s="5">
        <v>11.736069016284437</v>
      </c>
      <c r="E687" s="4">
        <v>0</v>
      </c>
      <c r="F687" s="5">
        <v>3.6375861597263857</v>
      </c>
      <c r="G687" s="4">
        <v>4</v>
      </c>
    </row>
    <row r="688" spans="1:7" x14ac:dyDescent="0.15">
      <c r="A688" s="4">
        <v>687</v>
      </c>
      <c r="B688" s="4">
        <v>0</v>
      </c>
      <c r="D688" s="5">
        <v>10.308952660644293</v>
      </c>
      <c r="E688" s="4">
        <v>0</v>
      </c>
      <c r="F688" s="5">
        <v>3.9889840465642745</v>
      </c>
      <c r="G688" s="4">
        <v>7</v>
      </c>
    </row>
    <row r="689" spans="1:7" x14ac:dyDescent="0.15">
      <c r="A689" s="4">
        <v>688</v>
      </c>
      <c r="B689" s="4">
        <v>0</v>
      </c>
      <c r="D689" s="5">
        <v>10.308952660644293</v>
      </c>
      <c r="E689" s="4">
        <v>1</v>
      </c>
      <c r="F689" s="5">
        <v>2.8332133440562162</v>
      </c>
      <c r="G689" s="4">
        <v>4</v>
      </c>
    </row>
    <row r="690" spans="1:7" x14ac:dyDescent="0.15">
      <c r="A690" s="4">
        <v>689</v>
      </c>
      <c r="B690" s="4">
        <v>0</v>
      </c>
      <c r="D690" s="5">
        <v>10.819778284410283</v>
      </c>
      <c r="E690" s="4">
        <v>1</v>
      </c>
      <c r="F690" s="5">
        <v>3.8918202981106265</v>
      </c>
      <c r="G690" s="4">
        <v>3</v>
      </c>
    </row>
    <row r="691" spans="1:7" x14ac:dyDescent="0.15">
      <c r="A691" s="4">
        <v>690</v>
      </c>
      <c r="B691" s="4">
        <v>0</v>
      </c>
      <c r="D691" s="5">
        <v>10.308952660644293</v>
      </c>
      <c r="E691" s="4">
        <v>1</v>
      </c>
      <c r="F691" s="5">
        <v>4.0253516907351496</v>
      </c>
      <c r="G691" s="4">
        <v>2</v>
      </c>
    </row>
    <row r="692" spans="1:7" x14ac:dyDescent="0.15">
      <c r="A692" s="4">
        <v>691</v>
      </c>
      <c r="B692" s="4">
        <v>2</v>
      </c>
      <c r="D692" s="5">
        <v>10.308952660644293</v>
      </c>
      <c r="E692" s="4">
        <v>0</v>
      </c>
      <c r="F692" s="5">
        <v>3.1780538303479458</v>
      </c>
      <c r="G692" s="4">
        <v>3</v>
      </c>
    </row>
    <row r="693" spans="1:7" x14ac:dyDescent="0.15">
      <c r="A693" s="4">
        <v>692</v>
      </c>
      <c r="B693" s="4">
        <v>0</v>
      </c>
      <c r="D693" s="5">
        <v>9.9034875525361272</v>
      </c>
      <c r="E693" s="4">
        <v>1</v>
      </c>
      <c r="F693" s="5">
        <v>3.5835189384561099</v>
      </c>
      <c r="G693" s="4">
        <v>2</v>
      </c>
    </row>
    <row r="694" spans="1:7" x14ac:dyDescent="0.15">
      <c r="A694" s="4">
        <v>693</v>
      </c>
      <c r="B694" s="4">
        <v>1</v>
      </c>
      <c r="D694" s="5">
        <v>11.119882876860622</v>
      </c>
      <c r="E694" s="4">
        <v>1</v>
      </c>
      <c r="F694" s="5">
        <v>3.5835189384561099</v>
      </c>
      <c r="G694" s="4">
        <v>5</v>
      </c>
    </row>
    <row r="695" spans="1:7" x14ac:dyDescent="0.15">
      <c r="A695" s="4">
        <v>694</v>
      </c>
      <c r="B695" s="4">
        <v>1</v>
      </c>
      <c r="D695" s="5">
        <v>10.308952660644293</v>
      </c>
      <c r="E695" s="4">
        <v>1</v>
      </c>
      <c r="F695" s="5">
        <v>3.5263605246161616</v>
      </c>
      <c r="G695" s="4">
        <v>5</v>
      </c>
    </row>
    <row r="696" spans="1:7" x14ac:dyDescent="0.15">
      <c r="A696" s="4">
        <v>695</v>
      </c>
      <c r="B696" s="4">
        <v>0</v>
      </c>
      <c r="D696" s="5">
        <v>10.532096211958502</v>
      </c>
      <c r="E696" s="4">
        <v>1</v>
      </c>
      <c r="F696" s="5">
        <v>3.3672958299864741</v>
      </c>
      <c r="G696" s="4">
        <v>3</v>
      </c>
    </row>
    <row r="697" spans="1:7" x14ac:dyDescent="0.15">
      <c r="A697" s="4">
        <v>696</v>
      </c>
      <c r="B697" s="4">
        <v>3</v>
      </c>
      <c r="D697" s="5">
        <v>11.379394072345706</v>
      </c>
      <c r="E697" s="4">
        <v>1</v>
      </c>
      <c r="F697" s="5">
        <v>3.2958368660043291</v>
      </c>
      <c r="G697" s="4">
        <v>3</v>
      </c>
    </row>
    <row r="698" spans="1:7" x14ac:dyDescent="0.15">
      <c r="A698" s="4">
        <v>697</v>
      </c>
      <c r="B698" s="4">
        <v>0</v>
      </c>
      <c r="D698" s="5">
        <v>11.379394072345706</v>
      </c>
      <c r="E698" s="4">
        <v>0</v>
      </c>
      <c r="F698" s="5">
        <v>3.7376696182833684</v>
      </c>
      <c r="G698" s="4">
        <v>3</v>
      </c>
    </row>
    <row r="699" spans="1:7" x14ac:dyDescent="0.15">
      <c r="A699" s="4">
        <v>698</v>
      </c>
      <c r="B699" s="4">
        <v>0</v>
      </c>
      <c r="D699" s="5">
        <v>11.379394072345706</v>
      </c>
      <c r="E699" s="4">
        <v>1</v>
      </c>
      <c r="F699" s="5">
        <v>2.7080502011022101</v>
      </c>
      <c r="G699" s="4">
        <v>4</v>
      </c>
    </row>
    <row r="700" spans="1:7" x14ac:dyDescent="0.15">
      <c r="A700" s="4">
        <v>699</v>
      </c>
      <c r="B700" s="4">
        <v>0</v>
      </c>
      <c r="D700" s="5">
        <v>11.379394072345706</v>
      </c>
      <c r="E700" s="4">
        <v>0</v>
      </c>
      <c r="F700" s="5">
        <v>4.1271343850450917</v>
      </c>
      <c r="G700" s="4">
        <v>3</v>
      </c>
    </row>
    <row r="701" spans="1:7" x14ac:dyDescent="0.15">
      <c r="A701" s="4">
        <v>700</v>
      </c>
      <c r="B701" s="4">
        <v>0</v>
      </c>
      <c r="D701" s="5">
        <v>10.532096211958502</v>
      </c>
      <c r="E701" s="4">
        <v>0</v>
      </c>
      <c r="F701" s="5">
        <v>3.784189633918261</v>
      </c>
      <c r="G701" s="4">
        <v>2</v>
      </c>
    </row>
    <row r="702" spans="1:7" x14ac:dyDescent="0.15">
      <c r="A702" s="4">
        <v>701</v>
      </c>
      <c r="B702" s="4">
        <v>0</v>
      </c>
      <c r="D702" s="5">
        <v>10.819778284410283</v>
      </c>
      <c r="E702" s="4">
        <v>1</v>
      </c>
      <c r="F702" s="5">
        <v>3.2958368660043291</v>
      </c>
      <c r="G702" s="4">
        <v>2</v>
      </c>
    </row>
    <row r="703" spans="1:7" x14ac:dyDescent="0.15">
      <c r="A703" s="4">
        <v>702</v>
      </c>
      <c r="B703" s="4">
        <v>0</v>
      </c>
      <c r="D703" s="5">
        <v>10.819778284410283</v>
      </c>
      <c r="E703" s="4">
        <v>0</v>
      </c>
      <c r="F703" s="5">
        <v>4.0604430105464191</v>
      </c>
      <c r="G703" s="4">
        <v>3</v>
      </c>
    </row>
    <row r="704" spans="1:7" x14ac:dyDescent="0.15">
      <c r="A704" s="4">
        <v>703</v>
      </c>
      <c r="B704" s="4">
        <v>0</v>
      </c>
      <c r="D704" s="5">
        <v>11.918390573078392</v>
      </c>
      <c r="E704" s="4">
        <v>1</v>
      </c>
      <c r="F704" s="5">
        <v>3.2958368660043291</v>
      </c>
      <c r="G704" s="4">
        <v>4</v>
      </c>
    </row>
    <row r="705" spans="1:7" x14ac:dyDescent="0.15">
      <c r="A705" s="4">
        <v>704</v>
      </c>
      <c r="B705" s="4">
        <v>0</v>
      </c>
      <c r="D705" s="5">
        <v>10.768484990022733</v>
      </c>
      <c r="E705" s="4">
        <v>1</v>
      </c>
      <c r="F705" s="5">
        <v>3.2958368660043291</v>
      </c>
      <c r="G705" s="4">
        <v>3</v>
      </c>
    </row>
    <row r="706" spans="1:7" x14ac:dyDescent="0.15">
      <c r="A706" s="4">
        <v>705</v>
      </c>
      <c r="B706" s="4">
        <v>2</v>
      </c>
      <c r="D706" s="5">
        <v>10.308952660644293</v>
      </c>
      <c r="E706" s="4">
        <v>1</v>
      </c>
      <c r="F706" s="5">
        <v>3.8918202981106265</v>
      </c>
      <c r="G706" s="4">
        <v>6</v>
      </c>
    </row>
    <row r="707" spans="1:7" x14ac:dyDescent="0.15">
      <c r="A707" s="4">
        <v>706</v>
      </c>
      <c r="B707" s="4">
        <v>0</v>
      </c>
      <c r="D707" s="5">
        <v>11.119882876860622</v>
      </c>
      <c r="E707" s="4">
        <v>1</v>
      </c>
      <c r="F707" s="5">
        <v>4.0430512678345503</v>
      </c>
      <c r="G707" s="4">
        <v>3</v>
      </c>
    </row>
    <row r="708" spans="1:7" x14ac:dyDescent="0.15">
      <c r="A708" s="4">
        <v>707</v>
      </c>
      <c r="B708" s="4">
        <v>0</v>
      </c>
      <c r="D708" s="5">
        <v>11.379394072345706</v>
      </c>
      <c r="E708" s="4">
        <v>1</v>
      </c>
      <c r="F708" s="5">
        <v>3.4011973816621555</v>
      </c>
      <c r="G708" s="4">
        <v>3</v>
      </c>
    </row>
    <row r="709" spans="1:7" x14ac:dyDescent="0.15">
      <c r="A709" s="4">
        <v>708</v>
      </c>
      <c r="B709" s="4">
        <v>0</v>
      </c>
      <c r="D709" s="5">
        <v>11.119882876860622</v>
      </c>
      <c r="E709" s="4">
        <v>0</v>
      </c>
      <c r="F709" s="5">
        <v>3.713572066704308</v>
      </c>
      <c r="G709" s="4">
        <v>5</v>
      </c>
    </row>
    <row r="710" spans="1:7" x14ac:dyDescent="0.15">
      <c r="A710" s="4">
        <v>709</v>
      </c>
      <c r="B710" s="4">
        <v>0</v>
      </c>
      <c r="D710" s="5">
        <v>10.221941283654663</v>
      </c>
      <c r="E710" s="4">
        <v>1</v>
      </c>
      <c r="F710" s="5">
        <v>3.7376696182833684</v>
      </c>
      <c r="G710" s="4">
        <v>3</v>
      </c>
    </row>
    <row r="711" spans="1:7" x14ac:dyDescent="0.15">
      <c r="A711" s="4">
        <v>710</v>
      </c>
      <c r="B711" s="4">
        <v>0</v>
      </c>
      <c r="D711" s="5">
        <v>10.388995368317829</v>
      </c>
      <c r="E711" s="4">
        <v>1</v>
      </c>
      <c r="F711" s="5">
        <v>4.0943445622221004</v>
      </c>
      <c r="G711" s="4">
        <v>2</v>
      </c>
    </row>
    <row r="712" spans="1:7" x14ac:dyDescent="0.15">
      <c r="A712" s="4">
        <v>711</v>
      </c>
      <c r="B712" s="4">
        <v>1</v>
      </c>
      <c r="D712" s="5">
        <v>10.308952660644293</v>
      </c>
      <c r="E712" s="4">
        <v>1</v>
      </c>
      <c r="F712" s="5">
        <v>4.0775374439057197</v>
      </c>
      <c r="G712" s="4">
        <v>3</v>
      </c>
    </row>
    <row r="713" spans="1:7" x14ac:dyDescent="0.15">
      <c r="A713" s="4">
        <v>712</v>
      </c>
      <c r="B713" s="4">
        <v>0</v>
      </c>
      <c r="D713" s="5">
        <v>11.191341840842766</v>
      </c>
      <c r="E713" s="4">
        <v>1</v>
      </c>
      <c r="F713" s="5">
        <v>4.0430512678345503</v>
      </c>
      <c r="G713" s="4">
        <v>2</v>
      </c>
    </row>
    <row r="714" spans="1:7" x14ac:dyDescent="0.15">
      <c r="A714" s="4">
        <v>713</v>
      </c>
      <c r="B714" s="4">
        <v>5</v>
      </c>
      <c r="D714" s="5">
        <v>11.379394072345706</v>
      </c>
      <c r="E714" s="4">
        <v>1</v>
      </c>
      <c r="F714" s="5">
        <v>3.3322045101752038</v>
      </c>
      <c r="G714" s="4">
        <v>8</v>
      </c>
    </row>
    <row r="715" spans="1:7" x14ac:dyDescent="0.15">
      <c r="A715" s="4">
        <v>714</v>
      </c>
      <c r="B715" s="4">
        <v>0</v>
      </c>
      <c r="D715" s="5">
        <v>10.819778284410283</v>
      </c>
      <c r="E715" s="4">
        <v>0</v>
      </c>
      <c r="F715" s="5">
        <v>3.7612001156935624</v>
      </c>
      <c r="G715" s="4">
        <v>2</v>
      </c>
    </row>
    <row r="716" spans="1:7" x14ac:dyDescent="0.15">
      <c r="A716" s="4">
        <v>715</v>
      </c>
      <c r="B716" s="4">
        <v>0</v>
      </c>
      <c r="D716" s="5">
        <v>11.119882876860622</v>
      </c>
      <c r="E716" s="4">
        <v>1</v>
      </c>
      <c r="F716" s="5">
        <v>2.9957322735539909</v>
      </c>
      <c r="G716" s="4">
        <v>4</v>
      </c>
    </row>
    <row r="717" spans="1:7" x14ac:dyDescent="0.15">
      <c r="A717" s="4">
        <v>716</v>
      </c>
      <c r="B717" s="4">
        <v>7</v>
      </c>
      <c r="D717" s="5">
        <v>10.308952660644293</v>
      </c>
      <c r="E717" s="4">
        <v>1</v>
      </c>
      <c r="F717" s="5">
        <v>3.8501476017100584</v>
      </c>
      <c r="G717" s="4">
        <v>2</v>
      </c>
    </row>
    <row r="718" spans="1:7" x14ac:dyDescent="0.15">
      <c r="A718" s="4">
        <v>717</v>
      </c>
      <c r="B718" s="4">
        <v>0</v>
      </c>
      <c r="D718" s="5">
        <v>11.379394072345706</v>
      </c>
      <c r="E718" s="4">
        <v>0</v>
      </c>
      <c r="F718" s="5">
        <v>3.9318256327243257</v>
      </c>
      <c r="G718" s="4">
        <v>6</v>
      </c>
    </row>
    <row r="719" spans="1:7" x14ac:dyDescent="0.15">
      <c r="A719" s="4">
        <v>718</v>
      </c>
      <c r="B719" s="4">
        <v>0</v>
      </c>
      <c r="D719" s="5">
        <v>10.819778284410283</v>
      </c>
      <c r="E719" s="4">
        <v>1</v>
      </c>
      <c r="F719" s="5">
        <v>3.2580965380214821</v>
      </c>
      <c r="G719" s="4">
        <v>4</v>
      </c>
    </row>
    <row r="720" spans="1:7" x14ac:dyDescent="0.15">
      <c r="A720" s="4">
        <v>719</v>
      </c>
      <c r="B720" s="4">
        <v>1</v>
      </c>
      <c r="D720" s="5">
        <v>9.9034875525361272</v>
      </c>
      <c r="E720" s="4">
        <v>1</v>
      </c>
      <c r="F720" s="5">
        <v>3.2580965380214821</v>
      </c>
      <c r="G720" s="4">
        <v>3</v>
      </c>
    </row>
    <row r="721" spans="1:7" x14ac:dyDescent="0.15">
      <c r="A721" s="4">
        <v>720</v>
      </c>
      <c r="B721" s="4">
        <v>0</v>
      </c>
      <c r="D721" s="5">
        <v>11.736069016284437</v>
      </c>
      <c r="E721" s="4">
        <v>1</v>
      </c>
      <c r="F721" s="5">
        <v>3.713572066704308</v>
      </c>
      <c r="G721" s="4">
        <v>5</v>
      </c>
    </row>
    <row r="722" spans="1:7" x14ac:dyDescent="0.15">
      <c r="A722" s="4">
        <v>721</v>
      </c>
      <c r="B722" s="4">
        <v>0</v>
      </c>
      <c r="D722" s="5">
        <v>11.736069016284437</v>
      </c>
      <c r="E722" s="4">
        <v>1</v>
      </c>
      <c r="F722" s="5">
        <v>2.8903717578961645</v>
      </c>
      <c r="G722" s="4">
        <v>4</v>
      </c>
    </row>
    <row r="723" spans="1:7" x14ac:dyDescent="0.15">
      <c r="A723" s="4">
        <v>722</v>
      </c>
      <c r="B723" s="4">
        <v>0</v>
      </c>
      <c r="D723" s="5">
        <v>11.736069016284437</v>
      </c>
      <c r="E723" s="4">
        <v>1</v>
      </c>
      <c r="F723" s="5">
        <v>3.784189633918261</v>
      </c>
      <c r="G723" s="4">
        <v>4</v>
      </c>
    </row>
    <row r="724" spans="1:7" x14ac:dyDescent="0.15">
      <c r="A724" s="4">
        <v>723</v>
      </c>
      <c r="B724" s="4">
        <v>1</v>
      </c>
      <c r="D724" s="5">
        <v>11.379394072345706</v>
      </c>
      <c r="E724" s="4">
        <v>1</v>
      </c>
      <c r="F724" s="5">
        <v>3.7376696182833684</v>
      </c>
      <c r="G724" s="4">
        <v>4</v>
      </c>
    </row>
    <row r="725" spans="1:7" x14ac:dyDescent="0.15">
      <c r="A725" s="4">
        <v>724</v>
      </c>
      <c r="B725" s="4">
        <v>2</v>
      </c>
      <c r="D725" s="5">
        <v>11.736069016284437</v>
      </c>
      <c r="E725" s="4">
        <v>1</v>
      </c>
      <c r="F725" s="5">
        <v>4.0253516907351496</v>
      </c>
      <c r="G725" s="4">
        <v>4</v>
      </c>
    </row>
    <row r="726" spans="1:7" x14ac:dyDescent="0.15">
      <c r="A726" s="4">
        <v>725</v>
      </c>
      <c r="B726" s="4">
        <v>0</v>
      </c>
      <c r="D726" s="5">
        <v>9.7699561599116063</v>
      </c>
      <c r="E726" s="4">
        <v>0</v>
      </c>
      <c r="F726" s="5">
        <v>3.912023005428146</v>
      </c>
      <c r="G726" s="4">
        <v>2</v>
      </c>
    </row>
    <row r="727" spans="1:7" x14ac:dyDescent="0.15">
      <c r="A727" s="4">
        <v>726</v>
      </c>
      <c r="B727" s="4">
        <v>3</v>
      </c>
      <c r="D727" s="5">
        <v>11.379394072345706</v>
      </c>
      <c r="E727" s="4">
        <v>1</v>
      </c>
      <c r="F727" s="5">
        <v>4.0253516907351496</v>
      </c>
      <c r="G727" s="4">
        <v>3</v>
      </c>
    </row>
    <row r="728" spans="1:7" x14ac:dyDescent="0.15">
      <c r="A728" s="4">
        <v>727</v>
      </c>
      <c r="B728" s="4">
        <v>0</v>
      </c>
      <c r="D728" s="5">
        <v>11.082142548877775</v>
      </c>
      <c r="E728" s="4">
        <v>0</v>
      </c>
      <c r="F728" s="5">
        <v>4.2341065045972597</v>
      </c>
      <c r="G728" s="4">
        <v>2</v>
      </c>
    </row>
    <row r="729" spans="1:7" x14ac:dyDescent="0.15">
      <c r="A729" s="4">
        <v>728</v>
      </c>
      <c r="B729" s="4">
        <v>3</v>
      </c>
      <c r="D729" s="5">
        <v>11.082142548877775</v>
      </c>
      <c r="E729" s="4">
        <v>0</v>
      </c>
      <c r="F729" s="5">
        <v>4.1271343850450917</v>
      </c>
      <c r="G729" s="4">
        <v>2</v>
      </c>
    </row>
    <row r="730" spans="1:7" x14ac:dyDescent="0.15">
      <c r="A730" s="4">
        <v>729</v>
      </c>
      <c r="B730" s="4">
        <v>0</v>
      </c>
      <c r="D730" s="5">
        <v>11.379394072345706</v>
      </c>
      <c r="E730" s="4">
        <v>1</v>
      </c>
      <c r="F730" s="5">
        <v>3.9889840465642745</v>
      </c>
      <c r="G730" s="4">
        <v>2</v>
      </c>
    </row>
    <row r="731" spans="1:7" x14ac:dyDescent="0.15">
      <c r="A731" s="4">
        <v>730</v>
      </c>
      <c r="B731" s="4">
        <v>0</v>
      </c>
      <c r="D731" s="5">
        <v>10.388995368317829</v>
      </c>
      <c r="E731" s="4">
        <v>1</v>
      </c>
      <c r="F731" s="5">
        <v>3.9512437185814275</v>
      </c>
      <c r="G731" s="4">
        <v>1</v>
      </c>
    </row>
    <row r="732" spans="1:7" x14ac:dyDescent="0.15">
      <c r="A732" s="4">
        <v>731</v>
      </c>
      <c r="B732" s="4">
        <v>0</v>
      </c>
      <c r="D732" s="5">
        <v>11.082142548877775</v>
      </c>
      <c r="E732" s="4">
        <v>1</v>
      </c>
      <c r="F732" s="5">
        <v>4.1271343850450917</v>
      </c>
      <c r="G732" s="4">
        <v>2</v>
      </c>
    </row>
    <row r="733" spans="1:7" x14ac:dyDescent="0.15">
      <c r="A733" s="4">
        <v>732</v>
      </c>
      <c r="B733" s="4">
        <v>0</v>
      </c>
      <c r="D733" s="5">
        <v>10.819778284410283</v>
      </c>
      <c r="E733" s="4">
        <v>1</v>
      </c>
      <c r="F733" s="5">
        <v>3.912023005428146</v>
      </c>
      <c r="G733" s="4">
        <v>3</v>
      </c>
    </row>
    <row r="734" spans="1:7" x14ac:dyDescent="0.15">
      <c r="A734" s="4">
        <v>733</v>
      </c>
      <c r="B734" s="4">
        <v>0</v>
      </c>
      <c r="D734" s="5">
        <v>11.379394072345706</v>
      </c>
      <c r="E734" s="4">
        <v>0</v>
      </c>
      <c r="F734" s="5">
        <v>3.8712010109078911</v>
      </c>
      <c r="G734" s="4">
        <v>2</v>
      </c>
    </row>
    <row r="735" spans="1:7" x14ac:dyDescent="0.15">
      <c r="A735" s="4">
        <v>734</v>
      </c>
      <c r="B735" s="4">
        <v>0</v>
      </c>
      <c r="D735" s="5">
        <v>11.082142548877775</v>
      </c>
      <c r="E735" s="4">
        <v>0</v>
      </c>
      <c r="F735" s="5">
        <v>4.0943445622221004</v>
      </c>
      <c r="G735" s="4">
        <v>2</v>
      </c>
    </row>
    <row r="736" spans="1:7" x14ac:dyDescent="0.15">
      <c r="A736" s="4">
        <v>735</v>
      </c>
      <c r="B736" s="4">
        <v>0</v>
      </c>
      <c r="D736" s="5">
        <v>10.819778284410283</v>
      </c>
      <c r="E736" s="4">
        <v>1</v>
      </c>
      <c r="F736" s="5">
        <v>3.970291913552122</v>
      </c>
      <c r="G736" s="4">
        <v>2</v>
      </c>
    </row>
    <row r="737" spans="1:7" x14ac:dyDescent="0.15">
      <c r="A737" s="4">
        <v>736</v>
      </c>
      <c r="B737" s="4">
        <v>1</v>
      </c>
      <c r="D737" s="5">
        <v>10.915088464214607</v>
      </c>
      <c r="E737" s="4">
        <v>1</v>
      </c>
      <c r="F737" s="5">
        <v>3.6375861597263857</v>
      </c>
      <c r="G737" s="4">
        <v>1</v>
      </c>
    </row>
    <row r="738" spans="1:7" x14ac:dyDescent="0.15">
      <c r="A738" s="4">
        <v>737</v>
      </c>
      <c r="B738" s="4">
        <v>0</v>
      </c>
      <c r="D738" s="5">
        <v>11.379394072345706</v>
      </c>
      <c r="E738" s="4">
        <v>1</v>
      </c>
      <c r="F738" s="5">
        <v>3.4339872044851463</v>
      </c>
      <c r="G738" s="4">
        <v>2</v>
      </c>
    </row>
    <row r="739" spans="1:7" x14ac:dyDescent="0.15">
      <c r="A739" s="4">
        <v>738</v>
      </c>
      <c r="B739" s="4">
        <v>0</v>
      </c>
      <c r="D739" s="5">
        <v>11.379394072345706</v>
      </c>
      <c r="E739" s="4">
        <v>1</v>
      </c>
      <c r="F739" s="5">
        <v>3.8286413964890951</v>
      </c>
      <c r="G739" s="4">
        <v>2</v>
      </c>
    </row>
    <row r="740" spans="1:7" x14ac:dyDescent="0.15">
      <c r="A740" s="4">
        <v>739</v>
      </c>
      <c r="B740" s="4">
        <v>0</v>
      </c>
      <c r="D740" s="5">
        <v>10.532096211958502</v>
      </c>
      <c r="E740" s="4">
        <v>0</v>
      </c>
      <c r="F740" s="5">
        <v>4.0943445622221004</v>
      </c>
      <c r="G740" s="4">
        <v>2</v>
      </c>
    </row>
    <row r="741" spans="1:7" x14ac:dyDescent="0.15">
      <c r="A741" s="4">
        <v>740</v>
      </c>
      <c r="B741" s="4">
        <v>0</v>
      </c>
      <c r="D741" s="5">
        <v>10.308952660644293</v>
      </c>
      <c r="E741" s="4">
        <v>0</v>
      </c>
      <c r="F741" s="5">
        <v>3.4339872044851463</v>
      </c>
      <c r="G741" s="4">
        <v>3</v>
      </c>
    </row>
    <row r="742" spans="1:7" x14ac:dyDescent="0.15">
      <c r="A742" s="4">
        <v>741</v>
      </c>
      <c r="B742" s="4">
        <v>1</v>
      </c>
      <c r="D742" s="5">
        <v>10.819778284410283</v>
      </c>
      <c r="E742" s="4">
        <v>1</v>
      </c>
      <c r="F742" s="5">
        <v>3.6109179126442243</v>
      </c>
      <c r="G742" s="4">
        <v>6</v>
      </c>
    </row>
    <row r="743" spans="1:7" x14ac:dyDescent="0.15">
      <c r="A743" s="4">
        <v>742</v>
      </c>
      <c r="B743" s="4">
        <v>6</v>
      </c>
      <c r="D743" s="5">
        <v>10.819778284410283</v>
      </c>
      <c r="E743" s="4">
        <v>1</v>
      </c>
      <c r="F743" s="5">
        <v>3.8066624897703196</v>
      </c>
      <c r="G743" s="4">
        <v>3</v>
      </c>
    </row>
    <row r="744" spans="1:7" x14ac:dyDescent="0.15">
      <c r="A744" s="4">
        <v>743</v>
      </c>
      <c r="B744" s="4">
        <v>4</v>
      </c>
      <c r="D744" s="5">
        <v>10.819778284410283</v>
      </c>
      <c r="E744" s="4">
        <v>0</v>
      </c>
      <c r="F744" s="5">
        <v>3.970291913552122</v>
      </c>
      <c r="G744" s="4">
        <v>3</v>
      </c>
    </row>
    <row r="745" spans="1:7" x14ac:dyDescent="0.15">
      <c r="A745" s="4">
        <v>744</v>
      </c>
      <c r="B745" s="4">
        <v>1</v>
      </c>
      <c r="D745" s="5">
        <v>10.657259354912508</v>
      </c>
      <c r="E745" s="4">
        <v>0</v>
      </c>
      <c r="F745" s="5">
        <v>4.2046926193909657</v>
      </c>
      <c r="G745" s="4">
        <v>1</v>
      </c>
    </row>
    <row r="746" spans="1:7" x14ac:dyDescent="0.15">
      <c r="A746" s="4">
        <v>745</v>
      </c>
      <c r="B746" s="4">
        <v>0</v>
      </c>
      <c r="D746" s="5">
        <v>10.532096211958502</v>
      </c>
      <c r="E746" s="4">
        <v>1</v>
      </c>
      <c r="F746" s="5">
        <v>3.8286413964890951</v>
      </c>
      <c r="G746" s="4">
        <v>4</v>
      </c>
    </row>
    <row r="747" spans="1:7" x14ac:dyDescent="0.15">
      <c r="A747" s="4">
        <v>746</v>
      </c>
      <c r="B747" s="4">
        <v>0</v>
      </c>
      <c r="D747" s="5">
        <v>11.736069016284437</v>
      </c>
      <c r="E747" s="4">
        <v>1</v>
      </c>
      <c r="F747" s="5">
        <v>3.8918202981106265</v>
      </c>
      <c r="G747" s="4">
        <v>2</v>
      </c>
    </row>
    <row r="748" spans="1:7" x14ac:dyDescent="0.15">
      <c r="A748" s="4">
        <v>747</v>
      </c>
      <c r="B748" s="4">
        <v>0</v>
      </c>
      <c r="D748" s="5">
        <v>11.379394072345706</v>
      </c>
      <c r="E748" s="4">
        <v>1</v>
      </c>
      <c r="F748" s="5">
        <v>3.4657359027997265</v>
      </c>
      <c r="G748" s="4">
        <v>2</v>
      </c>
    </row>
    <row r="749" spans="1:7" x14ac:dyDescent="0.15">
      <c r="A749" s="4">
        <v>748</v>
      </c>
      <c r="B749" s="4">
        <v>1</v>
      </c>
      <c r="D749" s="5">
        <v>11.379394072345706</v>
      </c>
      <c r="E749" s="4">
        <v>0</v>
      </c>
      <c r="F749" s="5">
        <v>3.8918202981106265</v>
      </c>
      <c r="G749" s="4">
        <v>4</v>
      </c>
    </row>
    <row r="750" spans="1:7" x14ac:dyDescent="0.15">
      <c r="A750" s="4">
        <v>749</v>
      </c>
      <c r="B750" s="4">
        <v>0</v>
      </c>
      <c r="D750" s="5">
        <v>10.388995368317829</v>
      </c>
      <c r="E750" s="4">
        <v>0</v>
      </c>
      <c r="F750" s="5">
        <v>4.1588830833596715</v>
      </c>
      <c r="G750" s="4">
        <v>2</v>
      </c>
    </row>
    <row r="751" spans="1:7" x14ac:dyDescent="0.15">
      <c r="A751" s="4">
        <v>750</v>
      </c>
      <c r="B751" s="4">
        <v>1</v>
      </c>
      <c r="D751" s="5">
        <v>11.379394072345706</v>
      </c>
      <c r="E751" s="4">
        <v>1</v>
      </c>
      <c r="F751" s="5">
        <v>3.6888794541139363</v>
      </c>
      <c r="G751" s="4">
        <v>3</v>
      </c>
    </row>
    <row r="752" spans="1:7" x14ac:dyDescent="0.15">
      <c r="A752" s="4">
        <v>751</v>
      </c>
      <c r="B752" s="4">
        <v>1</v>
      </c>
      <c r="D752" s="5">
        <v>10.021270588192511</v>
      </c>
      <c r="E752" s="4">
        <v>0</v>
      </c>
      <c r="F752" s="5">
        <v>4.1743872698956368</v>
      </c>
      <c r="G752" s="4">
        <v>2</v>
      </c>
    </row>
    <row r="753" spans="1:7" x14ac:dyDescent="0.15">
      <c r="A753" s="4">
        <v>752</v>
      </c>
      <c r="B753" s="4">
        <v>0</v>
      </c>
      <c r="D753" s="5">
        <v>11.082142548877775</v>
      </c>
      <c r="E753" s="4">
        <v>1</v>
      </c>
      <c r="F753" s="5">
        <v>2.7080502011022101</v>
      </c>
      <c r="G753" s="4">
        <v>4</v>
      </c>
    </row>
    <row r="754" spans="1:7" x14ac:dyDescent="0.15">
      <c r="A754" s="4">
        <v>753</v>
      </c>
      <c r="B754" s="4">
        <v>1</v>
      </c>
      <c r="D754" s="5">
        <v>10.768484990022733</v>
      </c>
      <c r="E754" s="4">
        <v>1</v>
      </c>
      <c r="F754" s="5">
        <v>3.784189633918261</v>
      </c>
      <c r="G754" s="4">
        <v>3</v>
      </c>
    </row>
    <row r="755" spans="1:7" x14ac:dyDescent="0.15">
      <c r="A755" s="4">
        <v>754</v>
      </c>
      <c r="B755" s="4">
        <v>0</v>
      </c>
      <c r="D755" s="5">
        <v>11.736069016284437</v>
      </c>
      <c r="E755" s="4">
        <v>0</v>
      </c>
      <c r="F755" s="5">
        <v>3.8501476017100584</v>
      </c>
      <c r="G755" s="4">
        <v>6</v>
      </c>
    </row>
    <row r="756" spans="1:7" x14ac:dyDescent="0.15">
      <c r="A756" s="4">
        <v>755</v>
      </c>
      <c r="B756" s="4">
        <v>0</v>
      </c>
      <c r="D756" s="5">
        <v>10.308952660644293</v>
      </c>
      <c r="E756" s="4">
        <v>1</v>
      </c>
      <c r="F756" s="5">
        <v>3.2958368660043291</v>
      </c>
      <c r="G756" s="4">
        <v>5</v>
      </c>
    </row>
    <row r="757" spans="1:7" x14ac:dyDescent="0.15">
      <c r="A757" s="4">
        <v>756</v>
      </c>
      <c r="B757" s="4">
        <v>0</v>
      </c>
      <c r="D757" s="5">
        <v>10.308952660644293</v>
      </c>
      <c r="E757" s="4">
        <v>1</v>
      </c>
      <c r="F757" s="5">
        <v>3.5553480614894135</v>
      </c>
      <c r="G757" s="4">
        <v>4</v>
      </c>
    </row>
    <row r="758" spans="1:7" x14ac:dyDescent="0.15">
      <c r="A758" s="4">
        <v>757</v>
      </c>
      <c r="B758" s="4">
        <v>0</v>
      </c>
      <c r="D758" s="5">
        <v>10.819778284410283</v>
      </c>
      <c r="E758" s="4">
        <v>1</v>
      </c>
      <c r="F758" s="5">
        <v>3.8501476017100584</v>
      </c>
      <c r="G758" s="4">
        <v>5</v>
      </c>
    </row>
    <row r="759" spans="1:7" x14ac:dyDescent="0.15">
      <c r="A759" s="4">
        <v>758</v>
      </c>
      <c r="B759" s="4">
        <v>1</v>
      </c>
      <c r="D759" s="5">
        <v>10.819778284410283</v>
      </c>
      <c r="E759" s="4">
        <v>1</v>
      </c>
      <c r="F759" s="5">
        <v>3.2188758248682006</v>
      </c>
      <c r="G759" s="4">
        <v>3</v>
      </c>
    </row>
    <row r="760" spans="1:7" x14ac:dyDescent="0.15">
      <c r="A760" s="4">
        <v>759</v>
      </c>
      <c r="B760" s="4">
        <v>0</v>
      </c>
      <c r="D760" s="5">
        <v>11.379394072345706</v>
      </c>
      <c r="E760" s="4">
        <v>1</v>
      </c>
      <c r="F760" s="5">
        <v>3.5835189384561099</v>
      </c>
      <c r="G760" s="4">
        <v>2</v>
      </c>
    </row>
    <row r="761" spans="1:7" x14ac:dyDescent="0.15">
      <c r="A761" s="4">
        <v>760</v>
      </c>
      <c r="B761" s="4">
        <v>0</v>
      </c>
      <c r="D761" s="5">
        <v>10.221941283654663</v>
      </c>
      <c r="E761" s="4">
        <v>1</v>
      </c>
      <c r="F761" s="5">
        <v>3.5835189384561099</v>
      </c>
      <c r="G761" s="4">
        <v>3</v>
      </c>
    </row>
    <row r="762" spans="1:7" x14ac:dyDescent="0.15">
      <c r="A762" s="4">
        <v>761</v>
      </c>
      <c r="B762" s="4">
        <v>0</v>
      </c>
      <c r="D762" s="5">
        <v>10.308952660644293</v>
      </c>
      <c r="E762" s="4">
        <v>1</v>
      </c>
      <c r="F762" s="5">
        <v>2.8903717578961645</v>
      </c>
      <c r="G762" s="4">
        <v>4</v>
      </c>
    </row>
    <row r="763" spans="1:7" x14ac:dyDescent="0.15">
      <c r="A763" s="4">
        <v>762</v>
      </c>
      <c r="B763" s="4">
        <v>0</v>
      </c>
      <c r="D763" s="5">
        <v>11.379394072345706</v>
      </c>
      <c r="E763" s="4">
        <v>0</v>
      </c>
      <c r="F763" s="5">
        <v>3.7376696182833684</v>
      </c>
      <c r="G763" s="4">
        <v>6</v>
      </c>
    </row>
    <row r="764" spans="1:7" x14ac:dyDescent="0.15">
      <c r="A764" s="4">
        <v>763</v>
      </c>
      <c r="B764" s="4">
        <v>0</v>
      </c>
      <c r="D764" s="5">
        <v>10.768484990022733</v>
      </c>
      <c r="E764" s="4">
        <v>0</v>
      </c>
      <c r="F764" s="5">
        <v>3.912023005428146</v>
      </c>
      <c r="G764" s="4">
        <v>2</v>
      </c>
    </row>
    <row r="765" spans="1:7" x14ac:dyDescent="0.15">
      <c r="A765" s="4">
        <v>764</v>
      </c>
      <c r="B765" s="4">
        <v>0</v>
      </c>
      <c r="D765" s="5">
        <v>11.736069016284437</v>
      </c>
      <c r="E765" s="4">
        <v>0</v>
      </c>
      <c r="F765" s="5">
        <v>3.6888794541139363</v>
      </c>
      <c r="G765" s="4">
        <v>4</v>
      </c>
    </row>
    <row r="766" spans="1:7" x14ac:dyDescent="0.15">
      <c r="A766" s="4">
        <v>765</v>
      </c>
      <c r="B766" s="4">
        <v>0</v>
      </c>
      <c r="D766" s="5">
        <v>10.819778284410283</v>
      </c>
      <c r="E766" s="4">
        <v>0</v>
      </c>
      <c r="F766" s="5">
        <v>3.4011973816621555</v>
      </c>
      <c r="G766" s="4">
        <v>4</v>
      </c>
    </row>
    <row r="767" spans="1:7" x14ac:dyDescent="0.15">
      <c r="A767" s="4">
        <v>766</v>
      </c>
      <c r="B767" s="4">
        <v>0</v>
      </c>
      <c r="D767" s="5">
        <v>11.379394072345706</v>
      </c>
      <c r="E767" s="4">
        <v>1</v>
      </c>
      <c r="F767" s="5">
        <v>3.4657359027997265</v>
      </c>
      <c r="G767" s="4">
        <v>2</v>
      </c>
    </row>
    <row r="768" spans="1:7" x14ac:dyDescent="0.15">
      <c r="A768" s="4">
        <v>767</v>
      </c>
      <c r="B768" s="4">
        <v>0</v>
      </c>
      <c r="D768" s="5">
        <v>10.532096211958502</v>
      </c>
      <c r="E768" s="4">
        <v>1</v>
      </c>
      <c r="F768" s="5">
        <v>3.6888794541139363</v>
      </c>
      <c r="G768" s="4">
        <v>4</v>
      </c>
    </row>
    <row r="769" spans="1:7" x14ac:dyDescent="0.15">
      <c r="A769" s="4">
        <v>768</v>
      </c>
      <c r="B769" s="4">
        <v>1</v>
      </c>
      <c r="D769" s="5">
        <v>11.082142548877775</v>
      </c>
      <c r="E769" s="4">
        <v>1</v>
      </c>
      <c r="F769" s="5">
        <v>3.6888794541139363</v>
      </c>
      <c r="G769" s="4">
        <v>2</v>
      </c>
    </row>
    <row r="770" spans="1:7" x14ac:dyDescent="0.15">
      <c r="A770" s="4">
        <v>769</v>
      </c>
      <c r="B770" s="4">
        <v>0</v>
      </c>
      <c r="D770" s="5">
        <v>9.3281234076325656</v>
      </c>
      <c r="E770" s="4">
        <v>1</v>
      </c>
      <c r="F770" s="5">
        <v>3.6888794541139363</v>
      </c>
      <c r="G770" s="4">
        <v>3</v>
      </c>
    </row>
    <row r="771" spans="1:7" x14ac:dyDescent="0.15">
      <c r="A771" s="4">
        <v>770</v>
      </c>
      <c r="B771" s="4">
        <v>1</v>
      </c>
      <c r="D771" s="5">
        <v>11.379394072345706</v>
      </c>
      <c r="E771" s="4">
        <v>1</v>
      </c>
      <c r="F771" s="5">
        <v>3.912023005428146</v>
      </c>
      <c r="G771" s="4">
        <v>5</v>
      </c>
    </row>
    <row r="772" spans="1:7" x14ac:dyDescent="0.15">
      <c r="A772" s="4">
        <v>771</v>
      </c>
      <c r="B772" s="4">
        <v>10</v>
      </c>
      <c r="D772" s="5">
        <v>11.379394072345706</v>
      </c>
      <c r="E772" s="4">
        <v>0</v>
      </c>
      <c r="F772" s="5">
        <v>3.912023005428146</v>
      </c>
      <c r="G772" s="4">
        <v>5</v>
      </c>
    </row>
    <row r="773" spans="1:7" x14ac:dyDescent="0.15">
      <c r="A773" s="4">
        <v>772</v>
      </c>
      <c r="B773" s="4">
        <v>0</v>
      </c>
      <c r="D773" s="5">
        <v>11.379394072345706</v>
      </c>
      <c r="E773" s="4">
        <v>1</v>
      </c>
      <c r="F773" s="5">
        <v>3.713572066704308</v>
      </c>
      <c r="G773" s="4">
        <v>2</v>
      </c>
    </row>
    <row r="774" spans="1:7" x14ac:dyDescent="0.15">
      <c r="A774" s="4">
        <v>773</v>
      </c>
      <c r="B774" s="4">
        <v>0</v>
      </c>
      <c r="D774" s="5">
        <v>10.768484990022733</v>
      </c>
      <c r="E774" s="4">
        <v>0</v>
      </c>
      <c r="F774" s="5">
        <v>3.7612001156935624</v>
      </c>
      <c r="G774" s="4">
        <v>1</v>
      </c>
    </row>
    <row r="775" spans="1:7" x14ac:dyDescent="0.15">
      <c r="A775" s="4">
        <v>774</v>
      </c>
      <c r="B775" s="4">
        <v>0</v>
      </c>
      <c r="D775" s="5">
        <v>11.379394072345706</v>
      </c>
      <c r="E775" s="4">
        <v>0</v>
      </c>
      <c r="F775" s="5">
        <v>3.5553480614894135</v>
      </c>
      <c r="G775" s="4">
        <v>5</v>
      </c>
    </row>
    <row r="776" spans="1:7" x14ac:dyDescent="0.15">
      <c r="A776" s="4">
        <v>775</v>
      </c>
      <c r="B776" s="4">
        <v>0</v>
      </c>
      <c r="D776" s="5">
        <v>11.379394072345706</v>
      </c>
      <c r="E776" s="4">
        <v>0</v>
      </c>
      <c r="F776" s="5">
        <v>3.8501476017100584</v>
      </c>
      <c r="G776" s="4">
        <v>2</v>
      </c>
    </row>
    <row r="777" spans="1:7" x14ac:dyDescent="0.15">
      <c r="A777" s="4">
        <v>776</v>
      </c>
      <c r="B777" s="4">
        <v>0</v>
      </c>
      <c r="D777" s="5">
        <v>10.915088464214607</v>
      </c>
      <c r="E777" s="4">
        <v>0</v>
      </c>
      <c r="F777" s="5">
        <v>3.5553480614894135</v>
      </c>
      <c r="G777" s="4">
        <v>3</v>
      </c>
    </row>
    <row r="778" spans="1:7" x14ac:dyDescent="0.15">
      <c r="A778" s="4">
        <v>777</v>
      </c>
      <c r="B778" s="4">
        <v>0</v>
      </c>
      <c r="D778" s="5">
        <v>10.308952660644293</v>
      </c>
      <c r="E778" s="4">
        <v>1</v>
      </c>
      <c r="F778" s="5">
        <v>3.5263605246161616</v>
      </c>
      <c r="G778" s="4">
        <v>5</v>
      </c>
    </row>
    <row r="779" spans="1:7" x14ac:dyDescent="0.15">
      <c r="A779" s="4">
        <v>778</v>
      </c>
      <c r="B779" s="4">
        <v>0</v>
      </c>
      <c r="D779" s="5">
        <v>11.082142548877775</v>
      </c>
      <c r="E779" s="4">
        <v>1</v>
      </c>
      <c r="F779" s="5">
        <v>4.0430512678345503</v>
      </c>
      <c r="G779" s="4">
        <v>2</v>
      </c>
    </row>
    <row r="780" spans="1:7" x14ac:dyDescent="0.15">
      <c r="A780" s="4">
        <v>779</v>
      </c>
      <c r="B780" s="4">
        <v>0</v>
      </c>
      <c r="D780" s="5">
        <v>11.736069016284437</v>
      </c>
      <c r="E780" s="4">
        <v>1</v>
      </c>
      <c r="F780" s="5">
        <v>3.8918202981106265</v>
      </c>
      <c r="G780" s="4">
        <v>3</v>
      </c>
    </row>
    <row r="781" spans="1:7" x14ac:dyDescent="0.15">
      <c r="A781" s="4">
        <v>780</v>
      </c>
      <c r="B781" s="4">
        <v>0</v>
      </c>
      <c r="D781" s="5">
        <v>10.819778284410283</v>
      </c>
      <c r="E781" s="4">
        <v>1</v>
      </c>
      <c r="F781" s="5">
        <v>3.2188758248682006</v>
      </c>
      <c r="G781" s="4">
        <v>3</v>
      </c>
    </row>
    <row r="782" spans="1:7" x14ac:dyDescent="0.15">
      <c r="A782" s="4">
        <v>781</v>
      </c>
      <c r="B782" s="4">
        <v>0</v>
      </c>
      <c r="D782" s="5">
        <v>11.379394072345706</v>
      </c>
      <c r="E782" s="4">
        <v>1</v>
      </c>
      <c r="F782" s="5">
        <v>3.784189633918261</v>
      </c>
      <c r="G782" s="4">
        <v>2</v>
      </c>
    </row>
    <row r="783" spans="1:7" x14ac:dyDescent="0.15">
      <c r="A783" s="4">
        <v>782</v>
      </c>
      <c r="B783" s="4">
        <v>0</v>
      </c>
      <c r="D783" s="5">
        <v>10.388995368317829</v>
      </c>
      <c r="E783" s="4">
        <v>1</v>
      </c>
      <c r="F783" s="5">
        <v>3.5835189384561099</v>
      </c>
      <c r="G783" s="4">
        <v>4</v>
      </c>
    </row>
    <row r="784" spans="1:7" x14ac:dyDescent="0.15">
      <c r="A784" s="4">
        <v>783</v>
      </c>
      <c r="B784" s="4">
        <v>0</v>
      </c>
      <c r="D784" s="5">
        <v>10.768484990022733</v>
      </c>
      <c r="E784" s="4">
        <v>1</v>
      </c>
      <c r="F784" s="5">
        <v>3.7376696182833684</v>
      </c>
      <c r="G784" s="4">
        <v>5</v>
      </c>
    </row>
    <row r="785" spans="1:7" x14ac:dyDescent="0.15">
      <c r="A785" s="4">
        <v>784</v>
      </c>
      <c r="B785" s="4">
        <v>0</v>
      </c>
      <c r="D785" s="5">
        <v>11.191341840842766</v>
      </c>
      <c r="E785" s="4">
        <v>0</v>
      </c>
      <c r="F785" s="5">
        <v>4.0073331852324712</v>
      </c>
      <c r="G785" s="4">
        <v>4</v>
      </c>
    </row>
    <row r="786" spans="1:7" x14ac:dyDescent="0.15">
      <c r="A786" s="4">
        <v>785</v>
      </c>
      <c r="B786" s="4">
        <v>0</v>
      </c>
      <c r="D786" s="5">
        <v>11.191341840842766</v>
      </c>
      <c r="E786" s="4">
        <v>0</v>
      </c>
      <c r="F786" s="5">
        <v>2.8332133440562162</v>
      </c>
      <c r="G786" s="4">
        <v>4</v>
      </c>
    </row>
    <row r="787" spans="1:7" x14ac:dyDescent="0.15">
      <c r="A787" s="4">
        <v>786</v>
      </c>
      <c r="B787" s="4">
        <v>0</v>
      </c>
      <c r="D787" s="5">
        <v>10.021270588192511</v>
      </c>
      <c r="E787" s="4">
        <v>1</v>
      </c>
      <c r="F787" s="5">
        <v>2.5649493574615367</v>
      </c>
      <c r="G787" s="4">
        <v>3</v>
      </c>
    </row>
    <row r="788" spans="1:7" x14ac:dyDescent="0.15">
      <c r="A788" s="4">
        <v>787</v>
      </c>
      <c r="B788" s="4">
        <v>0</v>
      </c>
      <c r="D788" s="5">
        <v>10.308952660644293</v>
      </c>
      <c r="E788" s="4">
        <v>0</v>
      </c>
      <c r="F788" s="5">
        <v>3.713572066704308</v>
      </c>
      <c r="G788" s="4">
        <v>2</v>
      </c>
    </row>
    <row r="789" spans="1:7" x14ac:dyDescent="0.15">
      <c r="A789" s="4">
        <v>788</v>
      </c>
      <c r="B789" s="4">
        <v>0</v>
      </c>
      <c r="D789" s="5">
        <v>10.915088464214607</v>
      </c>
      <c r="E789" s="4">
        <v>0</v>
      </c>
      <c r="F789" s="5">
        <v>3.7612001156935624</v>
      </c>
      <c r="G789" s="4">
        <v>3</v>
      </c>
    </row>
    <row r="790" spans="1:7" x14ac:dyDescent="0.15">
      <c r="A790" s="4">
        <v>789</v>
      </c>
      <c r="B790" s="4">
        <v>0</v>
      </c>
      <c r="D790" s="5">
        <v>11.082142548877775</v>
      </c>
      <c r="E790" s="4">
        <v>1</v>
      </c>
      <c r="F790" s="5">
        <v>3.4011973816621555</v>
      </c>
      <c r="G790" s="4">
        <v>2</v>
      </c>
    </row>
    <row r="791" spans="1:7" x14ac:dyDescent="0.15">
      <c r="A791" s="4">
        <v>790</v>
      </c>
      <c r="B791" s="4">
        <v>0</v>
      </c>
      <c r="D791" s="5">
        <v>11.736069016284437</v>
      </c>
      <c r="E791" s="4">
        <v>1</v>
      </c>
      <c r="F791" s="5">
        <v>3.6635616461296463</v>
      </c>
      <c r="G791" s="4">
        <v>2</v>
      </c>
    </row>
    <row r="792" spans="1:7" x14ac:dyDescent="0.15">
      <c r="A792" s="4">
        <v>791</v>
      </c>
      <c r="B792" s="4">
        <v>2</v>
      </c>
      <c r="D792" s="5">
        <v>11.119882876860622</v>
      </c>
      <c r="E792" s="4">
        <v>1</v>
      </c>
      <c r="F792" s="5">
        <v>3.6109179126442243</v>
      </c>
      <c r="G792" s="4">
        <v>4</v>
      </c>
    </row>
    <row r="793" spans="1:7" x14ac:dyDescent="0.15">
      <c r="A793" s="4">
        <v>792</v>
      </c>
      <c r="B793" s="4">
        <v>0</v>
      </c>
      <c r="D793" s="5">
        <v>11.736069016284437</v>
      </c>
      <c r="E793" s="4">
        <v>1</v>
      </c>
      <c r="F793" s="5">
        <v>3.784189633918261</v>
      </c>
      <c r="G793" s="4">
        <v>3</v>
      </c>
    </row>
    <row r="794" spans="1:7" x14ac:dyDescent="0.15">
      <c r="A794" s="4">
        <v>793</v>
      </c>
      <c r="B794" s="4">
        <v>0</v>
      </c>
      <c r="D794" s="5">
        <v>10.915088464214607</v>
      </c>
      <c r="E794" s="4">
        <v>1</v>
      </c>
      <c r="F794" s="5">
        <v>4.0775374439057197</v>
      </c>
      <c r="G794" s="4">
        <v>2</v>
      </c>
    </row>
    <row r="795" spans="1:7" x14ac:dyDescent="0.15">
      <c r="A795" s="4">
        <v>794</v>
      </c>
      <c r="B795" s="4">
        <v>0</v>
      </c>
      <c r="D795" s="5">
        <v>11.379394072345706</v>
      </c>
      <c r="E795" s="4">
        <v>1</v>
      </c>
      <c r="F795" s="5">
        <v>3.3672958299864741</v>
      </c>
      <c r="G795" s="4">
        <v>3</v>
      </c>
    </row>
    <row r="796" spans="1:7" x14ac:dyDescent="0.15">
      <c r="A796" s="4">
        <v>795</v>
      </c>
      <c r="B796" s="4">
        <v>0</v>
      </c>
      <c r="D796" s="5">
        <v>11.379394072345706</v>
      </c>
      <c r="E796" s="4">
        <v>1</v>
      </c>
      <c r="F796" s="5">
        <v>3.7612001156935624</v>
      </c>
      <c r="G796" s="4">
        <v>3</v>
      </c>
    </row>
    <row r="797" spans="1:7" x14ac:dyDescent="0.15">
      <c r="A797" s="4">
        <v>796</v>
      </c>
      <c r="B797" s="4">
        <v>0</v>
      </c>
      <c r="D797" s="5">
        <v>11.379394072345706</v>
      </c>
      <c r="E797" s="4">
        <v>0</v>
      </c>
      <c r="F797" s="5">
        <v>4.1108738641733114</v>
      </c>
      <c r="G797" s="4">
        <v>3</v>
      </c>
    </row>
    <row r="798" spans="1:7" x14ac:dyDescent="0.15">
      <c r="A798" s="4">
        <v>797</v>
      </c>
      <c r="B798" s="4">
        <v>0</v>
      </c>
      <c r="D798" s="5">
        <v>10.021270588192511</v>
      </c>
      <c r="E798" s="4">
        <v>1</v>
      </c>
      <c r="F798" s="5">
        <v>3.4339872044851463</v>
      </c>
      <c r="G798" s="4">
        <v>2</v>
      </c>
    </row>
    <row r="799" spans="1:7" x14ac:dyDescent="0.15">
      <c r="A799" s="4">
        <v>798</v>
      </c>
      <c r="B799" s="4">
        <v>0</v>
      </c>
      <c r="D799" s="5">
        <v>10.308952660644293</v>
      </c>
      <c r="E799" s="4">
        <v>1</v>
      </c>
      <c r="F799" s="5">
        <v>3.2958368660043291</v>
      </c>
      <c r="G799" s="4">
        <v>5</v>
      </c>
    </row>
    <row r="800" spans="1:7" x14ac:dyDescent="0.15">
      <c r="A800" s="4">
        <v>799</v>
      </c>
      <c r="B800" s="4">
        <v>0</v>
      </c>
      <c r="D800" s="5">
        <v>11.119882876860622</v>
      </c>
      <c r="E800" s="4">
        <v>1</v>
      </c>
      <c r="F800" s="5">
        <v>3.3672958299864741</v>
      </c>
      <c r="G800" s="4">
        <v>4</v>
      </c>
    </row>
    <row r="801" spans="1:7" x14ac:dyDescent="0.15">
      <c r="A801" s="4">
        <v>800</v>
      </c>
      <c r="B801" s="4">
        <v>0</v>
      </c>
      <c r="D801" s="5">
        <v>10.388995368317829</v>
      </c>
      <c r="E801" s="4">
        <v>1</v>
      </c>
      <c r="F801" s="5">
        <v>3.8286413964890951</v>
      </c>
      <c r="G801" s="4">
        <v>4</v>
      </c>
    </row>
    <row r="802" spans="1:7" x14ac:dyDescent="0.15">
      <c r="A802" s="4">
        <v>801</v>
      </c>
      <c r="B802" s="4">
        <v>0</v>
      </c>
      <c r="D802" s="5">
        <v>10.388995368317829</v>
      </c>
      <c r="E802" s="4">
        <v>1</v>
      </c>
      <c r="F802" s="5">
        <v>2.6390573296152584</v>
      </c>
      <c r="G802" s="4">
        <v>4</v>
      </c>
    </row>
    <row r="803" spans="1:7" x14ac:dyDescent="0.15">
      <c r="A803" s="4">
        <v>802</v>
      </c>
      <c r="B803" s="4">
        <v>0</v>
      </c>
      <c r="D803" s="5">
        <v>10.819778284410283</v>
      </c>
      <c r="E803" s="4">
        <v>1</v>
      </c>
      <c r="F803" s="5">
        <v>3.6888794541139363</v>
      </c>
      <c r="G803" s="4">
        <v>3</v>
      </c>
    </row>
    <row r="804" spans="1:7" x14ac:dyDescent="0.15">
      <c r="A804" s="4">
        <v>803</v>
      </c>
      <c r="B804" s="4">
        <v>0</v>
      </c>
      <c r="D804" s="5">
        <v>10.819778284410283</v>
      </c>
      <c r="E804" s="4">
        <v>1</v>
      </c>
      <c r="F804" s="5">
        <v>3.8286413964890951</v>
      </c>
      <c r="G804" s="4">
        <v>3</v>
      </c>
    </row>
    <row r="805" spans="1:7" x14ac:dyDescent="0.15">
      <c r="A805" s="4">
        <v>804</v>
      </c>
      <c r="B805" s="4">
        <v>0</v>
      </c>
      <c r="D805" s="5">
        <v>11.191341840842766</v>
      </c>
      <c r="E805" s="4">
        <v>1</v>
      </c>
      <c r="F805" s="5">
        <v>3.8066624897703196</v>
      </c>
      <c r="G805" s="4">
        <v>3</v>
      </c>
    </row>
    <row r="806" spans="1:7" x14ac:dyDescent="0.15">
      <c r="A806" s="4">
        <v>805</v>
      </c>
      <c r="B806" s="4">
        <v>0</v>
      </c>
      <c r="D806" s="5">
        <v>11.379394072345706</v>
      </c>
      <c r="E806" s="4">
        <v>1</v>
      </c>
      <c r="F806" s="5">
        <v>3.6888794541139363</v>
      </c>
      <c r="G806" s="4">
        <v>3</v>
      </c>
    </row>
    <row r="807" spans="1:7" x14ac:dyDescent="0.15">
      <c r="A807" s="4">
        <v>806</v>
      </c>
      <c r="B807" s="4">
        <v>0</v>
      </c>
      <c r="D807" s="5">
        <v>11.119882876860622</v>
      </c>
      <c r="E807" s="4">
        <v>1</v>
      </c>
      <c r="F807" s="5">
        <v>3.970291913552122</v>
      </c>
      <c r="G807" s="4">
        <v>2</v>
      </c>
    </row>
    <row r="808" spans="1:7" x14ac:dyDescent="0.15">
      <c r="A808" s="4">
        <v>807</v>
      </c>
      <c r="B808" s="4">
        <v>0</v>
      </c>
      <c r="D808" s="5">
        <v>10.221941283654663</v>
      </c>
      <c r="E808" s="4">
        <v>0</v>
      </c>
      <c r="F808" s="5">
        <v>3.4011973816621555</v>
      </c>
      <c r="G808" s="4">
        <v>4</v>
      </c>
    </row>
    <row r="809" spans="1:7" x14ac:dyDescent="0.15">
      <c r="A809" s="4">
        <v>808</v>
      </c>
      <c r="B809" s="4">
        <v>0</v>
      </c>
      <c r="D809" s="5">
        <v>10.819778284410283</v>
      </c>
      <c r="E809" s="4">
        <v>1</v>
      </c>
      <c r="F809" s="5">
        <v>3.6888794541139363</v>
      </c>
      <c r="G809" s="4">
        <v>5</v>
      </c>
    </row>
    <row r="810" spans="1:7" x14ac:dyDescent="0.15">
      <c r="A810" s="4">
        <v>809</v>
      </c>
      <c r="B810" s="4">
        <v>0</v>
      </c>
      <c r="D810" s="5">
        <v>11.191341840842766</v>
      </c>
      <c r="E810" s="4">
        <v>1</v>
      </c>
      <c r="F810" s="5">
        <v>4.1431347263915326</v>
      </c>
      <c r="G810" s="4">
        <v>2</v>
      </c>
    </row>
    <row r="811" spans="1:7" x14ac:dyDescent="0.15">
      <c r="A811" s="4">
        <v>810</v>
      </c>
      <c r="B811" s="4">
        <v>0</v>
      </c>
      <c r="D811" s="5">
        <v>11.191341840842766</v>
      </c>
      <c r="E811" s="4">
        <v>0</v>
      </c>
      <c r="F811" s="5">
        <v>4.1743872698956368</v>
      </c>
      <c r="G811" s="4">
        <v>2</v>
      </c>
    </row>
    <row r="812" spans="1:7" x14ac:dyDescent="0.15">
      <c r="A812" s="4">
        <v>811</v>
      </c>
      <c r="B812" s="4">
        <v>0</v>
      </c>
      <c r="D812" s="5">
        <v>10.021270588192511</v>
      </c>
      <c r="E812" s="4">
        <v>1</v>
      </c>
      <c r="F812" s="5">
        <v>4.1743872698956368</v>
      </c>
      <c r="G812" s="4">
        <v>3</v>
      </c>
    </row>
    <row r="813" spans="1:7" x14ac:dyDescent="0.15">
      <c r="A813" s="4">
        <v>812</v>
      </c>
      <c r="B813" s="4">
        <v>0</v>
      </c>
      <c r="D813" s="5">
        <v>10.915088464214607</v>
      </c>
      <c r="E813" s="4">
        <v>0</v>
      </c>
      <c r="F813" s="5">
        <v>3.8066624897703196</v>
      </c>
      <c r="G813" s="4">
        <v>5</v>
      </c>
    </row>
    <row r="814" spans="1:7" x14ac:dyDescent="0.15">
      <c r="A814" s="4">
        <v>813</v>
      </c>
      <c r="B814" s="4">
        <v>0</v>
      </c>
      <c r="D814" s="5">
        <v>11.082142548877775</v>
      </c>
      <c r="E814" s="4">
        <v>0</v>
      </c>
      <c r="F814" s="5">
        <v>3.9318256327243257</v>
      </c>
      <c r="G814" s="4">
        <v>4</v>
      </c>
    </row>
    <row r="815" spans="1:7" x14ac:dyDescent="0.15">
      <c r="A815" s="4">
        <v>814</v>
      </c>
      <c r="B815" s="4">
        <v>0</v>
      </c>
      <c r="D815" s="5">
        <v>10.768484990022733</v>
      </c>
      <c r="E815" s="4">
        <v>1</v>
      </c>
      <c r="F815" s="5">
        <v>3.2580965380214821</v>
      </c>
      <c r="G815" s="4">
        <v>1</v>
      </c>
    </row>
    <row r="816" spans="1:7" x14ac:dyDescent="0.15">
      <c r="A816" s="4">
        <v>815</v>
      </c>
      <c r="B816" s="4">
        <v>3</v>
      </c>
      <c r="D816" s="5">
        <v>11.082142548877775</v>
      </c>
      <c r="E816" s="4">
        <v>1</v>
      </c>
      <c r="F816" s="5">
        <v>3.4657359027997265</v>
      </c>
      <c r="G816" s="4">
        <v>5</v>
      </c>
    </row>
    <row r="817" spans="1:7" x14ac:dyDescent="0.15">
      <c r="A817" s="4">
        <v>816</v>
      </c>
      <c r="B817" s="4">
        <v>2</v>
      </c>
      <c r="D817" s="5">
        <v>10.221941283654663</v>
      </c>
      <c r="E817" s="4">
        <v>1</v>
      </c>
      <c r="F817" s="5">
        <v>3.5835189384561099</v>
      </c>
      <c r="G817" s="4">
        <v>6</v>
      </c>
    </row>
    <row r="818" spans="1:7" x14ac:dyDescent="0.15">
      <c r="A818" s="4">
        <v>817</v>
      </c>
      <c r="B818" s="4">
        <v>1</v>
      </c>
      <c r="D818" s="5">
        <v>10.532096211958502</v>
      </c>
      <c r="E818" s="4">
        <v>1</v>
      </c>
      <c r="F818" s="5">
        <v>3.5263605246161616</v>
      </c>
      <c r="G818" s="4">
        <v>3</v>
      </c>
    </row>
    <row r="819" spans="1:7" x14ac:dyDescent="0.15">
      <c r="A819" s="4">
        <v>818</v>
      </c>
      <c r="B819" s="4">
        <v>10</v>
      </c>
      <c r="D819" s="5">
        <v>11.082142548877775</v>
      </c>
      <c r="E819" s="4">
        <v>0</v>
      </c>
      <c r="F819" s="5">
        <v>3.3672958299864741</v>
      </c>
      <c r="G819" s="4">
        <v>2</v>
      </c>
    </row>
    <row r="820" spans="1:7" x14ac:dyDescent="0.15">
      <c r="A820" s="4">
        <v>819</v>
      </c>
      <c r="B820" s="4">
        <v>0</v>
      </c>
      <c r="D820" s="5">
        <v>10.657259354912508</v>
      </c>
      <c r="E820" s="4">
        <v>1</v>
      </c>
      <c r="F820" s="5">
        <v>3.7612001156935624</v>
      </c>
      <c r="G820" s="4">
        <v>1</v>
      </c>
    </row>
    <row r="821" spans="1:7" x14ac:dyDescent="0.15">
      <c r="A821" s="4">
        <v>820</v>
      </c>
      <c r="B821" s="4">
        <v>1</v>
      </c>
      <c r="D821" s="5">
        <v>10.221941283654663</v>
      </c>
      <c r="E821" s="4">
        <v>1</v>
      </c>
      <c r="F821" s="5">
        <v>3.4657359027997265</v>
      </c>
      <c r="G821" s="4">
        <v>2</v>
      </c>
    </row>
    <row r="822" spans="1:7" x14ac:dyDescent="0.15">
      <c r="A822" s="4">
        <v>821</v>
      </c>
      <c r="B822" s="4">
        <v>0</v>
      </c>
      <c r="D822" s="5">
        <v>10.221941283654663</v>
      </c>
      <c r="E822" s="4">
        <v>1</v>
      </c>
      <c r="F822" s="5">
        <v>1.791759469228055</v>
      </c>
      <c r="G822" s="4">
        <v>2</v>
      </c>
    </row>
    <row r="823" spans="1:7" x14ac:dyDescent="0.15">
      <c r="A823" s="4">
        <v>822</v>
      </c>
      <c r="B823" s="4">
        <v>1</v>
      </c>
      <c r="D823" s="5">
        <v>12.072541252905651</v>
      </c>
      <c r="E823" s="4">
        <v>1</v>
      </c>
      <c r="F823" s="5">
        <v>3.8066624897703196</v>
      </c>
      <c r="G823" s="4">
        <v>2</v>
      </c>
    </row>
    <row r="824" spans="1:7" x14ac:dyDescent="0.15">
      <c r="A824" s="4">
        <v>823</v>
      </c>
      <c r="B824" s="4">
        <v>0</v>
      </c>
      <c r="D824" s="5">
        <v>11.379394072345706</v>
      </c>
      <c r="E824" s="4">
        <v>1</v>
      </c>
      <c r="F824" s="5">
        <v>3.8066624897703196</v>
      </c>
      <c r="G824" s="4">
        <v>3</v>
      </c>
    </row>
    <row r="825" spans="1:7" x14ac:dyDescent="0.15">
      <c r="A825" s="4">
        <v>824</v>
      </c>
      <c r="B825" s="4">
        <v>0</v>
      </c>
      <c r="D825" s="5">
        <v>10.532096211958502</v>
      </c>
      <c r="E825" s="4">
        <v>1</v>
      </c>
      <c r="F825" s="5">
        <v>3.6375861597263857</v>
      </c>
      <c r="G825" s="4">
        <v>5</v>
      </c>
    </row>
    <row r="826" spans="1:7" x14ac:dyDescent="0.15">
      <c r="A826" s="4">
        <v>825</v>
      </c>
      <c r="B826" s="4">
        <v>1</v>
      </c>
      <c r="D826" s="5">
        <v>10.768484990022733</v>
      </c>
      <c r="E826" s="4">
        <v>1</v>
      </c>
      <c r="F826" s="5">
        <v>3.5553480614894135</v>
      </c>
      <c r="G826" s="4">
        <v>3</v>
      </c>
    </row>
    <row r="827" spans="1:7" x14ac:dyDescent="0.15">
      <c r="A827" s="4">
        <v>826</v>
      </c>
      <c r="B827" s="4">
        <v>1</v>
      </c>
      <c r="D827" s="5">
        <v>10.915088464214607</v>
      </c>
      <c r="E827" s="4">
        <v>1</v>
      </c>
      <c r="F827" s="5">
        <v>4.1271343850450917</v>
      </c>
      <c r="G827" s="4">
        <v>2</v>
      </c>
    </row>
    <row r="828" spans="1:7" x14ac:dyDescent="0.15">
      <c r="A828" s="4">
        <v>827</v>
      </c>
      <c r="B828" s="4">
        <v>0</v>
      </c>
      <c r="D828" s="5">
        <v>10.021270588192511</v>
      </c>
      <c r="E828" s="4">
        <v>1</v>
      </c>
      <c r="F828" s="5">
        <v>2.3978952727983707</v>
      </c>
      <c r="G828" s="4">
        <v>4</v>
      </c>
    </row>
    <row r="829" spans="1:7" x14ac:dyDescent="0.15">
      <c r="A829" s="4">
        <v>828</v>
      </c>
      <c r="B829" s="4">
        <v>0</v>
      </c>
      <c r="D829" s="5">
        <v>10.021270588192511</v>
      </c>
      <c r="E829" s="4">
        <v>0</v>
      </c>
      <c r="F829" s="5">
        <v>3.4339872044851463</v>
      </c>
      <c r="G829" s="4">
        <v>1</v>
      </c>
    </row>
    <row r="830" spans="1:7" x14ac:dyDescent="0.15">
      <c r="A830" s="4">
        <v>829</v>
      </c>
      <c r="B830" s="4">
        <v>0</v>
      </c>
      <c r="D830" s="5">
        <v>9.7699561599116063</v>
      </c>
      <c r="E830" s="4">
        <v>0</v>
      </c>
      <c r="F830" s="5">
        <v>4.1431347263915326</v>
      </c>
      <c r="G830" s="4">
        <v>2</v>
      </c>
    </row>
    <row r="831" spans="1:7" x14ac:dyDescent="0.15">
      <c r="A831" s="4">
        <v>830</v>
      </c>
      <c r="B831" s="4">
        <v>0</v>
      </c>
      <c r="D831" s="5">
        <v>10.768484990022733</v>
      </c>
      <c r="E831" s="4">
        <v>1</v>
      </c>
      <c r="F831" s="5">
        <v>2.5649493574615367</v>
      </c>
      <c r="G831" s="4">
        <v>3</v>
      </c>
    </row>
    <row r="832" spans="1:7" x14ac:dyDescent="0.15">
      <c r="A832" s="4">
        <v>831</v>
      </c>
      <c r="B832" s="4">
        <v>0</v>
      </c>
      <c r="D832" s="5">
        <v>11.082142548877775</v>
      </c>
      <c r="E832" s="4">
        <v>0</v>
      </c>
      <c r="F832" s="5">
        <v>3.7376696182833684</v>
      </c>
      <c r="G832" s="4">
        <v>4</v>
      </c>
    </row>
    <row r="833" spans="1:7" x14ac:dyDescent="0.15">
      <c r="A833" s="4">
        <v>832</v>
      </c>
      <c r="B833" s="4">
        <v>0</v>
      </c>
      <c r="D833" s="5">
        <v>10.915088464214607</v>
      </c>
      <c r="E833" s="4">
        <v>1</v>
      </c>
      <c r="F833" s="5">
        <v>2.7080502011022101</v>
      </c>
      <c r="G833" s="4">
        <v>4</v>
      </c>
    </row>
    <row r="834" spans="1:7" x14ac:dyDescent="0.15">
      <c r="A834" s="4">
        <v>833</v>
      </c>
      <c r="B834" s="4">
        <v>0</v>
      </c>
      <c r="D834" s="5">
        <v>11.379394072345706</v>
      </c>
      <c r="E834" s="4">
        <v>1</v>
      </c>
      <c r="F834" s="5">
        <v>3.6635616461296463</v>
      </c>
      <c r="G834" s="4">
        <v>4</v>
      </c>
    </row>
    <row r="835" spans="1:7" x14ac:dyDescent="0.15">
      <c r="A835" s="4">
        <v>834</v>
      </c>
      <c r="B835" s="4">
        <v>0</v>
      </c>
      <c r="D835" s="5">
        <v>9.7699561599116063</v>
      </c>
      <c r="E835" s="4">
        <v>1</v>
      </c>
      <c r="F835" s="5">
        <v>3.7376696182833684</v>
      </c>
      <c r="G835" s="4">
        <v>2</v>
      </c>
    </row>
    <row r="836" spans="1:7" x14ac:dyDescent="0.15">
      <c r="A836" s="4">
        <v>835</v>
      </c>
      <c r="B836" s="4">
        <v>8</v>
      </c>
      <c r="D836" s="5">
        <v>11.082142548877775</v>
      </c>
      <c r="E836" s="4">
        <v>1</v>
      </c>
      <c r="F836" s="5">
        <v>4.0073331852324712</v>
      </c>
      <c r="G836" s="4">
        <v>3</v>
      </c>
    </row>
    <row r="837" spans="1:7" x14ac:dyDescent="0.15">
      <c r="A837" s="4">
        <v>836</v>
      </c>
      <c r="B837" s="4">
        <v>0</v>
      </c>
      <c r="D837" s="5">
        <v>11.736069016284437</v>
      </c>
      <c r="E837" s="4">
        <v>1</v>
      </c>
      <c r="F837" s="5">
        <v>3.8918202981106265</v>
      </c>
      <c r="G837" s="4">
        <v>5</v>
      </c>
    </row>
    <row r="838" spans="1:7" x14ac:dyDescent="0.15">
      <c r="A838" s="4">
        <v>837</v>
      </c>
      <c r="B838" s="4">
        <v>0</v>
      </c>
      <c r="D838" s="5">
        <v>11.736069016284437</v>
      </c>
      <c r="E838" s="4">
        <v>0</v>
      </c>
      <c r="F838" s="5">
        <v>3.970291913552122</v>
      </c>
      <c r="G838" s="4">
        <v>5</v>
      </c>
    </row>
    <row r="839" spans="1:7" x14ac:dyDescent="0.15">
      <c r="A839" s="4">
        <v>838</v>
      </c>
      <c r="B839" s="4">
        <v>1</v>
      </c>
      <c r="D839" s="5">
        <v>11.736069016284437</v>
      </c>
      <c r="E839" s="4">
        <v>0</v>
      </c>
      <c r="F839" s="5">
        <v>3.1780538303479458</v>
      </c>
      <c r="G839" s="4">
        <v>5</v>
      </c>
    </row>
    <row r="840" spans="1:7" x14ac:dyDescent="0.15">
      <c r="A840" s="4">
        <v>839</v>
      </c>
      <c r="B840" s="4">
        <v>2</v>
      </c>
      <c r="D840" s="5">
        <v>11.736069016284437</v>
      </c>
      <c r="E840" s="4">
        <v>1</v>
      </c>
      <c r="F840" s="5">
        <v>4.1743872698956368</v>
      </c>
      <c r="G840" s="4">
        <v>2</v>
      </c>
    </row>
    <row r="841" spans="1:7" x14ac:dyDescent="0.15">
      <c r="A841" s="4">
        <v>840</v>
      </c>
      <c r="B841" s="4">
        <v>7</v>
      </c>
      <c r="D841" s="5">
        <v>11.191341840842766</v>
      </c>
      <c r="E841" s="4">
        <v>1</v>
      </c>
      <c r="F841" s="5">
        <v>4.1896547420264252</v>
      </c>
      <c r="G841" s="4">
        <v>2</v>
      </c>
    </row>
    <row r="842" spans="1:7" x14ac:dyDescent="0.15">
      <c r="A842" s="4">
        <v>841</v>
      </c>
      <c r="B842" s="4">
        <v>0</v>
      </c>
      <c r="D842" s="5">
        <v>9.7699561599116063</v>
      </c>
      <c r="E842" s="4">
        <v>1</v>
      </c>
      <c r="F842" s="5">
        <v>3.3672958299864741</v>
      </c>
      <c r="G842" s="4">
        <v>3</v>
      </c>
    </row>
    <row r="843" spans="1:7" x14ac:dyDescent="0.15">
      <c r="A843" s="4">
        <v>842</v>
      </c>
      <c r="B843" s="4">
        <v>1</v>
      </c>
      <c r="D843" s="5">
        <v>11.082142548877775</v>
      </c>
      <c r="E843" s="4">
        <v>0</v>
      </c>
      <c r="F843" s="5">
        <v>4.0775374439057197</v>
      </c>
      <c r="G843" s="4">
        <v>2</v>
      </c>
    </row>
    <row r="844" spans="1:7" x14ac:dyDescent="0.15">
      <c r="A844" s="4">
        <v>843</v>
      </c>
      <c r="B844" s="4">
        <v>0</v>
      </c>
      <c r="D844" s="5">
        <v>10.657259354912508</v>
      </c>
      <c r="E844" s="4">
        <v>1</v>
      </c>
      <c r="F844" s="5">
        <v>3.9512437185814275</v>
      </c>
      <c r="G844" s="4">
        <v>3</v>
      </c>
    </row>
    <row r="845" spans="1:7" x14ac:dyDescent="0.15">
      <c r="A845" s="4">
        <v>844</v>
      </c>
      <c r="B845" s="4">
        <v>6</v>
      </c>
      <c r="D845" s="5">
        <v>10.915088464214607</v>
      </c>
      <c r="E845" s="4">
        <v>1</v>
      </c>
      <c r="F845" s="5">
        <v>3.6635616461296463</v>
      </c>
      <c r="G845" s="4">
        <v>2</v>
      </c>
    </row>
    <row r="846" spans="1:7" x14ac:dyDescent="0.15">
      <c r="A846" s="4">
        <v>845</v>
      </c>
      <c r="B846" s="4">
        <v>0</v>
      </c>
      <c r="D846" s="5">
        <v>11.736069016284437</v>
      </c>
      <c r="E846" s="4">
        <v>1</v>
      </c>
      <c r="F846" s="5">
        <v>3.8501476017100584</v>
      </c>
      <c r="G846" s="4">
        <v>3</v>
      </c>
    </row>
    <row r="847" spans="1:7" x14ac:dyDescent="0.15">
      <c r="A847" s="4">
        <v>846</v>
      </c>
      <c r="B847" s="4">
        <v>0</v>
      </c>
      <c r="D847" s="5">
        <v>10.221941283654663</v>
      </c>
      <c r="E847" s="4">
        <v>1</v>
      </c>
      <c r="F847" s="5">
        <v>3.6375861597263857</v>
      </c>
      <c r="G847" s="4">
        <v>3</v>
      </c>
    </row>
    <row r="848" spans="1:7" x14ac:dyDescent="0.15">
      <c r="A848" s="4">
        <v>847</v>
      </c>
      <c r="B848" s="4">
        <v>0</v>
      </c>
      <c r="D848" s="5">
        <v>10.221941283654663</v>
      </c>
      <c r="E848" s="4">
        <v>0</v>
      </c>
      <c r="F848" s="5">
        <v>3.6635616461296463</v>
      </c>
      <c r="G848" s="4">
        <v>3</v>
      </c>
    </row>
    <row r="849" spans="1:7" x14ac:dyDescent="0.15">
      <c r="A849" s="4">
        <v>848</v>
      </c>
      <c r="B849" s="4">
        <v>0</v>
      </c>
      <c r="D849" s="5">
        <v>11.379394072345706</v>
      </c>
      <c r="E849" s="4">
        <v>1</v>
      </c>
      <c r="F849" s="5">
        <v>2.8332133440562162</v>
      </c>
      <c r="G849" s="4">
        <v>5</v>
      </c>
    </row>
    <row r="850" spans="1:7" x14ac:dyDescent="0.15">
      <c r="A850" s="4">
        <v>849</v>
      </c>
      <c r="B850" s="4">
        <v>0</v>
      </c>
      <c r="D850" s="5">
        <v>10.915088464214607</v>
      </c>
      <c r="E850" s="4">
        <v>0</v>
      </c>
      <c r="F850" s="5">
        <v>3.3672958299864741</v>
      </c>
      <c r="G850" s="4">
        <v>2</v>
      </c>
    </row>
    <row r="851" spans="1:7" x14ac:dyDescent="0.15">
      <c r="A851" s="4">
        <v>850</v>
      </c>
      <c r="B851" s="4">
        <v>0</v>
      </c>
      <c r="D851" s="5">
        <v>9.7699561599116063</v>
      </c>
      <c r="E851" s="4">
        <v>1</v>
      </c>
      <c r="F851" s="5">
        <v>3.713572066704308</v>
      </c>
      <c r="G851" s="4">
        <v>2</v>
      </c>
    </row>
    <row r="852" spans="1:7" x14ac:dyDescent="0.15">
      <c r="A852" s="4">
        <v>851</v>
      </c>
      <c r="B852" s="4">
        <v>1</v>
      </c>
      <c r="D852" s="5">
        <v>10.388995368317829</v>
      </c>
      <c r="E852" s="4">
        <v>0</v>
      </c>
      <c r="F852" s="5">
        <v>3.2580965380214821</v>
      </c>
      <c r="G852" s="4">
        <v>1</v>
      </c>
    </row>
    <row r="853" spans="1:7" x14ac:dyDescent="0.15">
      <c r="A853" s="4">
        <v>852</v>
      </c>
      <c r="B853" s="4">
        <v>1</v>
      </c>
      <c r="D853" s="5">
        <v>10.021270588192511</v>
      </c>
      <c r="E853" s="4">
        <v>1</v>
      </c>
      <c r="F853" s="5">
        <v>3.5553480614894135</v>
      </c>
      <c r="G853" s="4">
        <v>4</v>
      </c>
    </row>
    <row r="854" spans="1:7" x14ac:dyDescent="0.15">
      <c r="A854" s="4">
        <v>853</v>
      </c>
      <c r="B854" s="4">
        <v>0</v>
      </c>
      <c r="D854" s="5">
        <v>10.915088464214607</v>
      </c>
      <c r="E854" s="4">
        <v>0</v>
      </c>
      <c r="F854" s="5">
        <v>2.9444389791664403</v>
      </c>
      <c r="G854" s="4">
        <v>4</v>
      </c>
    </row>
    <row r="855" spans="1:7" x14ac:dyDescent="0.15">
      <c r="A855" s="4">
        <v>854</v>
      </c>
      <c r="B855" s="4">
        <v>0</v>
      </c>
      <c r="D855" s="5">
        <v>11.191341840842766</v>
      </c>
      <c r="E855" s="4">
        <v>0</v>
      </c>
      <c r="F855" s="5">
        <v>3.4657359027997265</v>
      </c>
      <c r="G855" s="4">
        <v>2</v>
      </c>
    </row>
    <row r="856" spans="1:7" x14ac:dyDescent="0.15">
      <c r="A856" s="4">
        <v>855</v>
      </c>
      <c r="B856" s="4">
        <v>0</v>
      </c>
      <c r="D856" s="5">
        <v>10.388995368317829</v>
      </c>
      <c r="E856" s="4">
        <v>1</v>
      </c>
      <c r="F856" s="5">
        <v>3.9318256327243257</v>
      </c>
      <c r="G856" s="4">
        <v>2</v>
      </c>
    </row>
    <row r="857" spans="1:7" x14ac:dyDescent="0.15">
      <c r="A857" s="4">
        <v>856</v>
      </c>
      <c r="B857" s="4">
        <v>0</v>
      </c>
      <c r="D857" s="5">
        <v>10.768484990022733</v>
      </c>
      <c r="E857" s="4">
        <v>1</v>
      </c>
      <c r="F857" s="5">
        <v>3.8066624897703196</v>
      </c>
      <c r="G857" s="4">
        <v>3</v>
      </c>
    </row>
    <row r="858" spans="1:7" x14ac:dyDescent="0.15">
      <c r="A858" s="4">
        <v>857</v>
      </c>
      <c r="B858" s="4">
        <v>0</v>
      </c>
      <c r="D858" s="5">
        <v>11.082142548877775</v>
      </c>
      <c r="E858" s="4">
        <v>0</v>
      </c>
      <c r="F858" s="5">
        <v>3.8286413964890951</v>
      </c>
      <c r="G858" s="4">
        <v>1</v>
      </c>
    </row>
    <row r="859" spans="1:7" x14ac:dyDescent="0.15">
      <c r="A859" s="4">
        <v>858</v>
      </c>
      <c r="B859" s="4">
        <v>0</v>
      </c>
      <c r="D859" s="5">
        <v>10.221941283654663</v>
      </c>
      <c r="E859" s="4">
        <v>1</v>
      </c>
      <c r="F859" s="5">
        <v>3.2580965380214821</v>
      </c>
      <c r="G859" s="4">
        <v>2</v>
      </c>
    </row>
    <row r="860" spans="1:7" x14ac:dyDescent="0.15">
      <c r="A860" s="4">
        <v>859</v>
      </c>
      <c r="B860" s="4">
        <v>0</v>
      </c>
      <c r="D860" s="5">
        <v>9.7699561599116063</v>
      </c>
      <c r="E860" s="4">
        <v>1</v>
      </c>
      <c r="F860" s="5">
        <v>3.2188758248682006</v>
      </c>
      <c r="G860" s="4">
        <v>2</v>
      </c>
    </row>
    <row r="861" spans="1:7" x14ac:dyDescent="0.15">
      <c r="A861" s="4">
        <v>860</v>
      </c>
      <c r="B861" s="4">
        <v>0</v>
      </c>
      <c r="D861" s="5">
        <v>10.768484990022733</v>
      </c>
      <c r="E861" s="4">
        <v>1</v>
      </c>
      <c r="F861" s="5">
        <v>3.3672958299864741</v>
      </c>
      <c r="G861" s="4">
        <v>2</v>
      </c>
    </row>
    <row r="862" spans="1:7" x14ac:dyDescent="0.15">
      <c r="A862" s="4">
        <v>861</v>
      </c>
      <c r="B862" s="4">
        <v>0</v>
      </c>
      <c r="D862" s="5">
        <v>10.221941283654663</v>
      </c>
      <c r="E862" s="4">
        <v>0</v>
      </c>
      <c r="F862" s="5">
        <v>3.8286413964890951</v>
      </c>
      <c r="G862" s="4">
        <v>1</v>
      </c>
    </row>
    <row r="863" spans="1:7" x14ac:dyDescent="0.15">
      <c r="A863" s="4">
        <v>862</v>
      </c>
      <c r="B863" s="4">
        <v>0</v>
      </c>
      <c r="D863" s="5">
        <v>10.532096211958502</v>
      </c>
      <c r="E863" s="4">
        <v>1</v>
      </c>
      <c r="F863" s="5">
        <v>3.7376696182833684</v>
      </c>
      <c r="G863" s="4">
        <v>1</v>
      </c>
    </row>
    <row r="864" spans="1:7" x14ac:dyDescent="0.15">
      <c r="A864" s="4">
        <v>863</v>
      </c>
      <c r="B864" s="4">
        <v>0</v>
      </c>
      <c r="D864" s="5">
        <v>10.021270588192511</v>
      </c>
      <c r="E864" s="4">
        <v>0</v>
      </c>
      <c r="F864" s="5">
        <v>3.1354942159291497</v>
      </c>
      <c r="G864" s="4">
        <v>3</v>
      </c>
    </row>
    <row r="865" spans="1:7" x14ac:dyDescent="0.15">
      <c r="A865" s="4">
        <v>864</v>
      </c>
      <c r="B865" s="4">
        <v>0</v>
      </c>
      <c r="D865" s="5">
        <v>12.206072645530174</v>
      </c>
      <c r="E865" s="4">
        <v>0</v>
      </c>
      <c r="F865" s="5">
        <v>3.6375861597263857</v>
      </c>
      <c r="G865" s="4">
        <v>3</v>
      </c>
    </row>
    <row r="866" spans="1:7" x14ac:dyDescent="0.15">
      <c r="A866" s="4">
        <v>865</v>
      </c>
      <c r="B866" s="4">
        <v>2</v>
      </c>
      <c r="D866" s="5">
        <v>10.388995368317829</v>
      </c>
      <c r="E866" s="4">
        <v>1</v>
      </c>
      <c r="F866" s="5">
        <v>3.5835189384561099</v>
      </c>
      <c r="G866" s="4">
        <v>3</v>
      </c>
    </row>
    <row r="867" spans="1:7" x14ac:dyDescent="0.15">
      <c r="A867" s="4">
        <v>866</v>
      </c>
      <c r="B867" s="4">
        <v>1</v>
      </c>
      <c r="D867" s="5">
        <v>9.7699561599116063</v>
      </c>
      <c r="E867" s="4">
        <v>1</v>
      </c>
      <c r="F867" s="5">
        <v>3.2958368660043291</v>
      </c>
      <c r="G867" s="4">
        <v>4</v>
      </c>
    </row>
    <row r="868" spans="1:7" x14ac:dyDescent="0.15">
      <c r="A868" s="4">
        <v>867</v>
      </c>
      <c r="B868" s="4">
        <v>1</v>
      </c>
      <c r="D868" s="5">
        <v>10.021270588192511</v>
      </c>
      <c r="E868" s="4">
        <v>1</v>
      </c>
      <c r="F868" s="5">
        <v>4.0430512678345503</v>
      </c>
      <c r="G868" s="4">
        <v>1</v>
      </c>
    </row>
    <row r="869" spans="1:7" x14ac:dyDescent="0.15">
      <c r="A869" s="4">
        <v>868</v>
      </c>
      <c r="B869" s="4">
        <v>2</v>
      </c>
      <c r="D869" s="5">
        <v>11.736069016284437</v>
      </c>
      <c r="E869" s="4">
        <v>1</v>
      </c>
      <c r="F869" s="5">
        <v>3.6109179126442243</v>
      </c>
      <c r="G869" s="4">
        <v>1</v>
      </c>
    </row>
    <row r="870" spans="1:7" x14ac:dyDescent="0.15">
      <c r="A870" s="4">
        <v>869</v>
      </c>
      <c r="B870" s="4">
        <v>0</v>
      </c>
      <c r="D870" s="5">
        <v>11.082142548877775</v>
      </c>
      <c r="E870" s="4">
        <v>0</v>
      </c>
      <c r="F870" s="5">
        <v>3.4965075614664802</v>
      </c>
      <c r="G870" s="4">
        <v>4</v>
      </c>
    </row>
    <row r="871" spans="1:7" x14ac:dyDescent="0.15">
      <c r="A871" s="4">
        <v>870</v>
      </c>
      <c r="B871" s="4">
        <v>0</v>
      </c>
      <c r="D871" s="5">
        <v>10.768484990022733</v>
      </c>
      <c r="E871" s="4">
        <v>1</v>
      </c>
      <c r="F871" s="5">
        <v>3.3322045101752038</v>
      </c>
      <c r="G871" s="4">
        <v>3</v>
      </c>
    </row>
    <row r="872" spans="1:7" x14ac:dyDescent="0.15">
      <c r="A872" s="4">
        <v>871</v>
      </c>
      <c r="B872" s="4">
        <v>1</v>
      </c>
      <c r="D872" s="5">
        <v>10.021270588192511</v>
      </c>
      <c r="E872" s="4">
        <v>1</v>
      </c>
      <c r="F872" s="5">
        <v>3.5263605246161616</v>
      </c>
      <c r="G872" s="4">
        <v>2</v>
      </c>
    </row>
    <row r="873" spans="1:7" x14ac:dyDescent="0.15">
      <c r="A873" s="4">
        <v>872</v>
      </c>
      <c r="B873" s="4">
        <v>0</v>
      </c>
      <c r="D873" s="5">
        <v>9.3281234076325656</v>
      </c>
      <c r="E873" s="4">
        <v>1</v>
      </c>
      <c r="F873" s="5">
        <v>3.6375861597263857</v>
      </c>
      <c r="G873" s="4">
        <v>2</v>
      </c>
    </row>
    <row r="874" spans="1:7" x14ac:dyDescent="0.15">
      <c r="A874" s="4">
        <v>873</v>
      </c>
      <c r="B874" s="4">
        <v>0</v>
      </c>
      <c r="D874" s="5">
        <v>11.191341840842766</v>
      </c>
      <c r="E874" s="4">
        <v>1</v>
      </c>
      <c r="F874" s="5">
        <v>4.0253516907351496</v>
      </c>
      <c r="G874" s="4">
        <v>4</v>
      </c>
    </row>
    <row r="875" spans="1:7" x14ac:dyDescent="0.15">
      <c r="A875" s="4">
        <v>874</v>
      </c>
      <c r="B875" s="4">
        <v>0</v>
      </c>
      <c r="D875" s="5">
        <v>11.082142548877775</v>
      </c>
      <c r="E875" s="4">
        <v>1</v>
      </c>
      <c r="F875" s="5">
        <v>3.7376696182833684</v>
      </c>
      <c r="G875" s="4">
        <v>2</v>
      </c>
    </row>
    <row r="876" spans="1:7" x14ac:dyDescent="0.15">
      <c r="A876" s="4">
        <v>875</v>
      </c>
      <c r="B876" s="4">
        <v>0</v>
      </c>
      <c r="D876" s="5">
        <v>10.221941283654663</v>
      </c>
      <c r="E876" s="4">
        <v>0</v>
      </c>
      <c r="F876" s="5">
        <v>3.4011973816621555</v>
      </c>
      <c r="G876" s="4">
        <v>3</v>
      </c>
    </row>
    <row r="877" spans="1:7" x14ac:dyDescent="0.15">
      <c r="A877" s="4">
        <v>876</v>
      </c>
      <c r="B877" s="4">
        <v>0</v>
      </c>
      <c r="D877" s="5">
        <v>10.915088464214607</v>
      </c>
      <c r="E877" s="4">
        <v>0</v>
      </c>
      <c r="F877" s="5">
        <v>3.7376696182833684</v>
      </c>
      <c r="G877" s="4">
        <v>3</v>
      </c>
    </row>
    <row r="878" spans="1:7" x14ac:dyDescent="0.15">
      <c r="A878" s="4">
        <v>877</v>
      </c>
      <c r="B878" s="4">
        <v>0</v>
      </c>
      <c r="D878" s="5">
        <v>10.768484990022733</v>
      </c>
      <c r="E878" s="4">
        <v>1</v>
      </c>
      <c r="F878" s="5">
        <v>3.8501476017100584</v>
      </c>
      <c r="G878" s="4">
        <v>1</v>
      </c>
    </row>
    <row r="879" spans="1:7" x14ac:dyDescent="0.15">
      <c r="A879" s="4">
        <v>878</v>
      </c>
      <c r="B879" s="4">
        <v>0</v>
      </c>
      <c r="D879" s="5">
        <v>10.221941283654663</v>
      </c>
      <c r="E879" s="4">
        <v>1</v>
      </c>
      <c r="F879" s="5">
        <v>3.3672958299864741</v>
      </c>
      <c r="G879" s="4">
        <v>3</v>
      </c>
    </row>
    <row r="880" spans="1:7" x14ac:dyDescent="0.15">
      <c r="A880" s="4">
        <v>879</v>
      </c>
      <c r="B880" s="4">
        <v>2</v>
      </c>
      <c r="D880" s="5">
        <v>11.736069016284437</v>
      </c>
      <c r="E880" s="4">
        <v>0</v>
      </c>
      <c r="F880" s="5">
        <v>3.784189633918261</v>
      </c>
      <c r="G880" s="4">
        <v>1</v>
      </c>
    </row>
    <row r="881" spans="1:7" x14ac:dyDescent="0.15">
      <c r="A881" s="4">
        <v>880</v>
      </c>
      <c r="B881" s="4">
        <v>2</v>
      </c>
      <c r="D881" s="5">
        <v>10.915088464214607</v>
      </c>
      <c r="E881" s="4">
        <v>1</v>
      </c>
      <c r="F881" s="5">
        <v>3.0910424533583161</v>
      </c>
      <c r="G881" s="4">
        <v>9</v>
      </c>
    </row>
    <row r="882" spans="1:7" x14ac:dyDescent="0.15">
      <c r="A882" s="4">
        <v>881</v>
      </c>
      <c r="B882" s="4">
        <v>0</v>
      </c>
      <c r="D882" s="5">
        <v>11.082142548877775</v>
      </c>
      <c r="E882" s="4">
        <v>1</v>
      </c>
      <c r="F882" s="5">
        <v>4.0775374439057197</v>
      </c>
      <c r="G882" s="4">
        <v>2</v>
      </c>
    </row>
    <row r="883" spans="1:7" x14ac:dyDescent="0.15">
      <c r="A883" s="4">
        <v>882</v>
      </c>
      <c r="B883" s="4">
        <v>2</v>
      </c>
      <c r="D883" s="5">
        <v>11.736069016284437</v>
      </c>
      <c r="E883" s="4">
        <v>1</v>
      </c>
      <c r="F883" s="5">
        <v>3.4657359027997265</v>
      </c>
      <c r="G883" s="4">
        <v>2</v>
      </c>
    </row>
    <row r="884" spans="1:7" x14ac:dyDescent="0.15">
      <c r="A884" s="4">
        <v>883</v>
      </c>
      <c r="B884" s="4">
        <v>0</v>
      </c>
      <c r="D884" s="5">
        <v>11.379394072345706</v>
      </c>
      <c r="E884" s="4">
        <v>1</v>
      </c>
      <c r="F884" s="5">
        <v>3.3672958299864741</v>
      </c>
      <c r="G884" s="4">
        <v>3</v>
      </c>
    </row>
    <row r="885" spans="1:7" x14ac:dyDescent="0.15">
      <c r="A885" s="4">
        <v>884</v>
      </c>
      <c r="B885" s="4">
        <v>0</v>
      </c>
      <c r="D885" s="5">
        <v>9.7699561599116063</v>
      </c>
      <c r="E885" s="4">
        <v>1</v>
      </c>
      <c r="F885" s="5">
        <v>3.3672958299864741</v>
      </c>
      <c r="G885" s="4">
        <v>1</v>
      </c>
    </row>
    <row r="886" spans="1:7" x14ac:dyDescent="0.15">
      <c r="A886" s="4">
        <v>885</v>
      </c>
      <c r="B886" s="4">
        <v>0</v>
      </c>
      <c r="D886" s="5">
        <v>11.736069016284437</v>
      </c>
      <c r="E886" s="4">
        <v>1</v>
      </c>
      <c r="F886" s="5">
        <v>3.8918202981106265</v>
      </c>
      <c r="G886" s="4">
        <v>3</v>
      </c>
    </row>
    <row r="887" spans="1:7" x14ac:dyDescent="0.15">
      <c r="A887" s="4">
        <v>886</v>
      </c>
      <c r="B887" s="4">
        <v>1</v>
      </c>
      <c r="D887" s="5">
        <v>11.379394072345706</v>
      </c>
      <c r="E887" s="4">
        <v>1</v>
      </c>
      <c r="F887" s="5">
        <v>3.9318256327243257</v>
      </c>
      <c r="G887" s="4">
        <v>3</v>
      </c>
    </row>
    <row r="888" spans="1:7" x14ac:dyDescent="0.15">
      <c r="A888" s="4">
        <v>887</v>
      </c>
      <c r="B888" s="4">
        <v>0</v>
      </c>
      <c r="D888" s="5">
        <v>10.388995368317829</v>
      </c>
      <c r="E888" s="4">
        <v>1</v>
      </c>
      <c r="F888" s="5">
        <v>3.6109179126442243</v>
      </c>
      <c r="G888" s="4">
        <v>1</v>
      </c>
    </row>
    <row r="889" spans="1:7" x14ac:dyDescent="0.15">
      <c r="A889" s="4">
        <v>888</v>
      </c>
      <c r="B889" s="4">
        <v>0</v>
      </c>
      <c r="D889" s="5">
        <v>10.021270588192511</v>
      </c>
      <c r="E889" s="4">
        <v>1</v>
      </c>
      <c r="F889" s="5">
        <v>3.2580965380214821</v>
      </c>
      <c r="G889" s="4">
        <v>1</v>
      </c>
    </row>
    <row r="890" spans="1:7" x14ac:dyDescent="0.15">
      <c r="A890" s="4">
        <v>889</v>
      </c>
      <c r="B890" s="4">
        <v>2</v>
      </c>
      <c r="D890" s="5">
        <v>11.379394072345706</v>
      </c>
      <c r="E890" s="4">
        <v>0</v>
      </c>
      <c r="F890" s="5">
        <v>3.8501476017100584</v>
      </c>
      <c r="G890" s="4">
        <v>1</v>
      </c>
    </row>
    <row r="891" spans="1:7" x14ac:dyDescent="0.15">
      <c r="A891" s="4">
        <v>890</v>
      </c>
      <c r="B891" s="4">
        <v>0</v>
      </c>
      <c r="D891" s="5">
        <v>11.191341840842766</v>
      </c>
      <c r="E891" s="4">
        <v>1</v>
      </c>
      <c r="F891" s="5">
        <v>3.8712010109078911</v>
      </c>
      <c r="G891" s="4">
        <v>2</v>
      </c>
    </row>
    <row r="892" spans="1:7" x14ac:dyDescent="0.15">
      <c r="A892" s="4">
        <v>891</v>
      </c>
      <c r="B892" s="4">
        <v>0</v>
      </c>
      <c r="D892" s="5">
        <v>10.768484990022733</v>
      </c>
      <c r="E892" s="4">
        <v>1</v>
      </c>
      <c r="F892" s="5">
        <v>3.4011973816621555</v>
      </c>
      <c r="G892" s="4">
        <v>4</v>
      </c>
    </row>
    <row r="893" spans="1:7" x14ac:dyDescent="0.15">
      <c r="A893" s="4">
        <v>892</v>
      </c>
      <c r="B893" s="4">
        <v>0</v>
      </c>
      <c r="D893" s="5">
        <v>10.388995368317829</v>
      </c>
      <c r="E893" s="4">
        <v>1</v>
      </c>
      <c r="F893" s="5">
        <v>3.5553480614894135</v>
      </c>
      <c r="G893" s="4">
        <v>4</v>
      </c>
    </row>
    <row r="894" spans="1:7" x14ac:dyDescent="0.15">
      <c r="A894" s="4">
        <v>893</v>
      </c>
      <c r="B894" s="4">
        <v>0</v>
      </c>
      <c r="D894" s="5">
        <v>10.915088464214607</v>
      </c>
      <c r="E894" s="4">
        <v>0</v>
      </c>
      <c r="F894" s="5">
        <v>3.8286413964890951</v>
      </c>
      <c r="G894" s="4">
        <v>4</v>
      </c>
    </row>
    <row r="895" spans="1:7" x14ac:dyDescent="0.15">
      <c r="A895" s="4">
        <v>894</v>
      </c>
      <c r="B895" s="4">
        <v>0</v>
      </c>
      <c r="D895" s="5">
        <v>10.221941283654663</v>
      </c>
      <c r="E895" s="4">
        <v>1</v>
      </c>
      <c r="F895" s="5">
        <v>3.9318256327243257</v>
      </c>
      <c r="G895" s="4">
        <v>3</v>
      </c>
    </row>
    <row r="896" spans="1:7" x14ac:dyDescent="0.15">
      <c r="A896" s="4">
        <v>895</v>
      </c>
      <c r="B896" s="4">
        <v>0</v>
      </c>
      <c r="D896" s="5">
        <v>10.221941283654663</v>
      </c>
      <c r="E896" s="4">
        <v>1</v>
      </c>
      <c r="F896" s="5">
        <v>3.7612001156935624</v>
      </c>
      <c r="G896" s="4">
        <v>4</v>
      </c>
    </row>
    <row r="897" spans="1:7" x14ac:dyDescent="0.15">
      <c r="A897" s="4">
        <v>896</v>
      </c>
      <c r="B897" s="4">
        <v>0</v>
      </c>
      <c r="D897" s="5">
        <v>10.221941283654663</v>
      </c>
      <c r="E897" s="4">
        <v>1</v>
      </c>
      <c r="F897" s="5">
        <v>4.1743872698956368</v>
      </c>
      <c r="G897" s="4">
        <v>2</v>
      </c>
    </row>
    <row r="898" spans="1:7" x14ac:dyDescent="0.15">
      <c r="A898" s="4">
        <v>897</v>
      </c>
      <c r="B898" s="4">
        <v>0</v>
      </c>
      <c r="D898" s="5">
        <v>10.388995368317829</v>
      </c>
      <c r="E898" s="4">
        <v>1</v>
      </c>
      <c r="F898" s="5">
        <v>4.0430512678345503</v>
      </c>
      <c r="G898" s="4">
        <v>1</v>
      </c>
    </row>
    <row r="899" spans="1:7" x14ac:dyDescent="0.15">
      <c r="A899" s="4">
        <v>898</v>
      </c>
      <c r="B899" s="4">
        <v>0</v>
      </c>
      <c r="D899" s="5">
        <v>11.082142548877775</v>
      </c>
      <c r="E899" s="4">
        <v>0</v>
      </c>
      <c r="F899" s="5">
        <v>2.7080502011022101</v>
      </c>
      <c r="G899" s="4">
        <v>5</v>
      </c>
    </row>
    <row r="900" spans="1:7" x14ac:dyDescent="0.15">
      <c r="A900" s="4">
        <v>899</v>
      </c>
      <c r="B900" s="4">
        <v>0</v>
      </c>
      <c r="D900" s="5">
        <v>10.819778284410283</v>
      </c>
      <c r="E900" s="4">
        <v>1</v>
      </c>
      <c r="F900" s="5">
        <v>3.6635616461296463</v>
      </c>
      <c r="G900" s="4">
        <v>3</v>
      </c>
    </row>
    <row r="901" spans="1:7" x14ac:dyDescent="0.15">
      <c r="A901" s="4">
        <v>900</v>
      </c>
      <c r="B901" s="4">
        <v>2</v>
      </c>
      <c r="D901" s="5">
        <v>11.379394072345706</v>
      </c>
      <c r="E901" s="4">
        <v>1</v>
      </c>
      <c r="F901" s="5">
        <v>4.0430512678345503</v>
      </c>
      <c r="G901" s="4">
        <v>2</v>
      </c>
    </row>
    <row r="902" spans="1:7" x14ac:dyDescent="0.15">
      <c r="A902" s="4">
        <v>901</v>
      </c>
      <c r="B902" s="4">
        <v>3</v>
      </c>
      <c r="D902" s="5">
        <v>10.221941283654663</v>
      </c>
      <c r="E902" s="4">
        <v>0</v>
      </c>
      <c r="F902" s="5">
        <v>3.4965075614664802</v>
      </c>
      <c r="G902" s="4">
        <v>1</v>
      </c>
    </row>
    <row r="903" spans="1:7" x14ac:dyDescent="0.15">
      <c r="A903" s="4">
        <v>902</v>
      </c>
      <c r="B903" s="4">
        <v>4</v>
      </c>
      <c r="D903" s="5">
        <v>11.379394072345706</v>
      </c>
      <c r="E903" s="4">
        <v>0</v>
      </c>
      <c r="F903" s="5">
        <v>3.9318256327243257</v>
      </c>
      <c r="G903" s="4">
        <v>3</v>
      </c>
    </row>
    <row r="904" spans="1:7" x14ac:dyDescent="0.15">
      <c r="A904" s="4">
        <v>903</v>
      </c>
      <c r="B904" s="4">
        <v>4</v>
      </c>
      <c r="D904" s="5">
        <v>11.191341840842766</v>
      </c>
      <c r="E904" s="4">
        <v>1</v>
      </c>
      <c r="F904" s="5">
        <v>3.9318256327243257</v>
      </c>
      <c r="G904" s="4">
        <v>3</v>
      </c>
    </row>
    <row r="905" spans="1:7" x14ac:dyDescent="0.15">
      <c r="A905" s="4">
        <v>904</v>
      </c>
      <c r="B905" s="4">
        <v>0</v>
      </c>
      <c r="D905" s="5">
        <v>11.191341840842766</v>
      </c>
      <c r="E905" s="4">
        <v>0</v>
      </c>
      <c r="F905" s="5">
        <v>3.9318256327243257</v>
      </c>
      <c r="G905" s="4">
        <v>3</v>
      </c>
    </row>
    <row r="906" spans="1:7" x14ac:dyDescent="0.15">
      <c r="A906" s="4">
        <v>905</v>
      </c>
      <c r="B906" s="4">
        <v>0</v>
      </c>
      <c r="D906" s="5">
        <v>10.308952660644293</v>
      </c>
      <c r="E906" s="4">
        <v>1</v>
      </c>
      <c r="F906" s="5">
        <v>2.7725887222397811</v>
      </c>
      <c r="G906" s="4">
        <v>5</v>
      </c>
    </row>
    <row r="907" spans="1:7" x14ac:dyDescent="0.15">
      <c r="A907" s="4">
        <v>906</v>
      </c>
      <c r="B907" s="4">
        <v>6</v>
      </c>
      <c r="D907" s="5">
        <v>10.308952660644293</v>
      </c>
      <c r="E907" s="4">
        <v>1</v>
      </c>
      <c r="F907" s="5">
        <v>4.1108738641733114</v>
      </c>
      <c r="G907" s="4">
        <v>3</v>
      </c>
    </row>
    <row r="908" spans="1:7" x14ac:dyDescent="0.15">
      <c r="A908" s="4">
        <v>907</v>
      </c>
      <c r="B908" s="4">
        <v>4</v>
      </c>
      <c r="D908" s="5">
        <v>10.532096211958502</v>
      </c>
      <c r="E908" s="4">
        <v>1</v>
      </c>
      <c r="F908" s="5">
        <v>3.7612001156935624</v>
      </c>
      <c r="G908" s="4">
        <v>1</v>
      </c>
    </row>
    <row r="909" spans="1:7" x14ac:dyDescent="0.15">
      <c r="A909" s="4">
        <v>908</v>
      </c>
      <c r="B909" s="4">
        <v>14</v>
      </c>
      <c r="D909" s="5">
        <v>10.532096211958502</v>
      </c>
      <c r="E909" s="4">
        <v>0</v>
      </c>
      <c r="F909" s="5">
        <v>3.8066624897703196</v>
      </c>
      <c r="G909" s="4">
        <v>1</v>
      </c>
    </row>
    <row r="910" spans="1:7" x14ac:dyDescent="0.15">
      <c r="A910" s="4">
        <v>909</v>
      </c>
      <c r="B910" s="4">
        <v>0</v>
      </c>
      <c r="D910" s="5">
        <v>10.308952660644293</v>
      </c>
      <c r="E910" s="4">
        <v>0</v>
      </c>
      <c r="F910" s="5">
        <v>4.290459441148391</v>
      </c>
      <c r="G910" s="4">
        <v>2</v>
      </c>
    </row>
    <row r="911" spans="1:7" x14ac:dyDescent="0.15">
      <c r="A911" s="4">
        <v>910</v>
      </c>
      <c r="B911" s="4">
        <v>1</v>
      </c>
      <c r="D911" s="5">
        <v>11.736069016284437</v>
      </c>
      <c r="E911" s="4">
        <v>1</v>
      </c>
      <c r="F911" s="5">
        <v>3.5553480614894135</v>
      </c>
      <c r="G911" s="4">
        <v>3</v>
      </c>
    </row>
    <row r="912" spans="1:7" x14ac:dyDescent="0.15">
      <c r="A912" s="4">
        <v>911</v>
      </c>
      <c r="B912" s="4">
        <v>0</v>
      </c>
      <c r="D912" s="5">
        <v>10.768484990022733</v>
      </c>
      <c r="E912" s="4">
        <v>0</v>
      </c>
      <c r="F912" s="5">
        <v>4.0073331852324712</v>
      </c>
      <c r="G912" s="4">
        <v>1</v>
      </c>
    </row>
    <row r="913" spans="1:7" x14ac:dyDescent="0.15">
      <c r="A913" s="4">
        <v>912</v>
      </c>
      <c r="B913" s="4">
        <v>4</v>
      </c>
      <c r="D913" s="5">
        <v>10.915088464214607</v>
      </c>
      <c r="E913" s="4">
        <v>1</v>
      </c>
      <c r="F913" s="5">
        <v>3.9318256327243257</v>
      </c>
      <c r="G913" s="4">
        <v>1</v>
      </c>
    </row>
    <row r="914" spans="1:7" x14ac:dyDescent="0.15">
      <c r="A914" s="4">
        <v>913</v>
      </c>
      <c r="B914" s="4">
        <v>16</v>
      </c>
      <c r="D914" s="5">
        <v>11.736069016284437</v>
      </c>
      <c r="E914" s="4">
        <v>1</v>
      </c>
      <c r="F914" s="5">
        <v>3.713572066704308</v>
      </c>
      <c r="G914" s="4">
        <v>4</v>
      </c>
    </row>
    <row r="915" spans="1:7" x14ac:dyDescent="0.15">
      <c r="A915" s="4">
        <v>914</v>
      </c>
      <c r="B915" s="4">
        <v>1</v>
      </c>
      <c r="D915" s="5">
        <v>10.308952660644293</v>
      </c>
      <c r="E915" s="4">
        <v>1</v>
      </c>
      <c r="F915" s="5">
        <v>3.5263605246161616</v>
      </c>
      <c r="G915" s="4">
        <v>2</v>
      </c>
    </row>
    <row r="916" spans="1:7" x14ac:dyDescent="0.15">
      <c r="A916" s="4">
        <v>915</v>
      </c>
      <c r="B916" s="4">
        <v>0</v>
      </c>
      <c r="D916" s="5">
        <v>10.768484990022733</v>
      </c>
      <c r="E916" s="4">
        <v>1</v>
      </c>
      <c r="F916" s="5">
        <v>4.1108738641733114</v>
      </c>
      <c r="G916" s="4">
        <v>2</v>
      </c>
    </row>
    <row r="917" spans="1:7" x14ac:dyDescent="0.15">
      <c r="A917" s="4">
        <v>916</v>
      </c>
      <c r="B917" s="4">
        <v>1</v>
      </c>
      <c r="D917" s="5">
        <v>9.9034875525361272</v>
      </c>
      <c r="E917" s="4">
        <v>1</v>
      </c>
      <c r="F917" s="5">
        <v>3.912023005428146</v>
      </c>
      <c r="G917" s="4">
        <v>3</v>
      </c>
    </row>
    <row r="918" spans="1:7" x14ac:dyDescent="0.15">
      <c r="A918" s="4">
        <v>917</v>
      </c>
      <c r="B918" s="4">
        <v>0</v>
      </c>
      <c r="D918" s="5">
        <v>10.657259354912508</v>
      </c>
      <c r="E918" s="4">
        <v>0</v>
      </c>
      <c r="F918" s="5">
        <v>3.784189633918261</v>
      </c>
      <c r="G918" s="4">
        <v>1</v>
      </c>
    </row>
    <row r="919" spans="1:7" x14ac:dyDescent="0.15">
      <c r="A919" s="4">
        <v>918</v>
      </c>
      <c r="B919" s="4">
        <v>0</v>
      </c>
      <c r="D919" s="5">
        <v>9.9034875525361272</v>
      </c>
      <c r="E919" s="4">
        <v>1</v>
      </c>
      <c r="F919" s="5">
        <v>2.9444389791664403</v>
      </c>
      <c r="G919" s="4">
        <v>3</v>
      </c>
    </row>
    <row r="920" spans="1:7" x14ac:dyDescent="0.15">
      <c r="A920" s="4">
        <v>919</v>
      </c>
      <c r="B920" s="4">
        <v>0</v>
      </c>
      <c r="D920" s="5">
        <v>11.119882876860622</v>
      </c>
      <c r="E920" s="4">
        <v>1</v>
      </c>
      <c r="F920" s="5">
        <v>3.784189633918261</v>
      </c>
      <c r="G920" s="4">
        <v>3</v>
      </c>
    </row>
    <row r="921" spans="1:7" x14ac:dyDescent="0.15">
      <c r="A921" s="4">
        <v>920</v>
      </c>
      <c r="B921" s="4">
        <v>0</v>
      </c>
      <c r="D921" s="5">
        <v>11.119882876860622</v>
      </c>
      <c r="E921" s="4">
        <v>1</v>
      </c>
      <c r="F921" s="5">
        <v>3.6888794541139363</v>
      </c>
      <c r="G921" s="4">
        <v>5</v>
      </c>
    </row>
    <row r="922" spans="1:7" x14ac:dyDescent="0.15">
      <c r="A922" s="4">
        <v>921</v>
      </c>
      <c r="B922" s="4">
        <v>0</v>
      </c>
      <c r="D922" s="5">
        <v>11.736069016284437</v>
      </c>
      <c r="E922" s="4">
        <v>0</v>
      </c>
      <c r="F922" s="5">
        <v>3.6635616461296463</v>
      </c>
      <c r="G922" s="4">
        <v>3</v>
      </c>
    </row>
    <row r="923" spans="1:7" x14ac:dyDescent="0.15">
      <c r="A923" s="4">
        <v>922</v>
      </c>
      <c r="B923" s="4">
        <v>0</v>
      </c>
      <c r="D923" s="5">
        <v>10.308952660644293</v>
      </c>
      <c r="E923" s="4">
        <v>1</v>
      </c>
      <c r="F923" s="5">
        <v>3.713572066704308</v>
      </c>
      <c r="G923" s="4">
        <v>3</v>
      </c>
    </row>
    <row r="924" spans="1:7" x14ac:dyDescent="0.15">
      <c r="A924" s="4">
        <v>923</v>
      </c>
      <c r="B924" s="4">
        <v>0</v>
      </c>
      <c r="D924" s="5">
        <v>9.5287941030947181</v>
      </c>
      <c r="E924" s="4">
        <v>1</v>
      </c>
      <c r="F924" s="5">
        <v>4.2766661190160553</v>
      </c>
      <c r="G924" s="4">
        <v>1</v>
      </c>
    </row>
    <row r="925" spans="1:7" x14ac:dyDescent="0.15">
      <c r="A925" s="4">
        <v>924</v>
      </c>
      <c r="B925" s="4">
        <v>0</v>
      </c>
      <c r="D925" s="5">
        <v>11.379394072345706</v>
      </c>
      <c r="E925" s="4">
        <v>1</v>
      </c>
      <c r="F925" s="5">
        <v>3.6888794541139363</v>
      </c>
      <c r="G925" s="4">
        <v>4</v>
      </c>
    </row>
    <row r="926" spans="1:7" x14ac:dyDescent="0.15">
      <c r="A926" s="4">
        <v>925</v>
      </c>
      <c r="B926" s="4">
        <v>0</v>
      </c>
      <c r="D926" s="5">
        <v>10.308952660644293</v>
      </c>
      <c r="E926" s="4">
        <v>1</v>
      </c>
      <c r="F926" s="5">
        <v>3.5553480614894135</v>
      </c>
      <c r="G926" s="4">
        <v>6</v>
      </c>
    </row>
    <row r="927" spans="1:7" x14ac:dyDescent="0.15">
      <c r="A927" s="4">
        <v>926</v>
      </c>
      <c r="B927" s="4">
        <v>0</v>
      </c>
      <c r="D927" s="5">
        <v>10.308952660644293</v>
      </c>
      <c r="E927" s="4">
        <v>1</v>
      </c>
      <c r="F927" s="5">
        <v>2.4849066497880004</v>
      </c>
      <c r="G927" s="4">
        <v>5</v>
      </c>
    </row>
    <row r="928" spans="1:7" x14ac:dyDescent="0.15">
      <c r="A928" s="4">
        <v>927</v>
      </c>
      <c r="B928" s="4">
        <v>4</v>
      </c>
      <c r="D928" s="5">
        <v>11.119882876860622</v>
      </c>
      <c r="E928" s="4">
        <v>1</v>
      </c>
      <c r="F928" s="5">
        <v>3.8712010109078911</v>
      </c>
      <c r="G928" s="4">
        <v>5</v>
      </c>
    </row>
    <row r="929" spans="1:7" x14ac:dyDescent="0.15">
      <c r="A929" s="4">
        <v>928</v>
      </c>
      <c r="B929" s="4">
        <v>0</v>
      </c>
      <c r="D929" s="5">
        <v>11.379394072345706</v>
      </c>
      <c r="E929" s="4">
        <v>0</v>
      </c>
      <c r="F929" s="5">
        <v>4.0775374439057197</v>
      </c>
      <c r="G929" s="4">
        <v>3</v>
      </c>
    </row>
    <row r="930" spans="1:7" x14ac:dyDescent="0.15">
      <c r="A930" s="4">
        <v>929</v>
      </c>
      <c r="B930" s="4">
        <v>0</v>
      </c>
      <c r="D930" s="5">
        <v>11.082142548877775</v>
      </c>
      <c r="E930" s="4">
        <v>1</v>
      </c>
      <c r="F930" s="5">
        <v>3.8066624897703196</v>
      </c>
      <c r="G930" s="4">
        <v>3</v>
      </c>
    </row>
    <row r="931" spans="1:7" x14ac:dyDescent="0.15">
      <c r="A931" s="4">
        <v>930</v>
      </c>
      <c r="B931" s="4">
        <v>0</v>
      </c>
      <c r="D931" s="5">
        <v>9.9034875525361272</v>
      </c>
      <c r="E931" s="4">
        <v>1</v>
      </c>
      <c r="F931" s="5">
        <v>2.9444389791664403</v>
      </c>
      <c r="G931" s="4">
        <v>3</v>
      </c>
    </row>
    <row r="932" spans="1:7" x14ac:dyDescent="0.15">
      <c r="A932" s="4">
        <v>931</v>
      </c>
      <c r="B932" s="4">
        <v>0</v>
      </c>
      <c r="D932" s="5">
        <v>11.736069016284437</v>
      </c>
      <c r="E932" s="4">
        <v>0</v>
      </c>
      <c r="F932" s="5">
        <v>3.713572066704308</v>
      </c>
      <c r="G932" s="4">
        <v>2</v>
      </c>
    </row>
    <row r="933" spans="1:7" x14ac:dyDescent="0.15">
      <c r="A933" s="4">
        <v>932</v>
      </c>
      <c r="B933" s="4">
        <v>0</v>
      </c>
      <c r="D933" s="5">
        <v>11.736069016284437</v>
      </c>
      <c r="E933" s="4">
        <v>1</v>
      </c>
      <c r="F933" s="5">
        <v>3.2580965380214821</v>
      </c>
      <c r="G933" s="4">
        <v>6</v>
      </c>
    </row>
    <row r="934" spans="1:7" x14ac:dyDescent="0.15">
      <c r="A934" s="4">
        <v>933</v>
      </c>
      <c r="B934" s="4">
        <v>0</v>
      </c>
      <c r="D934" s="5">
        <v>11.119882876860622</v>
      </c>
      <c r="E934" s="4">
        <v>0</v>
      </c>
      <c r="F934" s="5">
        <v>3.8286413964890951</v>
      </c>
      <c r="G934" s="4">
        <v>3</v>
      </c>
    </row>
    <row r="935" spans="1:7" x14ac:dyDescent="0.15">
      <c r="A935" s="4">
        <v>934</v>
      </c>
      <c r="B935" s="4">
        <v>0</v>
      </c>
      <c r="D935" s="5">
        <v>11.119882876860622</v>
      </c>
      <c r="E935" s="4">
        <v>1</v>
      </c>
      <c r="F935" s="5">
        <v>3.912023005428146</v>
      </c>
      <c r="G935" s="4">
        <v>3</v>
      </c>
    </row>
    <row r="936" spans="1:7" x14ac:dyDescent="0.15">
      <c r="A936" s="4">
        <v>935</v>
      </c>
      <c r="B936" s="4">
        <v>0</v>
      </c>
      <c r="D936" s="5">
        <v>10.819778284410283</v>
      </c>
      <c r="E936" s="4">
        <v>1</v>
      </c>
      <c r="F936" s="5">
        <v>3.5835189384561099</v>
      </c>
      <c r="G936" s="4">
        <v>4</v>
      </c>
    </row>
    <row r="937" spans="1:7" x14ac:dyDescent="0.15">
      <c r="A937" s="4">
        <v>936</v>
      </c>
      <c r="B937" s="4">
        <v>0</v>
      </c>
      <c r="D937" s="5">
        <v>10.819778284410283</v>
      </c>
      <c r="E937" s="4">
        <v>0</v>
      </c>
      <c r="F937" s="5">
        <v>3.5263605246161616</v>
      </c>
      <c r="G937" s="4">
        <v>4</v>
      </c>
    </row>
    <row r="938" spans="1:7" x14ac:dyDescent="0.15">
      <c r="A938" s="4">
        <v>937</v>
      </c>
      <c r="B938" s="4">
        <v>0</v>
      </c>
      <c r="D938" s="5">
        <v>8.9226582995244019</v>
      </c>
      <c r="E938" s="4">
        <v>0</v>
      </c>
      <c r="F938" s="5">
        <v>3.044522437723423</v>
      </c>
      <c r="G938" s="4">
        <v>2</v>
      </c>
    </row>
    <row r="939" spans="1:7" x14ac:dyDescent="0.15">
      <c r="A939" s="4">
        <v>938</v>
      </c>
      <c r="B939" s="4">
        <v>0</v>
      </c>
      <c r="D939" s="5">
        <v>11.119882876860622</v>
      </c>
      <c r="E939" s="4">
        <v>1</v>
      </c>
      <c r="F939" s="5">
        <v>3.5553480614894135</v>
      </c>
      <c r="G939" s="4">
        <v>6</v>
      </c>
    </row>
    <row r="940" spans="1:7" x14ac:dyDescent="0.15">
      <c r="A940" s="4">
        <v>939</v>
      </c>
      <c r="B940" s="4">
        <v>3</v>
      </c>
      <c r="D940" s="5">
        <v>10.819778284410283</v>
      </c>
      <c r="E940" s="4">
        <v>1</v>
      </c>
      <c r="F940" s="5">
        <v>3.6109179126442243</v>
      </c>
      <c r="G940" s="4">
        <v>5</v>
      </c>
    </row>
    <row r="941" spans="1:7" x14ac:dyDescent="0.15">
      <c r="A941" s="4">
        <v>940</v>
      </c>
      <c r="B941" s="4">
        <v>0</v>
      </c>
      <c r="D941" s="5">
        <v>10.915088464214607</v>
      </c>
      <c r="E941" s="4">
        <v>1</v>
      </c>
      <c r="F941" s="5">
        <v>3.3672958299864741</v>
      </c>
      <c r="G941" s="4">
        <v>2</v>
      </c>
    </row>
    <row r="942" spans="1:7" x14ac:dyDescent="0.15">
      <c r="A942" s="4">
        <v>941</v>
      </c>
      <c r="B942" s="4">
        <v>0</v>
      </c>
      <c r="D942" s="5">
        <v>10.308952660644293</v>
      </c>
      <c r="E942" s="4">
        <v>1</v>
      </c>
      <c r="F942" s="5">
        <v>3.9318256327243257</v>
      </c>
      <c r="G942" s="4">
        <v>6</v>
      </c>
    </row>
    <row r="943" spans="1:7" x14ac:dyDescent="0.15">
      <c r="A943" s="4">
        <v>942</v>
      </c>
      <c r="B943" s="4">
        <v>0</v>
      </c>
      <c r="D943" s="5">
        <v>11.119882876860622</v>
      </c>
      <c r="E943" s="4">
        <v>0</v>
      </c>
      <c r="F943" s="5">
        <v>3.6635616461296463</v>
      </c>
      <c r="G943" s="4">
        <v>5</v>
      </c>
    </row>
    <row r="944" spans="1:7" x14ac:dyDescent="0.15">
      <c r="A944" s="4">
        <v>943</v>
      </c>
      <c r="B944" s="4">
        <v>1</v>
      </c>
      <c r="D944" s="5">
        <v>11.736069016284437</v>
      </c>
      <c r="E944" s="4">
        <v>1</v>
      </c>
      <c r="F944" s="5">
        <v>3.6635616461296463</v>
      </c>
      <c r="G944" s="4">
        <v>5</v>
      </c>
    </row>
    <row r="945" spans="1:7" x14ac:dyDescent="0.15">
      <c r="A945" s="4">
        <v>944</v>
      </c>
      <c r="B945" s="4">
        <v>0</v>
      </c>
      <c r="D945" s="5">
        <v>11.119882876860622</v>
      </c>
      <c r="E945" s="4">
        <v>1</v>
      </c>
      <c r="F945" s="5">
        <v>4.2341065045972597</v>
      </c>
      <c r="G945" s="4">
        <v>2</v>
      </c>
    </row>
    <row r="946" spans="1:7" x14ac:dyDescent="0.15">
      <c r="A946" s="4">
        <v>945</v>
      </c>
      <c r="B946" s="4">
        <v>2</v>
      </c>
      <c r="D946" s="5">
        <v>11.379394072345706</v>
      </c>
      <c r="E946" s="4">
        <v>1</v>
      </c>
      <c r="F946" s="5">
        <v>3.713572066704308</v>
      </c>
      <c r="G946" s="4">
        <v>6</v>
      </c>
    </row>
    <row r="947" spans="1:7" x14ac:dyDescent="0.15">
      <c r="A947" s="4">
        <v>946</v>
      </c>
      <c r="B947" s="4">
        <v>1</v>
      </c>
      <c r="D947" s="5">
        <v>11.191341840842766</v>
      </c>
      <c r="E947" s="4">
        <v>1</v>
      </c>
      <c r="F947" s="5">
        <v>4.2484952420493594</v>
      </c>
      <c r="G947" s="4">
        <v>2</v>
      </c>
    </row>
    <row r="948" spans="1:7" x14ac:dyDescent="0.15">
      <c r="A948" s="4">
        <v>947</v>
      </c>
      <c r="B948" s="4">
        <v>4</v>
      </c>
      <c r="D948" s="5">
        <v>11.119882876860622</v>
      </c>
      <c r="E948" s="4">
        <v>0</v>
      </c>
      <c r="F948" s="5">
        <v>3.8501476017100584</v>
      </c>
      <c r="G948" s="4">
        <v>5</v>
      </c>
    </row>
    <row r="949" spans="1:7" x14ac:dyDescent="0.15">
      <c r="A949" s="4">
        <v>948</v>
      </c>
      <c r="B949" s="4">
        <v>5</v>
      </c>
      <c r="D949" s="5">
        <v>11.379394072345706</v>
      </c>
      <c r="E949" s="4">
        <v>1</v>
      </c>
      <c r="F949" s="5">
        <v>3.9889840465642745</v>
      </c>
      <c r="G949" s="4">
        <v>3</v>
      </c>
    </row>
    <row r="950" spans="1:7" x14ac:dyDescent="0.15">
      <c r="A950" s="4">
        <v>949</v>
      </c>
      <c r="B950" s="4">
        <v>0</v>
      </c>
      <c r="D950" s="5">
        <v>9.9034875525361272</v>
      </c>
      <c r="E950" s="4">
        <v>1</v>
      </c>
      <c r="F950" s="5">
        <v>3.3322045101752038</v>
      </c>
      <c r="G950" s="4">
        <v>2</v>
      </c>
    </row>
    <row r="951" spans="1:7" x14ac:dyDescent="0.15">
      <c r="A951" s="4">
        <v>950</v>
      </c>
      <c r="B951" s="4">
        <v>16</v>
      </c>
      <c r="D951" s="5">
        <v>11.119882876860622</v>
      </c>
      <c r="E951" s="4">
        <v>1</v>
      </c>
      <c r="F951" s="5">
        <v>3.4011973816621555</v>
      </c>
      <c r="G951" s="4">
        <v>4</v>
      </c>
    </row>
    <row r="952" spans="1:7" x14ac:dyDescent="0.15">
      <c r="A952" s="4">
        <v>951</v>
      </c>
      <c r="B952" s="4">
        <v>1</v>
      </c>
      <c r="D952" s="5">
        <v>10.308952660644293</v>
      </c>
      <c r="E952" s="4">
        <v>1</v>
      </c>
      <c r="F952" s="5">
        <v>3.8066624897703196</v>
      </c>
      <c r="G952" s="4">
        <v>5</v>
      </c>
    </row>
    <row r="953" spans="1:7" x14ac:dyDescent="0.15">
      <c r="A953" s="4">
        <v>952</v>
      </c>
      <c r="B953" s="4">
        <v>0</v>
      </c>
      <c r="D953" s="5">
        <v>10.532096211958502</v>
      </c>
      <c r="E953" s="4">
        <v>1</v>
      </c>
      <c r="F953" s="5">
        <v>3.9318256327243257</v>
      </c>
      <c r="G953" s="4">
        <v>3</v>
      </c>
    </row>
    <row r="954" spans="1:7" x14ac:dyDescent="0.15">
      <c r="A954" s="4">
        <v>953</v>
      </c>
      <c r="B954" s="4">
        <v>0</v>
      </c>
      <c r="D954" s="5">
        <v>9.9034875525361272</v>
      </c>
      <c r="E954" s="4">
        <v>1</v>
      </c>
      <c r="F954" s="5">
        <v>3.2188758248682006</v>
      </c>
      <c r="G954" s="4">
        <v>2</v>
      </c>
    </row>
    <row r="955" spans="1:7" x14ac:dyDescent="0.15">
      <c r="A955" s="4">
        <v>954</v>
      </c>
      <c r="B955" s="4">
        <v>0</v>
      </c>
      <c r="D955" s="5">
        <v>11.082142548877775</v>
      </c>
      <c r="E955" s="4">
        <v>1</v>
      </c>
      <c r="F955" s="5">
        <v>4.0073331852324712</v>
      </c>
      <c r="G955" s="4">
        <v>4</v>
      </c>
    </row>
    <row r="956" spans="1:7" x14ac:dyDescent="0.15">
      <c r="A956" s="4">
        <v>955</v>
      </c>
      <c r="B956" s="4">
        <v>0</v>
      </c>
      <c r="D956" s="5">
        <v>11.119882876860622</v>
      </c>
      <c r="E956" s="4">
        <v>0</v>
      </c>
      <c r="F956" s="5">
        <v>4.0604430105464191</v>
      </c>
      <c r="G956" s="4">
        <v>3</v>
      </c>
    </row>
    <row r="957" spans="1:7" x14ac:dyDescent="0.15">
      <c r="A957" s="4">
        <v>956</v>
      </c>
      <c r="B957" s="4">
        <v>2</v>
      </c>
      <c r="D957" s="5">
        <v>11.379394072345706</v>
      </c>
      <c r="E957" s="4">
        <v>1</v>
      </c>
      <c r="F957" s="5">
        <v>3.6888794541139363</v>
      </c>
      <c r="G957" s="4">
        <v>4</v>
      </c>
    </row>
    <row r="958" spans="1:7" x14ac:dyDescent="0.15">
      <c r="A958" s="4">
        <v>957</v>
      </c>
      <c r="B958" s="4">
        <v>0</v>
      </c>
      <c r="D958" s="5">
        <v>11.379394072345706</v>
      </c>
      <c r="E958" s="4">
        <v>1</v>
      </c>
      <c r="F958" s="5">
        <v>2.5649493574615367</v>
      </c>
      <c r="G958" s="4">
        <v>4</v>
      </c>
    </row>
    <row r="959" spans="1:7" x14ac:dyDescent="0.15">
      <c r="A959" s="4">
        <v>958</v>
      </c>
      <c r="B959" s="4">
        <v>0</v>
      </c>
      <c r="D959" s="5">
        <v>11.119882876860622</v>
      </c>
      <c r="E959" s="4">
        <v>0</v>
      </c>
      <c r="F959" s="5">
        <v>3.2958368660043291</v>
      </c>
      <c r="G959" s="4">
        <v>3</v>
      </c>
    </row>
    <row r="960" spans="1:7" x14ac:dyDescent="0.15">
      <c r="A960" s="4">
        <v>959</v>
      </c>
      <c r="B960" s="4">
        <v>0</v>
      </c>
      <c r="D960" s="5">
        <v>10.308952660644293</v>
      </c>
      <c r="E960" s="4">
        <v>0</v>
      </c>
      <c r="F960" s="5">
        <v>3.8712010109078911</v>
      </c>
      <c r="G960" s="4">
        <v>4</v>
      </c>
    </row>
    <row r="961" spans="1:7" x14ac:dyDescent="0.15">
      <c r="A961" s="4">
        <v>960</v>
      </c>
      <c r="B961" s="4">
        <v>0</v>
      </c>
      <c r="D961" s="5">
        <v>10.308952660644293</v>
      </c>
      <c r="E961" s="4">
        <v>1</v>
      </c>
      <c r="F961" s="5">
        <v>3.5263605246161616</v>
      </c>
      <c r="G961" s="4">
        <v>6</v>
      </c>
    </row>
    <row r="962" spans="1:7" x14ac:dyDescent="0.15">
      <c r="A962" s="4">
        <v>961</v>
      </c>
      <c r="B962" s="4">
        <v>0</v>
      </c>
      <c r="D962" s="5">
        <v>11.082142548877775</v>
      </c>
      <c r="E962" s="4">
        <v>1</v>
      </c>
      <c r="F962" s="5">
        <v>2.7725887222397811</v>
      </c>
      <c r="G962" s="4">
        <v>4</v>
      </c>
    </row>
    <row r="963" spans="1:7" x14ac:dyDescent="0.15">
      <c r="A963" s="4">
        <v>962</v>
      </c>
      <c r="B963" s="4">
        <v>0</v>
      </c>
      <c r="D963" s="5">
        <v>11.736069016284437</v>
      </c>
      <c r="E963" s="4">
        <v>0</v>
      </c>
      <c r="F963" s="5">
        <v>3.1354942159291497</v>
      </c>
      <c r="G963" s="4">
        <v>4</v>
      </c>
    </row>
    <row r="964" spans="1:7" x14ac:dyDescent="0.15">
      <c r="A964" s="4">
        <v>963</v>
      </c>
      <c r="B964" s="4">
        <v>0</v>
      </c>
      <c r="D964" s="5">
        <v>9.9034875525361272</v>
      </c>
      <c r="E964" s="4">
        <v>0</v>
      </c>
      <c r="F964" s="5">
        <v>2.8903717578961645</v>
      </c>
      <c r="G964" s="4">
        <v>3</v>
      </c>
    </row>
    <row r="965" spans="1:7" x14ac:dyDescent="0.15">
      <c r="A965" s="4">
        <v>964</v>
      </c>
      <c r="B965" s="4">
        <v>0</v>
      </c>
      <c r="D965" s="5">
        <v>11.379394072345706</v>
      </c>
      <c r="E965" s="4">
        <v>0</v>
      </c>
      <c r="F965" s="5">
        <v>3.8712010109078911</v>
      </c>
      <c r="G965" s="4">
        <v>3</v>
      </c>
    </row>
    <row r="966" spans="1:7" x14ac:dyDescent="0.15">
      <c r="A966" s="4">
        <v>965</v>
      </c>
      <c r="B966" s="4">
        <v>0</v>
      </c>
      <c r="D966" s="5">
        <v>10.768484990022733</v>
      </c>
      <c r="E966" s="4">
        <v>1</v>
      </c>
      <c r="F966" s="5">
        <v>3.7612001156935624</v>
      </c>
      <c r="G966" s="4">
        <v>4</v>
      </c>
    </row>
    <row r="967" spans="1:7" x14ac:dyDescent="0.15">
      <c r="A967" s="4">
        <v>966</v>
      </c>
      <c r="B967" s="4">
        <v>0</v>
      </c>
      <c r="D967" s="5">
        <v>11.379394072345706</v>
      </c>
      <c r="E967" s="4">
        <v>0</v>
      </c>
      <c r="F967" s="5">
        <v>3.4965075614664802</v>
      </c>
      <c r="G967" s="4">
        <v>3</v>
      </c>
    </row>
    <row r="968" spans="1:7" x14ac:dyDescent="0.15">
      <c r="A968" s="4">
        <v>967</v>
      </c>
      <c r="B968" s="4">
        <v>0</v>
      </c>
      <c r="D968" s="5">
        <v>10.308952660644293</v>
      </c>
      <c r="E968" s="4">
        <v>1</v>
      </c>
      <c r="F968" s="5">
        <v>4.1108738641733114</v>
      </c>
      <c r="G968" s="4">
        <v>3</v>
      </c>
    </row>
    <row r="969" spans="1:7" x14ac:dyDescent="0.15">
      <c r="A969" s="4">
        <v>968</v>
      </c>
      <c r="B969" s="4">
        <v>3</v>
      </c>
      <c r="D969" s="5">
        <v>10.308952660644293</v>
      </c>
      <c r="E969" s="4">
        <v>0</v>
      </c>
      <c r="F969" s="5">
        <v>3.3322045101752038</v>
      </c>
      <c r="G969" s="4">
        <v>3</v>
      </c>
    </row>
    <row r="970" spans="1:7" x14ac:dyDescent="0.15">
      <c r="A970" s="4">
        <v>969</v>
      </c>
      <c r="B970" s="4">
        <v>0</v>
      </c>
      <c r="D970" s="5">
        <v>10.308952660644293</v>
      </c>
      <c r="E970" s="4">
        <v>0</v>
      </c>
      <c r="F970" s="5">
        <v>2.7725887222397811</v>
      </c>
      <c r="G970" s="4">
        <v>2</v>
      </c>
    </row>
    <row r="971" spans="1:7" x14ac:dyDescent="0.15">
      <c r="A971" s="4">
        <v>970</v>
      </c>
      <c r="B971" s="4">
        <v>0</v>
      </c>
      <c r="D971" s="5">
        <v>11.379394072345706</v>
      </c>
      <c r="E971" s="4">
        <v>0</v>
      </c>
      <c r="F971" s="5">
        <v>3.8712010109078911</v>
      </c>
      <c r="G971" s="4">
        <v>2</v>
      </c>
    </row>
    <row r="972" spans="1:7" x14ac:dyDescent="0.15">
      <c r="A972" s="4">
        <v>971</v>
      </c>
      <c r="B972" s="4">
        <v>0</v>
      </c>
      <c r="D972" s="5">
        <v>11.918390573078392</v>
      </c>
      <c r="E972" s="4">
        <v>1</v>
      </c>
      <c r="F972" s="5">
        <v>3.4965075614664802</v>
      </c>
      <c r="G972" s="4">
        <v>3</v>
      </c>
    </row>
    <row r="973" spans="1:7" x14ac:dyDescent="0.15">
      <c r="A973" s="4">
        <v>972</v>
      </c>
      <c r="B973" s="4">
        <v>0</v>
      </c>
      <c r="D973" s="5">
        <v>9.9034875525361272</v>
      </c>
      <c r="E973" s="4">
        <v>0</v>
      </c>
      <c r="F973" s="5">
        <v>3.4339872044851463</v>
      </c>
      <c r="G973" s="4">
        <v>3</v>
      </c>
    </row>
    <row r="974" spans="1:7" x14ac:dyDescent="0.15">
      <c r="A974" s="4">
        <v>973</v>
      </c>
      <c r="B974" s="4">
        <v>0</v>
      </c>
      <c r="D974" s="5">
        <v>10.221941283654663</v>
      </c>
      <c r="E974" s="4">
        <v>0</v>
      </c>
      <c r="F974" s="5">
        <v>3.4965075614664802</v>
      </c>
      <c r="G974" s="4">
        <v>3</v>
      </c>
    </row>
    <row r="975" spans="1:7" x14ac:dyDescent="0.15">
      <c r="A975" s="4">
        <v>974</v>
      </c>
      <c r="B975" s="4">
        <v>0</v>
      </c>
      <c r="D975" s="5">
        <v>11.918390573078392</v>
      </c>
      <c r="E975" s="4">
        <v>1</v>
      </c>
      <c r="F975" s="5">
        <v>3.5553480614894135</v>
      </c>
      <c r="G975" s="4">
        <v>6</v>
      </c>
    </row>
    <row r="976" spans="1:7" x14ac:dyDescent="0.15">
      <c r="A976" s="4">
        <v>975</v>
      </c>
      <c r="B976" s="4">
        <v>0</v>
      </c>
      <c r="D976" s="5">
        <v>11.918390573078392</v>
      </c>
      <c r="E976" s="4">
        <v>0</v>
      </c>
      <c r="F976" s="5">
        <v>2.5649493574615367</v>
      </c>
      <c r="G976" s="4">
        <v>6</v>
      </c>
    </row>
    <row r="977" spans="1:7" x14ac:dyDescent="0.15">
      <c r="A977" s="4">
        <v>976</v>
      </c>
      <c r="B977" s="4">
        <v>2</v>
      </c>
      <c r="D977" s="5">
        <v>10.388995368317829</v>
      </c>
      <c r="E977" s="4">
        <v>1</v>
      </c>
      <c r="F977" s="5">
        <v>3.784189633918261</v>
      </c>
      <c r="G977" s="4">
        <v>5</v>
      </c>
    </row>
    <row r="978" spans="1:7" x14ac:dyDescent="0.15">
      <c r="A978" s="4">
        <v>977</v>
      </c>
      <c r="B978" s="4">
        <v>0</v>
      </c>
      <c r="D978" s="5">
        <v>9.9034875525361272</v>
      </c>
      <c r="E978" s="4">
        <v>1</v>
      </c>
      <c r="F978" s="5">
        <v>3.4965075614664802</v>
      </c>
      <c r="G978" s="4">
        <v>3</v>
      </c>
    </row>
    <row r="979" spans="1:7" x14ac:dyDescent="0.15">
      <c r="A979" s="4">
        <v>978</v>
      </c>
      <c r="B979" s="4">
        <v>0</v>
      </c>
      <c r="D979" s="5">
        <v>9.9034875525361272</v>
      </c>
      <c r="E979" s="4">
        <v>1</v>
      </c>
      <c r="F979" s="5">
        <v>4.2341065045972597</v>
      </c>
      <c r="G979" s="4">
        <v>3</v>
      </c>
    </row>
    <row r="980" spans="1:7" x14ac:dyDescent="0.15">
      <c r="A980" s="4">
        <v>979</v>
      </c>
      <c r="B980" s="4">
        <v>0</v>
      </c>
      <c r="D980" s="5">
        <v>10.388995368317829</v>
      </c>
      <c r="E980" s="4">
        <v>0</v>
      </c>
      <c r="F980" s="5">
        <v>3.5263605246161616</v>
      </c>
      <c r="G980" s="4">
        <v>1</v>
      </c>
    </row>
    <row r="981" spans="1:7" x14ac:dyDescent="0.15">
      <c r="A981" s="4">
        <v>980</v>
      </c>
      <c r="B981" s="4">
        <v>1</v>
      </c>
      <c r="D981" s="5">
        <v>11.379394072345706</v>
      </c>
      <c r="E981" s="4">
        <v>1</v>
      </c>
      <c r="F981" s="5">
        <v>3.4965075614664802</v>
      </c>
      <c r="G981" s="4">
        <v>5</v>
      </c>
    </row>
    <row r="982" spans="1:7" x14ac:dyDescent="0.15">
      <c r="A982" s="4">
        <v>981</v>
      </c>
      <c r="B982" s="4">
        <v>0</v>
      </c>
      <c r="D982" s="5">
        <v>10.657259354912508</v>
      </c>
      <c r="E982" s="4">
        <v>1</v>
      </c>
      <c r="F982" s="5">
        <v>3.8501476017100584</v>
      </c>
      <c r="G982" s="4">
        <v>2</v>
      </c>
    </row>
    <row r="983" spans="1:7" x14ac:dyDescent="0.15">
      <c r="A983" s="4">
        <v>982</v>
      </c>
      <c r="B983" s="4">
        <v>0</v>
      </c>
      <c r="D983" s="5">
        <v>10.308952660644293</v>
      </c>
      <c r="E983" s="4">
        <v>1</v>
      </c>
      <c r="F983" s="5">
        <v>3.7376696182833684</v>
      </c>
      <c r="G983" s="4">
        <v>2</v>
      </c>
    </row>
    <row r="984" spans="1:7" x14ac:dyDescent="0.15">
      <c r="A984" s="4">
        <v>983</v>
      </c>
      <c r="B984" s="4">
        <v>1</v>
      </c>
      <c r="D984" s="5">
        <v>10.915088464214607</v>
      </c>
      <c r="E984" s="4">
        <v>1</v>
      </c>
      <c r="F984" s="5">
        <v>4.219507705176107</v>
      </c>
      <c r="G984" s="4">
        <v>2</v>
      </c>
    </row>
    <row r="985" spans="1:7" x14ac:dyDescent="0.15">
      <c r="A985" s="4">
        <v>984</v>
      </c>
      <c r="B985" s="4">
        <v>0</v>
      </c>
      <c r="D985" s="5">
        <v>11.736069016284437</v>
      </c>
      <c r="E985" s="4">
        <v>1</v>
      </c>
      <c r="F985" s="5">
        <v>3.7612001156935624</v>
      </c>
      <c r="G985" s="4">
        <v>6</v>
      </c>
    </row>
    <row r="986" spans="1:7" x14ac:dyDescent="0.15">
      <c r="A986" s="4">
        <v>985</v>
      </c>
      <c r="B986" s="4">
        <v>0</v>
      </c>
      <c r="D986" s="5">
        <v>10.915088464214607</v>
      </c>
      <c r="E986" s="4">
        <v>1</v>
      </c>
      <c r="F986" s="5">
        <v>3.8501476017100584</v>
      </c>
      <c r="G986" s="4">
        <v>3</v>
      </c>
    </row>
    <row r="987" spans="1:7" x14ac:dyDescent="0.15">
      <c r="A987" s="4">
        <v>986</v>
      </c>
      <c r="B987" s="4">
        <v>0</v>
      </c>
      <c r="D987" s="5">
        <v>9.3281234076325656</v>
      </c>
      <c r="E987" s="4">
        <v>1</v>
      </c>
      <c r="F987" s="5">
        <v>3.2958368660043291</v>
      </c>
      <c r="G987" s="4">
        <v>2</v>
      </c>
    </row>
    <row r="988" spans="1:7" x14ac:dyDescent="0.15">
      <c r="A988" s="4">
        <v>987</v>
      </c>
      <c r="B988" s="4">
        <v>5</v>
      </c>
      <c r="D988" s="5">
        <v>11.736069016284437</v>
      </c>
      <c r="E988" s="4">
        <v>1</v>
      </c>
      <c r="F988" s="5">
        <v>3.5263605246161616</v>
      </c>
      <c r="G988" s="4">
        <v>5</v>
      </c>
    </row>
    <row r="989" spans="1:7" x14ac:dyDescent="0.15">
      <c r="A989" s="4">
        <v>988</v>
      </c>
      <c r="B989" s="4">
        <v>0</v>
      </c>
      <c r="D989" s="5">
        <v>11.191341840842766</v>
      </c>
      <c r="E989" s="4">
        <v>0</v>
      </c>
      <c r="F989" s="5">
        <v>3.4965075614664802</v>
      </c>
      <c r="G989" s="4">
        <v>2</v>
      </c>
    </row>
    <row r="990" spans="1:7" x14ac:dyDescent="0.15">
      <c r="A990" s="4">
        <v>989</v>
      </c>
      <c r="B990" s="4">
        <v>0</v>
      </c>
      <c r="D990" s="5">
        <v>10.221941283654663</v>
      </c>
      <c r="E990" s="4">
        <v>0</v>
      </c>
      <c r="F990" s="5">
        <v>3.5263605246161616</v>
      </c>
      <c r="G990" s="4">
        <v>1</v>
      </c>
    </row>
    <row r="991" spans="1:7" x14ac:dyDescent="0.15">
      <c r="A991" s="4">
        <v>990</v>
      </c>
      <c r="B991" s="4">
        <v>2</v>
      </c>
      <c r="D991" s="5">
        <v>11.379394072345706</v>
      </c>
      <c r="E991" s="4">
        <v>1</v>
      </c>
      <c r="F991" s="5">
        <v>3.5553480614894135</v>
      </c>
      <c r="G991" s="4">
        <v>4</v>
      </c>
    </row>
    <row r="992" spans="1:7" x14ac:dyDescent="0.15">
      <c r="A992" s="4">
        <v>991</v>
      </c>
      <c r="B992" s="4">
        <v>0</v>
      </c>
      <c r="D992" s="5">
        <v>11.736069016284437</v>
      </c>
      <c r="E992" s="4">
        <v>1</v>
      </c>
      <c r="F992" s="5">
        <v>2.7725887222397811</v>
      </c>
      <c r="G992" s="4">
        <v>4</v>
      </c>
    </row>
    <row r="993" spans="1:7" x14ac:dyDescent="0.15">
      <c r="A993" s="4">
        <v>992</v>
      </c>
      <c r="B993" s="4">
        <v>1</v>
      </c>
      <c r="D993" s="5">
        <v>11.736069016284437</v>
      </c>
      <c r="E993" s="4">
        <v>1</v>
      </c>
      <c r="F993" s="5">
        <v>4.0775374439057197</v>
      </c>
      <c r="G993" s="4">
        <v>2</v>
      </c>
    </row>
    <row r="994" spans="1:7" x14ac:dyDescent="0.15">
      <c r="A994" s="4">
        <v>993</v>
      </c>
      <c r="B994" s="4">
        <v>0</v>
      </c>
      <c r="D994" s="5">
        <v>10.819778284410283</v>
      </c>
      <c r="E994" s="4">
        <v>1</v>
      </c>
      <c r="F994" s="5">
        <v>4.0430512678345503</v>
      </c>
      <c r="G994" s="4">
        <v>4</v>
      </c>
    </row>
    <row r="995" spans="1:7" x14ac:dyDescent="0.15">
      <c r="A995" s="4">
        <v>994</v>
      </c>
      <c r="B995" s="4">
        <v>0</v>
      </c>
      <c r="D995" s="5">
        <v>11.119882876860622</v>
      </c>
      <c r="E995" s="4">
        <v>0</v>
      </c>
      <c r="F995" s="5">
        <v>4.1743872698956368</v>
      </c>
      <c r="G995" s="4">
        <v>2</v>
      </c>
    </row>
    <row r="996" spans="1:7" x14ac:dyDescent="0.15">
      <c r="A996" s="4">
        <v>995</v>
      </c>
      <c r="B996" s="4">
        <v>0</v>
      </c>
      <c r="D996" s="5">
        <v>10.308952660644293</v>
      </c>
      <c r="E996" s="4">
        <v>1</v>
      </c>
      <c r="F996" s="5">
        <v>3.2580965380214821</v>
      </c>
      <c r="G996" s="4">
        <v>4</v>
      </c>
    </row>
    <row r="997" spans="1:7" x14ac:dyDescent="0.15">
      <c r="A997" s="4">
        <v>996</v>
      </c>
      <c r="B997" s="4">
        <v>34</v>
      </c>
      <c r="D997" s="5">
        <v>10.768484990022733</v>
      </c>
      <c r="E997" s="4">
        <v>1</v>
      </c>
      <c r="F997" s="5">
        <v>3.9512437185814275</v>
      </c>
      <c r="G997" s="4">
        <v>2</v>
      </c>
    </row>
    <row r="998" spans="1:7" x14ac:dyDescent="0.15">
      <c r="A998" s="4">
        <v>997</v>
      </c>
      <c r="B998" s="4">
        <v>0</v>
      </c>
      <c r="D998" s="5">
        <v>11.119882876860622</v>
      </c>
      <c r="E998" s="4">
        <v>0</v>
      </c>
      <c r="F998" s="5">
        <v>3.4657359027997265</v>
      </c>
      <c r="G998" s="4">
        <v>3</v>
      </c>
    </row>
    <row r="999" spans="1:7" x14ac:dyDescent="0.15">
      <c r="A999" s="4">
        <v>998</v>
      </c>
      <c r="B999" s="4">
        <v>0</v>
      </c>
      <c r="D999" s="5">
        <v>10.532096211958502</v>
      </c>
      <c r="E999" s="4">
        <v>1</v>
      </c>
      <c r="F999" s="5">
        <v>3.4339872044851463</v>
      </c>
      <c r="G999" s="4">
        <v>1</v>
      </c>
    </row>
    <row r="1000" spans="1:7" x14ac:dyDescent="0.15">
      <c r="A1000" s="4">
        <v>999</v>
      </c>
      <c r="B1000" s="4">
        <v>0</v>
      </c>
      <c r="D1000" s="5">
        <v>11.379394072345706</v>
      </c>
      <c r="E1000" s="4">
        <v>1</v>
      </c>
      <c r="F1000" s="5">
        <v>3.4965075614664802</v>
      </c>
      <c r="G1000" s="4">
        <v>3</v>
      </c>
    </row>
    <row r="1001" spans="1:7" x14ac:dyDescent="0.15">
      <c r="A1001" s="4">
        <v>1000</v>
      </c>
      <c r="B1001" s="4">
        <v>1</v>
      </c>
      <c r="D1001" s="5">
        <v>11.191341840842766</v>
      </c>
      <c r="E1001" s="4">
        <v>1</v>
      </c>
      <c r="F1001" s="5">
        <v>3.8286413964890951</v>
      </c>
      <c r="G1001" s="4">
        <v>4</v>
      </c>
    </row>
    <row r="1002" spans="1:7" x14ac:dyDescent="0.15">
      <c r="A1002" s="4">
        <v>1001</v>
      </c>
      <c r="B1002" s="4">
        <v>0</v>
      </c>
      <c r="D1002" s="5">
        <v>11.379394072345706</v>
      </c>
      <c r="E1002" s="4">
        <v>1</v>
      </c>
      <c r="F1002" s="5">
        <v>4.0604430105464191</v>
      </c>
      <c r="G1002" s="4">
        <v>3</v>
      </c>
    </row>
    <row r="1003" spans="1:7" x14ac:dyDescent="0.15">
      <c r="A1003" s="4">
        <v>1002</v>
      </c>
      <c r="B1003" s="4">
        <v>0</v>
      </c>
      <c r="D1003" s="5">
        <v>11.736069016284437</v>
      </c>
      <c r="E1003" s="4">
        <v>1</v>
      </c>
      <c r="F1003" s="5">
        <v>3.970291913552122</v>
      </c>
      <c r="G1003" s="4">
        <v>5</v>
      </c>
    </row>
    <row r="1004" spans="1:7" x14ac:dyDescent="0.15">
      <c r="A1004" s="4">
        <v>1003</v>
      </c>
      <c r="B1004" s="4">
        <v>0</v>
      </c>
      <c r="D1004" s="5">
        <v>11.119882876860622</v>
      </c>
      <c r="E1004" s="4">
        <v>1</v>
      </c>
      <c r="F1004" s="5">
        <v>3.912023005428146</v>
      </c>
      <c r="G1004" s="4">
        <v>4</v>
      </c>
    </row>
    <row r="1005" spans="1:7" x14ac:dyDescent="0.15">
      <c r="A1005" s="4">
        <v>1004</v>
      </c>
      <c r="B1005" s="4">
        <v>0</v>
      </c>
      <c r="D1005" s="5">
        <v>11.736069016284437</v>
      </c>
      <c r="E1005" s="4">
        <v>1</v>
      </c>
      <c r="F1005" s="5">
        <v>3.3672958299864741</v>
      </c>
      <c r="G1005" s="4">
        <v>3</v>
      </c>
    </row>
    <row r="1006" spans="1:7" x14ac:dyDescent="0.15">
      <c r="A1006" s="4">
        <v>1005</v>
      </c>
      <c r="B1006" s="4">
        <v>4</v>
      </c>
      <c r="D1006" s="5">
        <v>10.915088464214607</v>
      </c>
      <c r="E1006" s="4">
        <v>0</v>
      </c>
      <c r="F1006" s="5">
        <v>3.7376696182833684</v>
      </c>
      <c r="G1006" s="4">
        <v>1</v>
      </c>
    </row>
    <row r="1007" spans="1:7" x14ac:dyDescent="0.15">
      <c r="A1007" s="4">
        <v>1006</v>
      </c>
      <c r="B1007" s="4">
        <v>2</v>
      </c>
      <c r="D1007" s="5">
        <v>11.379394072345706</v>
      </c>
      <c r="E1007" s="4">
        <v>1</v>
      </c>
      <c r="F1007" s="5">
        <v>3.7612001156935624</v>
      </c>
      <c r="G1007" s="4">
        <v>4</v>
      </c>
    </row>
    <row r="1008" spans="1:7" x14ac:dyDescent="0.15">
      <c r="A1008" s="4">
        <v>1007</v>
      </c>
      <c r="B1008" s="4">
        <v>0</v>
      </c>
      <c r="D1008" s="5">
        <v>10.915088464214607</v>
      </c>
      <c r="E1008" s="4">
        <v>1</v>
      </c>
      <c r="F1008" s="5">
        <v>3.6109179126442243</v>
      </c>
      <c r="G1008" s="4">
        <v>6</v>
      </c>
    </row>
    <row r="1009" spans="1:7" x14ac:dyDescent="0.15">
      <c r="A1009" s="4">
        <v>1008</v>
      </c>
      <c r="B1009" s="4">
        <v>2</v>
      </c>
      <c r="D1009" s="5">
        <v>11.736069016284437</v>
      </c>
      <c r="E1009" s="4">
        <v>1</v>
      </c>
      <c r="F1009" s="5">
        <v>3.9512437185814275</v>
      </c>
      <c r="G1009" s="4">
        <v>4</v>
      </c>
    </row>
    <row r="1010" spans="1:7" x14ac:dyDescent="0.15">
      <c r="A1010" s="4">
        <v>1009</v>
      </c>
      <c r="B1010" s="4">
        <v>0</v>
      </c>
      <c r="D1010" s="5">
        <v>11.379394072345706</v>
      </c>
      <c r="E1010" s="4">
        <v>0</v>
      </c>
      <c r="F1010" s="5">
        <v>3.4657359027997265</v>
      </c>
      <c r="G1010" s="4">
        <v>3</v>
      </c>
    </row>
    <row r="1011" spans="1:7" x14ac:dyDescent="0.15">
      <c r="A1011" s="4">
        <v>1010</v>
      </c>
      <c r="B1011" s="4">
        <v>0</v>
      </c>
      <c r="D1011" s="5">
        <v>9.9034875525361272</v>
      </c>
      <c r="E1011" s="4">
        <v>0</v>
      </c>
      <c r="F1011" s="5">
        <v>3.4339872044851463</v>
      </c>
      <c r="G1011" s="4">
        <v>4</v>
      </c>
    </row>
    <row r="1012" spans="1:7" x14ac:dyDescent="0.15">
      <c r="A1012" s="4">
        <v>1011</v>
      </c>
      <c r="B1012" s="4">
        <v>0</v>
      </c>
      <c r="D1012" s="5">
        <v>11.379394072345706</v>
      </c>
      <c r="E1012" s="4">
        <v>1</v>
      </c>
      <c r="F1012" s="5">
        <v>3.7612001156935624</v>
      </c>
      <c r="G1012" s="4">
        <v>4</v>
      </c>
    </row>
    <row r="1013" spans="1:7" x14ac:dyDescent="0.15">
      <c r="A1013" s="4">
        <v>1012</v>
      </c>
      <c r="B1013" s="4">
        <v>0</v>
      </c>
      <c r="D1013" s="5">
        <v>10.221941283654663</v>
      </c>
      <c r="E1013" s="4">
        <v>1</v>
      </c>
      <c r="F1013" s="5">
        <v>3.6888794541139363</v>
      </c>
      <c r="G1013" s="4">
        <v>3</v>
      </c>
    </row>
    <row r="1014" spans="1:7" x14ac:dyDescent="0.15">
      <c r="A1014" s="4">
        <v>1013</v>
      </c>
      <c r="B1014" s="4">
        <v>0</v>
      </c>
      <c r="D1014" s="5">
        <v>9.3281234076325656</v>
      </c>
      <c r="E1014" s="4">
        <v>1</v>
      </c>
      <c r="F1014" s="5">
        <v>3.1780538303479458</v>
      </c>
      <c r="G1014" s="4">
        <v>2</v>
      </c>
    </row>
    <row r="1015" spans="1:7" x14ac:dyDescent="0.15">
      <c r="A1015" s="4">
        <v>1014</v>
      </c>
      <c r="B1015" s="4">
        <v>0</v>
      </c>
      <c r="D1015" s="5">
        <v>11.191341840842766</v>
      </c>
      <c r="E1015" s="4">
        <v>1</v>
      </c>
      <c r="F1015" s="5">
        <v>2.4849066497880004</v>
      </c>
      <c r="G1015" s="4">
        <v>2</v>
      </c>
    </row>
    <row r="1016" spans="1:7" x14ac:dyDescent="0.15">
      <c r="A1016" s="4">
        <v>1015</v>
      </c>
      <c r="B1016" s="4">
        <v>0</v>
      </c>
      <c r="D1016" s="5">
        <v>10.308952660644293</v>
      </c>
      <c r="E1016" s="4">
        <v>1</v>
      </c>
      <c r="F1016" s="5">
        <v>4.0430512678345503</v>
      </c>
      <c r="G1016" s="4">
        <v>3</v>
      </c>
    </row>
    <row r="1017" spans="1:7" x14ac:dyDescent="0.15">
      <c r="A1017" s="4">
        <v>1016</v>
      </c>
      <c r="B1017" s="4">
        <v>0</v>
      </c>
      <c r="D1017" s="5">
        <v>10.657259354912508</v>
      </c>
      <c r="E1017" s="4">
        <v>0</v>
      </c>
      <c r="F1017" s="5">
        <v>3.8712010109078911</v>
      </c>
      <c r="G1017" s="4">
        <v>6</v>
      </c>
    </row>
    <row r="1018" spans="1:7" x14ac:dyDescent="0.15">
      <c r="A1018" s="4">
        <v>1017</v>
      </c>
      <c r="B1018" s="4">
        <v>0</v>
      </c>
      <c r="D1018" s="5">
        <v>10.221941283654663</v>
      </c>
      <c r="E1018" s="4">
        <v>1</v>
      </c>
      <c r="F1018" s="5">
        <v>4.0253516907351496</v>
      </c>
      <c r="G1018" s="4">
        <v>5</v>
      </c>
    </row>
    <row r="1019" spans="1:7" x14ac:dyDescent="0.15">
      <c r="A1019" s="4">
        <v>1018</v>
      </c>
      <c r="B1019" s="4">
        <v>0</v>
      </c>
      <c r="D1019" s="5">
        <v>10.221941283654663</v>
      </c>
      <c r="E1019" s="4">
        <v>0</v>
      </c>
      <c r="F1019" s="5">
        <v>4.0775374439057197</v>
      </c>
      <c r="G1019" s="4">
        <v>5</v>
      </c>
    </row>
    <row r="1020" spans="1:7" x14ac:dyDescent="0.15">
      <c r="A1020" s="4">
        <v>1019</v>
      </c>
      <c r="B1020" s="4">
        <v>0</v>
      </c>
      <c r="D1020" s="5">
        <v>10.308952660644293</v>
      </c>
      <c r="E1020" s="4">
        <v>1</v>
      </c>
      <c r="F1020" s="5">
        <v>3.5553480614894135</v>
      </c>
      <c r="G1020" s="4">
        <v>5</v>
      </c>
    </row>
    <row r="1021" spans="1:7" x14ac:dyDescent="0.15">
      <c r="A1021" s="4">
        <v>1020</v>
      </c>
      <c r="B1021" s="4">
        <v>0</v>
      </c>
      <c r="D1021" s="5">
        <v>9.9034875525361272</v>
      </c>
      <c r="E1021" s="4">
        <v>1</v>
      </c>
      <c r="F1021" s="5">
        <v>4.0073331852324712</v>
      </c>
      <c r="G1021" s="4">
        <v>4</v>
      </c>
    </row>
    <row r="1022" spans="1:7" x14ac:dyDescent="0.15">
      <c r="A1022" s="4">
        <v>1021</v>
      </c>
      <c r="B1022" s="4">
        <v>1</v>
      </c>
      <c r="D1022" s="5">
        <v>11.736069016284437</v>
      </c>
      <c r="E1022" s="4">
        <v>1</v>
      </c>
      <c r="F1022" s="5">
        <v>3.8501476017100584</v>
      </c>
      <c r="G1022" s="4">
        <v>3</v>
      </c>
    </row>
    <row r="1023" spans="1:7" x14ac:dyDescent="0.15">
      <c r="A1023" s="4">
        <v>1022</v>
      </c>
      <c r="B1023" s="4">
        <v>1</v>
      </c>
      <c r="D1023" s="5">
        <v>11.736069016284437</v>
      </c>
      <c r="E1023" s="4">
        <v>0</v>
      </c>
      <c r="F1023" s="5">
        <v>3.912023005428146</v>
      </c>
      <c r="G1023" s="4">
        <v>3</v>
      </c>
    </row>
    <row r="1024" spans="1:7" x14ac:dyDescent="0.15">
      <c r="A1024" s="4">
        <v>1023</v>
      </c>
      <c r="B1024" s="4">
        <v>20</v>
      </c>
      <c r="D1024" s="5">
        <v>11.082142548877775</v>
      </c>
      <c r="E1024" s="4">
        <v>1</v>
      </c>
      <c r="F1024" s="5">
        <v>3.6109179126442243</v>
      </c>
      <c r="G1024" s="4">
        <v>2</v>
      </c>
    </row>
    <row r="1025" spans="1:7" x14ac:dyDescent="0.15">
      <c r="A1025" s="4">
        <v>1024</v>
      </c>
      <c r="B1025" s="4">
        <v>1</v>
      </c>
      <c r="D1025" s="5">
        <v>8.9226582995244019</v>
      </c>
      <c r="E1025" s="4">
        <v>1</v>
      </c>
      <c r="F1025" s="5">
        <v>4.2626798770413155</v>
      </c>
      <c r="G1025" s="4">
        <v>2</v>
      </c>
    </row>
    <row r="1026" spans="1:7" x14ac:dyDescent="0.15">
      <c r="A1026" s="4">
        <v>1025</v>
      </c>
      <c r="B1026" s="4">
        <v>0</v>
      </c>
      <c r="D1026" s="5">
        <v>11.119882876860622</v>
      </c>
      <c r="E1026" s="4">
        <v>1</v>
      </c>
      <c r="F1026" s="5">
        <v>3.8066624897703196</v>
      </c>
      <c r="G1026" s="4">
        <v>3</v>
      </c>
    </row>
    <row r="1027" spans="1:7" x14ac:dyDescent="0.15">
      <c r="A1027" s="4">
        <v>1026</v>
      </c>
      <c r="B1027" s="4">
        <v>2</v>
      </c>
      <c r="D1027" s="5">
        <v>11.736069016284437</v>
      </c>
      <c r="E1027" s="4">
        <v>1</v>
      </c>
      <c r="F1027" s="5">
        <v>3.7612001156935624</v>
      </c>
      <c r="G1027" s="4">
        <v>5</v>
      </c>
    </row>
    <row r="1028" spans="1:7" x14ac:dyDescent="0.15">
      <c r="A1028" s="4">
        <v>1027</v>
      </c>
      <c r="B1028" s="4">
        <v>0</v>
      </c>
      <c r="D1028" s="5">
        <v>11.119882876860622</v>
      </c>
      <c r="E1028" s="4">
        <v>1</v>
      </c>
      <c r="F1028" s="5">
        <v>4.0430512678345503</v>
      </c>
      <c r="G1028" s="4">
        <v>5</v>
      </c>
    </row>
    <row r="1029" spans="1:7" x14ac:dyDescent="0.15">
      <c r="A1029" s="4">
        <v>1028</v>
      </c>
      <c r="B1029" s="4">
        <v>0</v>
      </c>
      <c r="D1029" s="5">
        <v>10.221941283654663</v>
      </c>
      <c r="E1029" s="4">
        <v>1</v>
      </c>
      <c r="F1029" s="5">
        <v>3.4011973816621555</v>
      </c>
      <c r="G1029" s="4">
        <v>2</v>
      </c>
    </row>
    <row r="1030" spans="1:7" x14ac:dyDescent="0.15">
      <c r="A1030" s="4">
        <v>1029</v>
      </c>
      <c r="B1030" s="4">
        <v>1</v>
      </c>
      <c r="D1030" s="5">
        <v>10.915088464214607</v>
      </c>
      <c r="E1030" s="4">
        <v>0</v>
      </c>
      <c r="F1030" s="5">
        <v>3.2958368660043291</v>
      </c>
      <c r="G1030" s="4">
        <v>1</v>
      </c>
    </row>
    <row r="1031" spans="1:7" x14ac:dyDescent="0.15">
      <c r="A1031" s="4">
        <v>1030</v>
      </c>
      <c r="B1031" s="4">
        <v>1</v>
      </c>
      <c r="D1031" s="5">
        <v>9.7699561599116063</v>
      </c>
      <c r="E1031" s="4">
        <v>0</v>
      </c>
      <c r="F1031" s="5">
        <v>3.5835189384561099</v>
      </c>
      <c r="G1031" s="4">
        <v>1</v>
      </c>
    </row>
    <row r="1032" spans="1:7" x14ac:dyDescent="0.15">
      <c r="A1032" s="4">
        <v>1031</v>
      </c>
      <c r="B1032" s="4">
        <v>1</v>
      </c>
      <c r="D1032" s="5">
        <v>10.221941283654663</v>
      </c>
      <c r="E1032" s="4">
        <v>1</v>
      </c>
      <c r="F1032" s="5">
        <v>3.5835189384561099</v>
      </c>
      <c r="G1032" s="4">
        <v>2</v>
      </c>
    </row>
    <row r="1033" spans="1:7" x14ac:dyDescent="0.15">
      <c r="A1033" s="4">
        <v>1032</v>
      </c>
      <c r="B1033" s="4">
        <v>1</v>
      </c>
      <c r="D1033" s="5">
        <v>10.221941283654663</v>
      </c>
      <c r="E1033" s="4">
        <v>0</v>
      </c>
      <c r="F1033" s="5">
        <v>3.4965075614664802</v>
      </c>
      <c r="G1033" s="4">
        <v>2</v>
      </c>
    </row>
    <row r="1034" spans="1:7" x14ac:dyDescent="0.15">
      <c r="A1034" s="4">
        <v>1033</v>
      </c>
      <c r="B1034" s="4">
        <v>3</v>
      </c>
      <c r="D1034" s="5">
        <v>11.379394072345706</v>
      </c>
      <c r="E1034" s="4">
        <v>1</v>
      </c>
      <c r="F1034" s="5">
        <v>4.1431347263915326</v>
      </c>
      <c r="G1034" s="4">
        <v>2</v>
      </c>
    </row>
    <row r="1035" spans="1:7" x14ac:dyDescent="0.15">
      <c r="A1035" s="4">
        <v>1034</v>
      </c>
      <c r="B1035" s="4">
        <v>4</v>
      </c>
      <c r="D1035" s="5">
        <v>11.379394072345706</v>
      </c>
      <c r="E1035" s="4">
        <v>0</v>
      </c>
      <c r="F1035" s="5">
        <v>4.1588830833596715</v>
      </c>
      <c r="G1035" s="4">
        <v>2</v>
      </c>
    </row>
    <row r="1036" spans="1:7" x14ac:dyDescent="0.15">
      <c r="A1036" s="4">
        <v>1035</v>
      </c>
      <c r="B1036" s="4">
        <v>0</v>
      </c>
      <c r="D1036" s="5">
        <v>10.915088464214607</v>
      </c>
      <c r="E1036" s="4">
        <v>0</v>
      </c>
      <c r="F1036" s="5">
        <v>3.6109179126442243</v>
      </c>
      <c r="G1036" s="4">
        <v>3</v>
      </c>
    </row>
    <row r="1037" spans="1:7" x14ac:dyDescent="0.15">
      <c r="A1037" s="4">
        <v>1036</v>
      </c>
      <c r="B1037" s="4">
        <v>0</v>
      </c>
      <c r="D1037" s="5">
        <v>11.082142548877775</v>
      </c>
      <c r="E1037" s="4">
        <v>0</v>
      </c>
      <c r="F1037" s="5">
        <v>3.5553480614894135</v>
      </c>
      <c r="G1037" s="4">
        <v>2</v>
      </c>
    </row>
    <row r="1038" spans="1:7" x14ac:dyDescent="0.15">
      <c r="A1038" s="4">
        <v>1037</v>
      </c>
      <c r="B1038" s="4">
        <v>0</v>
      </c>
      <c r="D1038" s="5">
        <v>10.915088464214607</v>
      </c>
      <c r="E1038" s="4">
        <v>0</v>
      </c>
      <c r="F1038" s="5">
        <v>3.5553480614894135</v>
      </c>
      <c r="G1038" s="4">
        <v>4</v>
      </c>
    </row>
    <row r="1039" spans="1:7" x14ac:dyDescent="0.15">
      <c r="A1039" s="4">
        <v>1038</v>
      </c>
      <c r="B1039" s="4">
        <v>0</v>
      </c>
      <c r="D1039" s="5">
        <v>11.379394072345706</v>
      </c>
      <c r="E1039" s="4">
        <v>0</v>
      </c>
      <c r="F1039" s="5">
        <v>3.5263605246161616</v>
      </c>
      <c r="G1039" s="4">
        <v>2</v>
      </c>
    </row>
    <row r="1040" spans="1:7" x14ac:dyDescent="0.15">
      <c r="A1040" s="4">
        <v>1039</v>
      </c>
      <c r="B1040" s="4">
        <v>0</v>
      </c>
      <c r="D1040" s="5">
        <v>10.388995368317829</v>
      </c>
      <c r="E1040" s="4">
        <v>1</v>
      </c>
      <c r="F1040" s="5">
        <v>3.3322045101752038</v>
      </c>
      <c r="G1040" s="4">
        <v>5</v>
      </c>
    </row>
    <row r="1041" spans="1:7" x14ac:dyDescent="0.15">
      <c r="A1041" s="4">
        <v>1040</v>
      </c>
      <c r="B1041" s="4">
        <v>0</v>
      </c>
      <c r="D1041" s="5">
        <v>11.736069016284437</v>
      </c>
      <c r="E1041" s="4">
        <v>0</v>
      </c>
      <c r="F1041" s="5">
        <v>3.7612001156935624</v>
      </c>
      <c r="G1041" s="4">
        <v>5</v>
      </c>
    </row>
    <row r="1042" spans="1:7" x14ac:dyDescent="0.15">
      <c r="A1042" s="4">
        <v>1041</v>
      </c>
      <c r="B1042" s="4">
        <v>0</v>
      </c>
      <c r="D1042" s="5">
        <v>12.206072645530174</v>
      </c>
      <c r="E1042" s="4">
        <v>1</v>
      </c>
      <c r="F1042" s="5">
        <v>3.7376696182833684</v>
      </c>
      <c r="G1042" s="4">
        <v>4</v>
      </c>
    </row>
    <row r="1043" spans="1:7" x14ac:dyDescent="0.15">
      <c r="A1043" s="4">
        <v>1042</v>
      </c>
      <c r="B1043" s="4">
        <v>0</v>
      </c>
      <c r="D1043" s="5">
        <v>10.915088464214607</v>
      </c>
      <c r="E1043" s="4">
        <v>1</v>
      </c>
      <c r="F1043" s="5">
        <v>3.8712010109078911</v>
      </c>
      <c r="G1043" s="4">
        <v>4</v>
      </c>
    </row>
    <row r="1044" spans="1:7" x14ac:dyDescent="0.15">
      <c r="A1044" s="4">
        <v>1043</v>
      </c>
      <c r="B1044" s="4">
        <v>0</v>
      </c>
      <c r="D1044" s="5">
        <v>10.657259354912508</v>
      </c>
      <c r="E1044" s="4">
        <v>0</v>
      </c>
      <c r="F1044" s="5">
        <v>3.8286413964890951</v>
      </c>
      <c r="G1044" s="4">
        <v>4</v>
      </c>
    </row>
    <row r="1045" spans="1:7" x14ac:dyDescent="0.15">
      <c r="A1045" s="4">
        <v>1044</v>
      </c>
      <c r="B1045" s="4">
        <v>5</v>
      </c>
      <c r="D1045" s="5">
        <v>11.082142548877775</v>
      </c>
      <c r="E1045" s="4">
        <v>0</v>
      </c>
      <c r="F1045" s="5">
        <v>4.2626798770413155</v>
      </c>
      <c r="G1045" s="4">
        <v>2</v>
      </c>
    </row>
    <row r="1046" spans="1:7" x14ac:dyDescent="0.15">
      <c r="A1046" s="4">
        <v>1045</v>
      </c>
      <c r="B1046" s="4">
        <v>0</v>
      </c>
      <c r="D1046" s="5">
        <v>10.308952660644293</v>
      </c>
      <c r="E1046" s="4">
        <v>0</v>
      </c>
      <c r="F1046" s="5">
        <v>3.6635616461296463</v>
      </c>
      <c r="G1046" s="4">
        <v>3</v>
      </c>
    </row>
    <row r="1047" spans="1:7" x14ac:dyDescent="0.15">
      <c r="A1047" s="4">
        <v>1046</v>
      </c>
      <c r="B1047" s="4">
        <v>0</v>
      </c>
      <c r="D1047" s="5">
        <v>11.379394072345706</v>
      </c>
      <c r="E1047" s="4">
        <v>1</v>
      </c>
      <c r="F1047" s="5">
        <v>3.7376696182833684</v>
      </c>
      <c r="G1047" s="4">
        <v>5</v>
      </c>
    </row>
    <row r="1048" spans="1:7" x14ac:dyDescent="0.15">
      <c r="A1048" s="4">
        <v>1047</v>
      </c>
      <c r="B1048" s="4">
        <v>0</v>
      </c>
      <c r="D1048" s="5">
        <v>11.119882876860622</v>
      </c>
      <c r="E1048" s="4">
        <v>1</v>
      </c>
      <c r="F1048" s="5">
        <v>2.7080502011022101</v>
      </c>
      <c r="G1048" s="4">
        <v>7</v>
      </c>
    </row>
    <row r="1049" spans="1:7" x14ac:dyDescent="0.15">
      <c r="A1049" s="4">
        <v>1048</v>
      </c>
      <c r="B1049" s="4">
        <v>0</v>
      </c>
      <c r="D1049" s="5">
        <v>10.308952660644293</v>
      </c>
      <c r="E1049" s="4">
        <v>1</v>
      </c>
      <c r="F1049" s="5">
        <v>3.784189633918261</v>
      </c>
      <c r="G1049" s="4">
        <v>2</v>
      </c>
    </row>
    <row r="1050" spans="1:7" x14ac:dyDescent="0.15">
      <c r="A1050" s="4">
        <v>1049</v>
      </c>
      <c r="B1050" s="4">
        <v>0</v>
      </c>
      <c r="D1050" s="5">
        <v>11.119882876860622</v>
      </c>
      <c r="E1050" s="4">
        <v>0</v>
      </c>
      <c r="F1050" s="5">
        <v>3.8501476017100584</v>
      </c>
      <c r="G1050" s="4">
        <v>4</v>
      </c>
    </row>
    <row r="1051" spans="1:7" x14ac:dyDescent="0.15">
      <c r="A1051" s="4">
        <v>1050</v>
      </c>
      <c r="B1051" s="4">
        <v>0</v>
      </c>
      <c r="D1051" s="5">
        <v>10.021270588192511</v>
      </c>
      <c r="E1051" s="4">
        <v>0</v>
      </c>
      <c r="F1051" s="5">
        <v>3.8066624897703196</v>
      </c>
      <c r="G1051" s="4">
        <v>3</v>
      </c>
    </row>
    <row r="1052" spans="1:7" x14ac:dyDescent="0.15">
      <c r="A1052" s="4">
        <v>1051</v>
      </c>
      <c r="B1052" s="4">
        <v>0</v>
      </c>
      <c r="D1052" s="5">
        <v>11.736069016284437</v>
      </c>
      <c r="E1052" s="4">
        <v>0</v>
      </c>
      <c r="F1052" s="5">
        <v>4.1431347263915326</v>
      </c>
      <c r="G1052" s="4">
        <v>6</v>
      </c>
    </row>
    <row r="1053" spans="1:7" x14ac:dyDescent="0.15">
      <c r="A1053" s="4">
        <v>1052</v>
      </c>
      <c r="B1053" s="4">
        <v>0</v>
      </c>
      <c r="D1053" s="5">
        <v>11.119882876860622</v>
      </c>
      <c r="E1053" s="4">
        <v>0</v>
      </c>
      <c r="F1053" s="5">
        <v>3.6888794541139363</v>
      </c>
      <c r="G1053" s="4">
        <v>4</v>
      </c>
    </row>
    <row r="1054" spans="1:7" x14ac:dyDescent="0.15">
      <c r="A1054" s="4">
        <v>1053</v>
      </c>
      <c r="B1054" s="4">
        <v>1</v>
      </c>
      <c r="D1054" s="5">
        <v>11.191341840842766</v>
      </c>
      <c r="E1054" s="4">
        <v>1</v>
      </c>
      <c r="F1054" s="5">
        <v>3.9889840465642745</v>
      </c>
      <c r="G1054" s="4">
        <v>3</v>
      </c>
    </row>
    <row r="1055" spans="1:7" x14ac:dyDescent="0.15">
      <c r="A1055" s="4">
        <v>1054</v>
      </c>
      <c r="B1055" s="4">
        <v>2</v>
      </c>
      <c r="D1055" s="5">
        <v>11.736069016284437</v>
      </c>
      <c r="E1055" s="4">
        <v>1</v>
      </c>
      <c r="F1055" s="5">
        <v>3.9889840465642745</v>
      </c>
      <c r="G1055" s="4">
        <v>5</v>
      </c>
    </row>
    <row r="1056" spans="1:7" x14ac:dyDescent="0.15">
      <c r="A1056" s="4">
        <v>1055</v>
      </c>
      <c r="B1056" s="4">
        <v>1</v>
      </c>
      <c r="D1056" s="5">
        <v>10.915088464214607</v>
      </c>
      <c r="E1056" s="4">
        <v>1</v>
      </c>
      <c r="F1056" s="5">
        <v>3.8501476017100584</v>
      </c>
      <c r="G1056" s="4">
        <v>1</v>
      </c>
    </row>
    <row r="1057" spans="1:7" x14ac:dyDescent="0.15">
      <c r="A1057" s="4">
        <v>1056</v>
      </c>
      <c r="B1057" s="4">
        <v>1</v>
      </c>
      <c r="D1057" s="5">
        <v>11.379394072345706</v>
      </c>
      <c r="E1057" s="4">
        <v>1</v>
      </c>
      <c r="F1057" s="5">
        <v>3.6109179126442243</v>
      </c>
      <c r="G1057" s="4">
        <v>3</v>
      </c>
    </row>
    <row r="1058" spans="1:7" x14ac:dyDescent="0.15">
      <c r="A1058" s="4">
        <v>1057</v>
      </c>
      <c r="B1058" s="4">
        <v>0</v>
      </c>
      <c r="D1058" s="5">
        <v>12.206072645530174</v>
      </c>
      <c r="E1058" s="4">
        <v>1</v>
      </c>
      <c r="F1058" s="5">
        <v>2.9957322735539909</v>
      </c>
      <c r="G1058" s="4">
        <v>3</v>
      </c>
    </row>
    <row r="1059" spans="1:7" x14ac:dyDescent="0.15">
      <c r="A1059" s="4">
        <v>1058</v>
      </c>
      <c r="B1059" s="4">
        <v>0</v>
      </c>
      <c r="D1059" s="5">
        <v>9.7699561599116063</v>
      </c>
      <c r="E1059" s="4">
        <v>1</v>
      </c>
      <c r="F1059" s="5">
        <v>2.5649493574615367</v>
      </c>
      <c r="G1059" s="4">
        <v>3</v>
      </c>
    </row>
    <row r="1060" spans="1:7" x14ac:dyDescent="0.15">
      <c r="A1060" s="4">
        <v>1059</v>
      </c>
      <c r="B1060" s="4">
        <v>0</v>
      </c>
      <c r="D1060" s="5">
        <v>11.736069016284437</v>
      </c>
      <c r="E1060" s="4">
        <v>1</v>
      </c>
      <c r="F1060" s="5">
        <v>3.5835189384561099</v>
      </c>
      <c r="G1060" s="4">
        <v>3</v>
      </c>
    </row>
    <row r="1061" spans="1:7" x14ac:dyDescent="0.15">
      <c r="A1061" s="4">
        <v>1060</v>
      </c>
      <c r="B1061" s="4">
        <v>0</v>
      </c>
      <c r="D1061" s="5">
        <v>10.768484990022733</v>
      </c>
      <c r="E1061" s="4">
        <v>1</v>
      </c>
      <c r="F1061" s="5">
        <v>3.3672958299864741</v>
      </c>
      <c r="G1061" s="4">
        <v>3</v>
      </c>
    </row>
    <row r="1062" spans="1:7" x14ac:dyDescent="0.15">
      <c r="A1062" s="4">
        <v>1061</v>
      </c>
      <c r="B1062" s="4">
        <v>0</v>
      </c>
      <c r="D1062" s="5">
        <v>9.9034875525361272</v>
      </c>
      <c r="E1062" s="4">
        <v>1</v>
      </c>
      <c r="F1062" s="5">
        <v>3.4339872044851463</v>
      </c>
      <c r="G1062" s="4">
        <v>6</v>
      </c>
    </row>
    <row r="1063" spans="1:7" x14ac:dyDescent="0.15">
      <c r="A1063" s="4">
        <v>1062</v>
      </c>
      <c r="B1063" s="4">
        <v>0</v>
      </c>
      <c r="D1063" s="5">
        <v>9.9034875525361272</v>
      </c>
      <c r="E1063" s="4">
        <v>0</v>
      </c>
      <c r="F1063" s="5">
        <v>3.6375861597263857</v>
      </c>
      <c r="G1063" s="4">
        <v>6</v>
      </c>
    </row>
    <row r="1064" spans="1:7" x14ac:dyDescent="0.15">
      <c r="A1064" s="4">
        <v>1063</v>
      </c>
      <c r="B1064" s="4">
        <v>0</v>
      </c>
      <c r="D1064" s="5">
        <v>9.3281234076325656</v>
      </c>
      <c r="E1064" s="4">
        <v>0</v>
      </c>
      <c r="F1064" s="5">
        <v>3.8286413964890951</v>
      </c>
      <c r="G1064" s="4">
        <v>2</v>
      </c>
    </row>
    <row r="1065" spans="1:7" x14ac:dyDescent="0.15">
      <c r="A1065" s="4">
        <v>1064</v>
      </c>
      <c r="B1065" s="4">
        <v>0</v>
      </c>
      <c r="D1065" s="5">
        <v>9.3281234076325656</v>
      </c>
      <c r="E1065" s="4">
        <v>0</v>
      </c>
      <c r="F1065" s="5">
        <v>2.9957322735539909</v>
      </c>
      <c r="G1065" s="4">
        <v>2</v>
      </c>
    </row>
    <row r="1066" spans="1:7" x14ac:dyDescent="0.15">
      <c r="A1066" s="4">
        <v>1065</v>
      </c>
      <c r="B1066" s="4">
        <v>0</v>
      </c>
      <c r="D1066" s="5">
        <v>10.915088464214607</v>
      </c>
      <c r="E1066" s="4">
        <v>1</v>
      </c>
      <c r="F1066" s="5">
        <v>3.9512437185814275</v>
      </c>
      <c r="G1066" s="4">
        <v>4</v>
      </c>
    </row>
    <row r="1067" spans="1:7" x14ac:dyDescent="0.15">
      <c r="A1067" s="4">
        <v>1066</v>
      </c>
      <c r="B1067" s="4">
        <v>5</v>
      </c>
      <c r="D1067" s="5">
        <v>11.119882876860622</v>
      </c>
      <c r="E1067" s="4">
        <v>0</v>
      </c>
      <c r="F1067" s="5">
        <v>3.5263605246161616</v>
      </c>
      <c r="G1067" s="4">
        <v>2</v>
      </c>
    </row>
    <row r="1068" spans="1:7" x14ac:dyDescent="0.15">
      <c r="A1068" s="4">
        <v>1067</v>
      </c>
      <c r="B1068" s="4">
        <v>0</v>
      </c>
      <c r="D1068" s="5">
        <v>11.082142548877775</v>
      </c>
      <c r="E1068" s="4">
        <v>0</v>
      </c>
      <c r="F1068" s="5">
        <v>4.0253516907351496</v>
      </c>
      <c r="G1068" s="4">
        <v>2</v>
      </c>
    </row>
    <row r="1069" spans="1:7" x14ac:dyDescent="0.15">
      <c r="A1069" s="4">
        <v>1068</v>
      </c>
      <c r="B1069" s="4">
        <v>0</v>
      </c>
      <c r="D1069" s="5">
        <v>10.819778284410283</v>
      </c>
      <c r="E1069" s="4">
        <v>1</v>
      </c>
      <c r="F1069" s="5">
        <v>4.1271343850450917</v>
      </c>
      <c r="G1069" s="4">
        <v>3</v>
      </c>
    </row>
    <row r="1070" spans="1:7" x14ac:dyDescent="0.15">
      <c r="A1070" s="4">
        <v>1069</v>
      </c>
      <c r="B1070" s="4">
        <v>0</v>
      </c>
      <c r="D1070" s="5">
        <v>11.379394072345706</v>
      </c>
      <c r="E1070" s="4">
        <v>1</v>
      </c>
      <c r="F1070" s="5">
        <v>3.9889840465642745</v>
      </c>
      <c r="G1070" s="4">
        <v>2</v>
      </c>
    </row>
    <row r="1071" spans="1:7" x14ac:dyDescent="0.15">
      <c r="A1071" s="4">
        <v>1070</v>
      </c>
      <c r="B1071" s="4">
        <v>0</v>
      </c>
      <c r="D1071" s="5">
        <v>11.379394072345706</v>
      </c>
      <c r="E1071" s="4">
        <v>1</v>
      </c>
      <c r="F1071" s="5">
        <v>3.6109179126442243</v>
      </c>
      <c r="G1071" s="4">
        <v>6</v>
      </c>
    </row>
    <row r="1072" spans="1:7" x14ac:dyDescent="0.15">
      <c r="A1072" s="4">
        <v>1071</v>
      </c>
      <c r="B1072" s="4">
        <v>0</v>
      </c>
      <c r="D1072" s="5">
        <v>10.915088464214607</v>
      </c>
      <c r="E1072" s="4">
        <v>1</v>
      </c>
      <c r="F1072" s="5">
        <v>2.8332133440562162</v>
      </c>
      <c r="G1072" s="4">
        <v>4</v>
      </c>
    </row>
    <row r="1073" spans="1:7" x14ac:dyDescent="0.15">
      <c r="A1073" s="4">
        <v>1072</v>
      </c>
      <c r="B1073" s="4">
        <v>0</v>
      </c>
      <c r="D1073" s="5">
        <v>12.072541252905651</v>
      </c>
      <c r="E1073" s="4">
        <v>0</v>
      </c>
      <c r="F1073" s="5">
        <v>3.8712010109078911</v>
      </c>
      <c r="G1073" s="4">
        <v>4</v>
      </c>
    </row>
    <row r="1074" spans="1:7" x14ac:dyDescent="0.15">
      <c r="A1074" s="4">
        <v>1073</v>
      </c>
      <c r="B1074" s="4">
        <v>1</v>
      </c>
      <c r="D1074" s="5">
        <v>11.379394072345706</v>
      </c>
      <c r="E1074" s="4">
        <v>1</v>
      </c>
      <c r="F1074" s="5">
        <v>3.6375861597263857</v>
      </c>
      <c r="G1074" s="4">
        <v>4</v>
      </c>
    </row>
    <row r="1075" spans="1:7" x14ac:dyDescent="0.15">
      <c r="A1075" s="4">
        <v>1074</v>
      </c>
      <c r="B1075" s="4">
        <v>0</v>
      </c>
      <c r="D1075" s="5">
        <v>11.119882876860622</v>
      </c>
      <c r="E1075" s="4">
        <v>0</v>
      </c>
      <c r="F1075" s="5">
        <v>3.5263605246161616</v>
      </c>
      <c r="G1075" s="4">
        <v>4</v>
      </c>
    </row>
    <row r="1076" spans="1:7" x14ac:dyDescent="0.15">
      <c r="A1076" s="4">
        <v>1075</v>
      </c>
      <c r="B1076" s="4">
        <v>0</v>
      </c>
      <c r="D1076" s="5">
        <v>10.819778284410283</v>
      </c>
      <c r="E1076" s="4">
        <v>1</v>
      </c>
      <c r="F1076" s="5">
        <v>3.3322045101752038</v>
      </c>
      <c r="G1076" s="4">
        <v>3</v>
      </c>
    </row>
    <row r="1077" spans="1:7" x14ac:dyDescent="0.15">
      <c r="A1077" s="4">
        <v>1076</v>
      </c>
      <c r="B1077" s="4">
        <v>0</v>
      </c>
      <c r="D1077" s="5">
        <v>10.657259354912508</v>
      </c>
      <c r="E1077" s="4">
        <v>1</v>
      </c>
      <c r="F1077" s="5">
        <v>3.4965075614664802</v>
      </c>
      <c r="G1077" s="4">
        <v>2</v>
      </c>
    </row>
    <row r="1078" spans="1:7" x14ac:dyDescent="0.15">
      <c r="A1078" s="4">
        <v>1077</v>
      </c>
      <c r="B1078" s="4">
        <v>0</v>
      </c>
      <c r="D1078" s="5">
        <v>10.308952660644293</v>
      </c>
      <c r="E1078" s="4">
        <v>1</v>
      </c>
      <c r="F1078" s="5">
        <v>3.4011973816621555</v>
      </c>
      <c r="G1078" s="4">
        <v>5</v>
      </c>
    </row>
    <row r="1079" spans="1:7" x14ac:dyDescent="0.15">
      <c r="A1079" s="4">
        <v>1078</v>
      </c>
      <c r="B1079" s="4">
        <v>0</v>
      </c>
      <c r="D1079" s="5">
        <v>11.736069016284437</v>
      </c>
      <c r="E1079" s="4">
        <v>1</v>
      </c>
      <c r="F1079" s="5">
        <v>3.8066624897703196</v>
      </c>
      <c r="G1079" s="4">
        <v>6</v>
      </c>
    </row>
    <row r="1080" spans="1:7" x14ac:dyDescent="0.15">
      <c r="A1080" s="4">
        <v>1079</v>
      </c>
      <c r="B1080" s="4">
        <v>0</v>
      </c>
      <c r="D1080" s="5">
        <v>10.021270588192511</v>
      </c>
      <c r="E1080" s="4">
        <v>1</v>
      </c>
      <c r="F1080" s="5">
        <v>3.2958368660043291</v>
      </c>
      <c r="G1080" s="4">
        <v>2</v>
      </c>
    </row>
    <row r="1081" spans="1:7" x14ac:dyDescent="0.15">
      <c r="A1081" s="4">
        <v>1080</v>
      </c>
      <c r="B1081" s="4">
        <v>0</v>
      </c>
      <c r="D1081" s="5">
        <v>10.021270588192511</v>
      </c>
      <c r="E1081" s="4">
        <v>1</v>
      </c>
      <c r="F1081" s="5">
        <v>3.8712010109078911</v>
      </c>
      <c r="G1081" s="4">
        <v>1</v>
      </c>
    </row>
    <row r="1082" spans="1:7" x14ac:dyDescent="0.15">
      <c r="A1082" s="4">
        <v>1081</v>
      </c>
      <c r="B1082" s="4">
        <v>0</v>
      </c>
      <c r="D1082" s="5">
        <v>9.7699561599116063</v>
      </c>
      <c r="E1082" s="4">
        <v>1</v>
      </c>
      <c r="F1082" s="5">
        <v>3.4011973816621555</v>
      </c>
      <c r="G1082" s="4">
        <v>1</v>
      </c>
    </row>
    <row r="1083" spans="1:7" x14ac:dyDescent="0.15">
      <c r="A1083" s="4">
        <v>1082</v>
      </c>
      <c r="B1083" s="4">
        <v>0</v>
      </c>
      <c r="D1083" s="5">
        <v>10.819778284410283</v>
      </c>
      <c r="E1083" s="4">
        <v>0</v>
      </c>
      <c r="F1083" s="5">
        <v>4.219507705176107</v>
      </c>
      <c r="G1083" s="4">
        <v>3</v>
      </c>
    </row>
    <row r="1084" spans="1:7" x14ac:dyDescent="0.15">
      <c r="A1084" s="4">
        <v>1083</v>
      </c>
      <c r="B1084" s="4">
        <v>4</v>
      </c>
      <c r="D1084" s="5">
        <v>12.072541252905651</v>
      </c>
      <c r="E1084" s="4">
        <v>1</v>
      </c>
      <c r="F1084" s="5">
        <v>3.7376696182833684</v>
      </c>
      <c r="G1084" s="4">
        <v>2</v>
      </c>
    </row>
    <row r="1085" spans="1:7" x14ac:dyDescent="0.15">
      <c r="A1085" s="4">
        <v>1084</v>
      </c>
      <c r="B1085" s="4">
        <v>0</v>
      </c>
      <c r="D1085" s="5">
        <v>10.768484990022733</v>
      </c>
      <c r="E1085" s="4">
        <v>0</v>
      </c>
      <c r="F1085" s="5">
        <v>4.1108738641733114</v>
      </c>
      <c r="G1085" s="4">
        <v>2</v>
      </c>
    </row>
    <row r="1086" spans="1:7" x14ac:dyDescent="0.15">
      <c r="A1086" s="4">
        <v>1085</v>
      </c>
      <c r="B1086" s="4">
        <v>0</v>
      </c>
      <c r="D1086" s="5">
        <v>11.379394072345706</v>
      </c>
      <c r="E1086" s="4">
        <v>1</v>
      </c>
      <c r="F1086" s="5">
        <v>3.8501476017100584</v>
      </c>
      <c r="G1086" s="4">
        <v>4</v>
      </c>
    </row>
    <row r="1087" spans="1:7" x14ac:dyDescent="0.15">
      <c r="A1087" s="4">
        <v>1086</v>
      </c>
      <c r="B1087" s="4">
        <v>0</v>
      </c>
      <c r="D1087" s="5">
        <v>11.736069016284437</v>
      </c>
      <c r="E1087" s="4">
        <v>0</v>
      </c>
      <c r="F1087" s="5">
        <v>4.0943445622221004</v>
      </c>
      <c r="G1087" s="4">
        <v>1</v>
      </c>
    </row>
    <row r="1088" spans="1:7" x14ac:dyDescent="0.15">
      <c r="A1088" s="4">
        <v>1087</v>
      </c>
      <c r="B1088" s="4">
        <v>0</v>
      </c>
      <c r="D1088" s="5">
        <v>12.072541252905651</v>
      </c>
      <c r="E1088" s="4">
        <v>1</v>
      </c>
      <c r="F1088" s="5">
        <v>2.4849066497880004</v>
      </c>
      <c r="G1088" s="4">
        <v>5</v>
      </c>
    </row>
    <row r="1089" spans="1:7" x14ac:dyDescent="0.15">
      <c r="A1089" s="4">
        <v>1088</v>
      </c>
      <c r="B1089" s="4">
        <v>0</v>
      </c>
      <c r="D1089" s="5">
        <v>11.082142548877775</v>
      </c>
      <c r="E1089" s="4">
        <v>1</v>
      </c>
      <c r="F1089" s="5">
        <v>3.9512437185814275</v>
      </c>
      <c r="G1089" s="4">
        <v>2</v>
      </c>
    </row>
    <row r="1090" spans="1:7" x14ac:dyDescent="0.15">
      <c r="A1090" s="4">
        <v>1089</v>
      </c>
      <c r="B1090" s="4">
        <v>0</v>
      </c>
      <c r="D1090" s="5">
        <v>11.736069016284437</v>
      </c>
      <c r="E1090" s="4">
        <v>1</v>
      </c>
      <c r="F1090" s="5">
        <v>3.9318256327243257</v>
      </c>
      <c r="G1090" s="4">
        <v>2</v>
      </c>
    </row>
    <row r="1091" spans="1:7" x14ac:dyDescent="0.15">
      <c r="A1091" s="4">
        <v>1090</v>
      </c>
      <c r="B1091" s="4">
        <v>0</v>
      </c>
      <c r="D1091" s="5">
        <v>9.9034875525361272</v>
      </c>
      <c r="E1091" s="4">
        <v>0</v>
      </c>
      <c r="F1091" s="5">
        <v>4.219507705176107</v>
      </c>
      <c r="G1091" s="4">
        <v>4</v>
      </c>
    </row>
    <row r="1092" spans="1:7" x14ac:dyDescent="0.15">
      <c r="A1092" s="4">
        <v>1091</v>
      </c>
      <c r="B1092" s="4">
        <v>0</v>
      </c>
      <c r="D1092" s="5">
        <v>10.021270588192511</v>
      </c>
      <c r="E1092" s="4">
        <v>1</v>
      </c>
      <c r="F1092" s="5">
        <v>4.0430512678345503</v>
      </c>
      <c r="G1092" s="4">
        <v>1</v>
      </c>
    </row>
    <row r="1093" spans="1:7" x14ac:dyDescent="0.15">
      <c r="A1093" s="4">
        <v>1092</v>
      </c>
      <c r="B1093" s="4">
        <v>0</v>
      </c>
      <c r="D1093" s="5">
        <v>11.379394072345706</v>
      </c>
      <c r="E1093" s="4">
        <v>0</v>
      </c>
      <c r="F1093" s="5">
        <v>4.0073331852324712</v>
      </c>
      <c r="G1093" s="4">
        <v>1</v>
      </c>
    </row>
    <row r="1094" spans="1:7" x14ac:dyDescent="0.15">
      <c r="A1094" s="4">
        <v>1093</v>
      </c>
      <c r="B1094" s="4">
        <v>0</v>
      </c>
      <c r="D1094" s="5">
        <v>10.388995368317829</v>
      </c>
      <c r="E1094" s="4">
        <v>1</v>
      </c>
      <c r="F1094" s="5">
        <v>3.9318256327243257</v>
      </c>
      <c r="G1094" s="4">
        <v>2</v>
      </c>
    </row>
    <row r="1095" spans="1:7" x14ac:dyDescent="0.15">
      <c r="A1095" s="4">
        <v>1094</v>
      </c>
      <c r="B1095" s="4">
        <v>0</v>
      </c>
      <c r="D1095" s="5">
        <v>10.388995368317829</v>
      </c>
      <c r="E1095" s="4">
        <v>1</v>
      </c>
      <c r="F1095" s="5">
        <v>3.2580965380214821</v>
      </c>
      <c r="G1095" s="4">
        <v>2</v>
      </c>
    </row>
    <row r="1096" spans="1:7" x14ac:dyDescent="0.15">
      <c r="A1096" s="4">
        <v>1095</v>
      </c>
      <c r="B1096" s="4">
        <v>0</v>
      </c>
      <c r="D1096" s="5">
        <v>10.768484990022733</v>
      </c>
      <c r="E1096" s="4">
        <v>0</v>
      </c>
      <c r="F1096" s="5">
        <v>3.5835189384561099</v>
      </c>
      <c r="G1096" s="4">
        <v>1</v>
      </c>
    </row>
    <row r="1097" spans="1:7" x14ac:dyDescent="0.15">
      <c r="A1097" s="4">
        <v>1096</v>
      </c>
      <c r="B1097" s="4">
        <v>0</v>
      </c>
      <c r="D1097" s="5">
        <v>10.915088464214607</v>
      </c>
      <c r="E1097" s="4">
        <v>0</v>
      </c>
      <c r="F1097" s="5">
        <v>3.912023005428146</v>
      </c>
      <c r="G1097" s="4">
        <v>2</v>
      </c>
    </row>
    <row r="1098" spans="1:7" x14ac:dyDescent="0.15">
      <c r="A1098" s="4">
        <v>1097</v>
      </c>
      <c r="B1098" s="4">
        <v>1</v>
      </c>
      <c r="D1098" s="5">
        <v>9.9034875525361272</v>
      </c>
      <c r="E1098" s="4">
        <v>1</v>
      </c>
      <c r="F1098" s="5">
        <v>3.6635616461296463</v>
      </c>
      <c r="G1098" s="4">
        <v>6</v>
      </c>
    </row>
    <row r="1099" spans="1:7" x14ac:dyDescent="0.15">
      <c r="A1099" s="4">
        <v>1098</v>
      </c>
      <c r="B1099" s="4">
        <v>0</v>
      </c>
      <c r="D1099" s="5">
        <v>10.532096211958502</v>
      </c>
      <c r="E1099" s="4">
        <v>0</v>
      </c>
      <c r="F1099" s="5">
        <v>4.3174881135363101</v>
      </c>
      <c r="G1099" s="4">
        <v>2</v>
      </c>
    </row>
    <row r="1100" spans="1:7" x14ac:dyDescent="0.15">
      <c r="A1100" s="4">
        <v>1099</v>
      </c>
      <c r="B1100" s="4">
        <v>4</v>
      </c>
      <c r="D1100" s="5">
        <v>11.191341840842766</v>
      </c>
      <c r="E1100" s="4">
        <v>0</v>
      </c>
      <c r="F1100" s="5">
        <v>3.784189633918261</v>
      </c>
      <c r="G1100" s="4">
        <v>3</v>
      </c>
    </row>
    <row r="1101" spans="1:7" x14ac:dyDescent="0.15">
      <c r="A1101" s="4">
        <v>1100</v>
      </c>
      <c r="B1101" s="4">
        <v>0</v>
      </c>
      <c r="D1101" s="5">
        <v>11.736069016284437</v>
      </c>
      <c r="E1101" s="4">
        <v>0</v>
      </c>
      <c r="F1101" s="5">
        <v>3.7612001156935624</v>
      </c>
      <c r="G1101" s="4">
        <v>4</v>
      </c>
    </row>
    <row r="1102" spans="1:7" x14ac:dyDescent="0.15">
      <c r="A1102" s="4">
        <v>1101</v>
      </c>
      <c r="B1102" s="4">
        <v>0</v>
      </c>
      <c r="D1102" s="5">
        <v>11.379394072345706</v>
      </c>
      <c r="E1102" s="4">
        <v>0</v>
      </c>
      <c r="F1102" s="5">
        <v>3.7612001156935624</v>
      </c>
      <c r="G1102" s="4">
        <v>4</v>
      </c>
    </row>
    <row r="1103" spans="1:7" x14ac:dyDescent="0.15">
      <c r="A1103" s="4">
        <v>1102</v>
      </c>
      <c r="B1103" s="4">
        <v>5</v>
      </c>
      <c r="D1103" s="5">
        <v>10.532096211958502</v>
      </c>
      <c r="E1103" s="4">
        <v>1</v>
      </c>
      <c r="F1103" s="5">
        <v>3.5553480614894135</v>
      </c>
      <c r="G1103" s="4">
        <v>4</v>
      </c>
    </row>
    <row r="1104" spans="1:7" x14ac:dyDescent="0.15">
      <c r="A1104" s="4">
        <v>1103</v>
      </c>
      <c r="B1104" s="4">
        <v>0</v>
      </c>
      <c r="D1104" s="5">
        <v>10.657259354912508</v>
      </c>
      <c r="E1104" s="4">
        <v>0</v>
      </c>
      <c r="F1104" s="5">
        <v>2.5649493574615367</v>
      </c>
      <c r="G1104" s="4">
        <v>2</v>
      </c>
    </row>
    <row r="1105" spans="1:7" x14ac:dyDescent="0.15">
      <c r="A1105" s="4">
        <v>1104</v>
      </c>
      <c r="B1105" s="4">
        <v>1</v>
      </c>
      <c r="D1105" s="5">
        <v>11.379394072345706</v>
      </c>
      <c r="E1105" s="4">
        <v>1</v>
      </c>
      <c r="F1105" s="5">
        <v>2.7080502011022101</v>
      </c>
      <c r="G1105" s="4">
        <v>5</v>
      </c>
    </row>
    <row r="1106" spans="1:7" x14ac:dyDescent="0.15">
      <c r="A1106" s="4">
        <v>1105</v>
      </c>
      <c r="B1106" s="4">
        <v>0</v>
      </c>
      <c r="D1106" s="5">
        <v>11.379394072345706</v>
      </c>
      <c r="E1106" s="4">
        <v>0</v>
      </c>
      <c r="F1106" s="5">
        <v>3.9889840465642745</v>
      </c>
      <c r="G1106" s="4">
        <v>1</v>
      </c>
    </row>
    <row r="1107" spans="1:7" x14ac:dyDescent="0.15">
      <c r="A1107" s="4">
        <v>1106</v>
      </c>
      <c r="B1107" s="4">
        <v>0</v>
      </c>
      <c r="D1107" s="5">
        <v>11.736069016284437</v>
      </c>
      <c r="E1107" s="4">
        <v>1</v>
      </c>
      <c r="F1107" s="5">
        <v>3.8066624897703196</v>
      </c>
      <c r="G1107" s="4">
        <v>4</v>
      </c>
    </row>
    <row r="1108" spans="1:7" x14ac:dyDescent="0.15">
      <c r="A1108" s="4">
        <v>1107</v>
      </c>
      <c r="B1108" s="4">
        <v>0</v>
      </c>
      <c r="D1108" s="5">
        <v>11.379394072345706</v>
      </c>
      <c r="E1108" s="4">
        <v>1</v>
      </c>
      <c r="F1108" s="5">
        <v>3.8918202981106265</v>
      </c>
      <c r="G1108" s="4">
        <v>4</v>
      </c>
    </row>
    <row r="1109" spans="1:7" x14ac:dyDescent="0.15">
      <c r="A1109" s="4">
        <v>1108</v>
      </c>
      <c r="B1109" s="4">
        <v>0</v>
      </c>
      <c r="D1109" s="5">
        <v>11.379394072345706</v>
      </c>
      <c r="E1109" s="4">
        <v>0</v>
      </c>
      <c r="F1109" s="5">
        <v>3.1354942159291497</v>
      </c>
      <c r="G1109" s="4">
        <v>4</v>
      </c>
    </row>
    <row r="1110" spans="1:7" x14ac:dyDescent="0.15">
      <c r="A1110" s="4">
        <v>1109</v>
      </c>
      <c r="B1110" s="4">
        <v>0</v>
      </c>
      <c r="D1110" s="5">
        <v>10.915088464214607</v>
      </c>
      <c r="E1110" s="4">
        <v>1</v>
      </c>
      <c r="F1110" s="5">
        <v>4.1588830833596715</v>
      </c>
      <c r="G1110" s="4">
        <v>1</v>
      </c>
    </row>
    <row r="1111" spans="1:7" x14ac:dyDescent="0.15">
      <c r="A1111" s="4">
        <v>1110</v>
      </c>
      <c r="B1111" s="4">
        <v>1</v>
      </c>
      <c r="D1111" s="5">
        <v>11.379394072345706</v>
      </c>
      <c r="E1111" s="4">
        <v>1</v>
      </c>
      <c r="F1111" s="5">
        <v>3.8918202981106265</v>
      </c>
      <c r="G1111" s="4">
        <v>5</v>
      </c>
    </row>
    <row r="1112" spans="1:7" x14ac:dyDescent="0.15">
      <c r="A1112" s="4">
        <v>1111</v>
      </c>
      <c r="B1112" s="4">
        <v>0</v>
      </c>
      <c r="D1112" s="5">
        <v>11.379394072345706</v>
      </c>
      <c r="E1112" s="4">
        <v>1</v>
      </c>
      <c r="F1112" s="5">
        <v>2.9957322735539909</v>
      </c>
      <c r="G1112" s="4">
        <v>5</v>
      </c>
    </row>
    <row r="1113" spans="1:7" x14ac:dyDescent="0.15">
      <c r="A1113" s="4">
        <v>1112</v>
      </c>
      <c r="B1113" s="4">
        <v>0</v>
      </c>
      <c r="D1113" s="5">
        <v>11.379394072345706</v>
      </c>
      <c r="E1113" s="4">
        <v>0</v>
      </c>
      <c r="F1113" s="5">
        <v>3.1354942159291497</v>
      </c>
      <c r="G1113" s="4">
        <v>5</v>
      </c>
    </row>
    <row r="1114" spans="1:7" x14ac:dyDescent="0.15">
      <c r="A1114" s="4">
        <v>1113</v>
      </c>
      <c r="B1114" s="4">
        <v>0</v>
      </c>
      <c r="D1114" s="5">
        <v>10.915088464214607</v>
      </c>
      <c r="E1114" s="4">
        <v>1</v>
      </c>
      <c r="F1114" s="5">
        <v>3.6109179126442243</v>
      </c>
      <c r="G1114" s="4">
        <v>4</v>
      </c>
    </row>
    <row r="1115" spans="1:7" x14ac:dyDescent="0.15">
      <c r="A1115" s="4">
        <v>1114</v>
      </c>
      <c r="B1115" s="4">
        <v>0</v>
      </c>
      <c r="D1115" s="5">
        <v>11.379394072345706</v>
      </c>
      <c r="E1115" s="4">
        <v>0</v>
      </c>
      <c r="F1115" s="5">
        <v>4.0943445622221004</v>
      </c>
      <c r="G1115" s="4">
        <v>3</v>
      </c>
    </row>
    <row r="1116" spans="1:7" x14ac:dyDescent="0.15">
      <c r="A1116" s="4">
        <v>1115</v>
      </c>
      <c r="B1116" s="4">
        <v>2</v>
      </c>
      <c r="D1116" s="5">
        <v>11.736069016284437</v>
      </c>
      <c r="E1116" s="4">
        <v>1</v>
      </c>
      <c r="F1116" s="5">
        <v>3.8066624897703196</v>
      </c>
      <c r="G1116" s="4">
        <v>2</v>
      </c>
    </row>
    <row r="1117" spans="1:7" x14ac:dyDescent="0.15">
      <c r="A1117" s="4">
        <v>1116</v>
      </c>
      <c r="B1117" s="4">
        <v>0</v>
      </c>
      <c r="D1117" s="5">
        <v>9.0768089793516609</v>
      </c>
      <c r="E1117" s="4">
        <v>0</v>
      </c>
      <c r="F1117" s="5">
        <v>4.3438054218536841</v>
      </c>
      <c r="G1117" s="4">
        <v>1</v>
      </c>
    </row>
    <row r="1118" spans="1:7" x14ac:dyDescent="0.15">
      <c r="A1118" s="4">
        <v>1117</v>
      </c>
      <c r="B1118" s="4">
        <v>7</v>
      </c>
      <c r="D1118" s="5">
        <v>12.072541252905651</v>
      </c>
      <c r="E1118" s="4">
        <v>1</v>
      </c>
      <c r="F1118" s="5">
        <v>3.7376696182833684</v>
      </c>
      <c r="G1118" s="4">
        <v>4</v>
      </c>
    </row>
    <row r="1119" spans="1:7" x14ac:dyDescent="0.15">
      <c r="A1119" s="4">
        <v>1118</v>
      </c>
      <c r="B1119" s="4">
        <v>1</v>
      </c>
      <c r="D1119" s="5">
        <v>11.379394072345706</v>
      </c>
      <c r="E1119" s="4">
        <v>1</v>
      </c>
      <c r="F1119" s="5">
        <v>3.8712010109078911</v>
      </c>
      <c r="G1119" s="4">
        <v>2</v>
      </c>
    </row>
    <row r="1120" spans="1:7" x14ac:dyDescent="0.15">
      <c r="A1120" s="4">
        <v>1119</v>
      </c>
      <c r="B1120" s="4">
        <v>0</v>
      </c>
      <c r="D1120" s="5">
        <v>12.206072645530174</v>
      </c>
      <c r="E1120" s="4">
        <v>1</v>
      </c>
      <c r="F1120" s="5">
        <v>3.9512437185814275</v>
      </c>
      <c r="G1120" s="4">
        <v>2</v>
      </c>
    </row>
    <row r="1121" spans="1:7" x14ac:dyDescent="0.15">
      <c r="A1121" s="4">
        <v>1120</v>
      </c>
      <c r="B1121" s="4">
        <v>0</v>
      </c>
      <c r="D1121" s="5">
        <v>12.206072645530174</v>
      </c>
      <c r="E1121" s="4">
        <v>0</v>
      </c>
      <c r="F1121" s="5">
        <v>3.9318256327243257</v>
      </c>
      <c r="G1121" s="4">
        <v>2</v>
      </c>
    </row>
    <row r="1122" spans="1:7" x14ac:dyDescent="0.15">
      <c r="A1122" s="4">
        <v>1121</v>
      </c>
      <c r="B1122" s="4">
        <v>0</v>
      </c>
      <c r="D1122" s="5">
        <v>11.379394072345706</v>
      </c>
      <c r="E1122" s="4">
        <v>0</v>
      </c>
      <c r="F1122" s="5">
        <v>3.9512437185814275</v>
      </c>
      <c r="G1122" s="4">
        <v>2</v>
      </c>
    </row>
    <row r="1123" spans="1:7" x14ac:dyDescent="0.15">
      <c r="A1123" s="4">
        <v>1122</v>
      </c>
      <c r="B1123" s="4">
        <v>0</v>
      </c>
      <c r="D1123" s="5">
        <v>12.206072645530174</v>
      </c>
      <c r="E1123" s="4">
        <v>0</v>
      </c>
      <c r="F1123" s="5">
        <v>4.1271343850450917</v>
      </c>
      <c r="G1123" s="4">
        <v>1</v>
      </c>
    </row>
    <row r="1124" spans="1:7" x14ac:dyDescent="0.15">
      <c r="A1124" s="4">
        <v>1123</v>
      </c>
      <c r="B1124" s="4">
        <v>1</v>
      </c>
      <c r="D1124" s="5">
        <v>9.0768089793516609</v>
      </c>
      <c r="E1124" s="4">
        <v>1</v>
      </c>
      <c r="F1124" s="5">
        <v>4.1271343850450917</v>
      </c>
      <c r="G1124" s="4">
        <v>1</v>
      </c>
    </row>
    <row r="1125" spans="1:7" x14ac:dyDescent="0.15">
      <c r="A1125" s="4">
        <v>1124</v>
      </c>
      <c r="B1125" s="4">
        <v>0</v>
      </c>
      <c r="D1125" s="5">
        <v>8.9226582995244019</v>
      </c>
      <c r="E1125" s="4">
        <v>1</v>
      </c>
      <c r="F1125" s="5">
        <v>3.1354942159291497</v>
      </c>
      <c r="G1125" s="4">
        <v>1</v>
      </c>
    </row>
    <row r="1126" spans="1:7" x14ac:dyDescent="0.15">
      <c r="A1126" s="4">
        <v>1125</v>
      </c>
      <c r="B1126" s="4">
        <v>0</v>
      </c>
      <c r="D1126" s="5">
        <v>11.191341840842766</v>
      </c>
      <c r="E1126" s="4">
        <v>1</v>
      </c>
      <c r="F1126" s="5">
        <v>2.9444389791664403</v>
      </c>
      <c r="G1126" s="4">
        <v>4</v>
      </c>
    </row>
    <row r="1127" spans="1:7" x14ac:dyDescent="0.15">
      <c r="A1127" s="4">
        <v>1126</v>
      </c>
      <c r="B1127" s="4">
        <v>0</v>
      </c>
      <c r="D1127" s="5">
        <v>11.191341840842766</v>
      </c>
      <c r="E1127" s="4">
        <v>0</v>
      </c>
      <c r="F1127" s="5">
        <v>3.912023005428146</v>
      </c>
      <c r="G1127" s="4">
        <v>4</v>
      </c>
    </row>
    <row r="1128" spans="1:7" x14ac:dyDescent="0.15">
      <c r="A1128" s="4">
        <v>1127</v>
      </c>
      <c r="B1128" s="4">
        <v>0</v>
      </c>
      <c r="D1128" s="5">
        <v>11.191341840842766</v>
      </c>
      <c r="E1128" s="4">
        <v>0</v>
      </c>
      <c r="F1128" s="5">
        <v>2.8332133440562162</v>
      </c>
      <c r="G1128" s="4">
        <v>4</v>
      </c>
    </row>
    <row r="1129" spans="1:7" x14ac:dyDescent="0.15">
      <c r="A1129" s="4">
        <v>1128</v>
      </c>
      <c r="B1129" s="4">
        <v>0</v>
      </c>
      <c r="D1129" s="5">
        <v>10.221941283654663</v>
      </c>
      <c r="E1129" s="4">
        <v>0</v>
      </c>
      <c r="F1129" s="5">
        <v>3.2958368660043291</v>
      </c>
      <c r="G1129" s="4">
        <v>1</v>
      </c>
    </row>
    <row r="1130" spans="1:7" x14ac:dyDescent="0.15">
      <c r="A1130" s="4">
        <v>1129</v>
      </c>
      <c r="B1130" s="4">
        <v>0</v>
      </c>
      <c r="D1130" s="5">
        <v>10.768484990022733</v>
      </c>
      <c r="E1130" s="4">
        <v>0</v>
      </c>
      <c r="F1130" s="5">
        <v>3.784189633918261</v>
      </c>
      <c r="G1130" s="4">
        <v>3</v>
      </c>
    </row>
    <row r="1131" spans="1:7" x14ac:dyDescent="0.15">
      <c r="A1131" s="4">
        <v>1130</v>
      </c>
      <c r="B1131" s="4">
        <v>0</v>
      </c>
      <c r="D1131" s="5">
        <v>10.532096211958502</v>
      </c>
      <c r="E1131" s="4">
        <v>1</v>
      </c>
      <c r="F1131" s="5">
        <v>3.4657359027997265</v>
      </c>
      <c r="G1131" s="4">
        <v>5</v>
      </c>
    </row>
    <row r="1132" spans="1:7" x14ac:dyDescent="0.15">
      <c r="A1132" s="4">
        <v>1131</v>
      </c>
      <c r="B1132" s="4">
        <v>0</v>
      </c>
      <c r="D1132" s="5">
        <v>11.119882876860622</v>
      </c>
      <c r="E1132" s="4">
        <v>0</v>
      </c>
      <c r="F1132" s="5">
        <v>2.7080502011022101</v>
      </c>
      <c r="G1132" s="4">
        <v>5</v>
      </c>
    </row>
    <row r="1133" spans="1:7" x14ac:dyDescent="0.15">
      <c r="A1133" s="4">
        <v>1132</v>
      </c>
      <c r="B1133" s="4">
        <v>0</v>
      </c>
      <c r="D1133" s="5">
        <v>10.915088464214607</v>
      </c>
      <c r="E1133" s="4">
        <v>0</v>
      </c>
      <c r="F1133" s="5">
        <v>4.290459441148391</v>
      </c>
      <c r="G1133" s="4">
        <v>2</v>
      </c>
    </row>
    <row r="1134" spans="1:7" x14ac:dyDescent="0.15">
      <c r="A1134" s="4">
        <v>1133</v>
      </c>
      <c r="B1134" s="4">
        <v>0</v>
      </c>
      <c r="D1134" s="5">
        <v>10.532096211958502</v>
      </c>
      <c r="E1134" s="4">
        <v>1</v>
      </c>
      <c r="F1134" s="5">
        <v>3.8501476017100584</v>
      </c>
      <c r="G1134" s="4">
        <v>2</v>
      </c>
    </row>
    <row r="1135" spans="1:7" x14ac:dyDescent="0.15">
      <c r="A1135" s="4">
        <v>1134</v>
      </c>
      <c r="B1135" s="4">
        <v>1</v>
      </c>
      <c r="D1135" s="5">
        <v>10.388995368317829</v>
      </c>
      <c r="E1135" s="4">
        <v>0</v>
      </c>
      <c r="F1135" s="5">
        <v>4.0604430105464191</v>
      </c>
      <c r="G1135" s="4">
        <v>2</v>
      </c>
    </row>
    <row r="1136" spans="1:7" x14ac:dyDescent="0.15">
      <c r="A1136" s="4">
        <v>1135</v>
      </c>
      <c r="B1136" s="4">
        <v>0</v>
      </c>
      <c r="D1136" s="5">
        <v>11.119882876860622</v>
      </c>
      <c r="E1136" s="4">
        <v>1</v>
      </c>
      <c r="F1136" s="5">
        <v>2.7080502011022101</v>
      </c>
      <c r="G1136" s="4">
        <v>6</v>
      </c>
    </row>
    <row r="1137" spans="1:7" x14ac:dyDescent="0.15">
      <c r="A1137" s="4">
        <v>1136</v>
      </c>
      <c r="B1137" s="4">
        <v>0</v>
      </c>
      <c r="D1137" s="5">
        <v>10.221941283654663</v>
      </c>
      <c r="E1137" s="4">
        <v>1</v>
      </c>
      <c r="F1137" s="5">
        <v>3.970291913552122</v>
      </c>
      <c r="G1137" s="4">
        <v>5</v>
      </c>
    </row>
    <row r="1138" spans="1:7" x14ac:dyDescent="0.15">
      <c r="A1138" s="4">
        <v>1137</v>
      </c>
      <c r="B1138" s="4">
        <v>0</v>
      </c>
      <c r="D1138" s="5">
        <v>11.736069016284437</v>
      </c>
      <c r="E1138" s="4">
        <v>1</v>
      </c>
      <c r="F1138" s="5">
        <v>4.0604430105464191</v>
      </c>
      <c r="G1138" s="4">
        <v>1</v>
      </c>
    </row>
    <row r="1139" spans="1:7" x14ac:dyDescent="0.15">
      <c r="A1139" s="4">
        <v>1138</v>
      </c>
      <c r="B1139" s="4">
        <v>0</v>
      </c>
      <c r="D1139" s="5">
        <v>10.221941283654663</v>
      </c>
      <c r="E1139" s="4">
        <v>1</v>
      </c>
      <c r="F1139" s="5">
        <v>2.5649493574615367</v>
      </c>
      <c r="G1139" s="4">
        <v>2</v>
      </c>
    </row>
    <row r="1140" spans="1:7" x14ac:dyDescent="0.15">
      <c r="A1140" s="4">
        <v>1139</v>
      </c>
      <c r="B1140" s="4">
        <v>0</v>
      </c>
      <c r="D1140" s="5">
        <v>10.221941283654663</v>
      </c>
      <c r="E1140" s="4">
        <v>1</v>
      </c>
      <c r="F1140" s="5">
        <v>4.0775374439057197</v>
      </c>
      <c r="G1140" s="4">
        <v>2</v>
      </c>
    </row>
    <row r="1141" spans="1:7" x14ac:dyDescent="0.15">
      <c r="A1141" s="4">
        <v>1140</v>
      </c>
      <c r="B1141" s="4">
        <v>0</v>
      </c>
      <c r="D1141" s="5">
        <v>10.388995368317829</v>
      </c>
      <c r="E1141" s="4">
        <v>1</v>
      </c>
      <c r="F1141" s="5">
        <v>2.5649493574615367</v>
      </c>
      <c r="G1141" s="4">
        <v>2</v>
      </c>
    </row>
    <row r="1142" spans="1:7" x14ac:dyDescent="0.15">
      <c r="A1142" s="4">
        <v>1141</v>
      </c>
      <c r="B1142" s="4">
        <v>0</v>
      </c>
      <c r="D1142" s="5">
        <v>10.388995368317829</v>
      </c>
      <c r="E1142" s="4">
        <v>0</v>
      </c>
      <c r="F1142" s="5">
        <v>4.1108738641733114</v>
      </c>
      <c r="G1142" s="4">
        <v>2</v>
      </c>
    </row>
    <row r="1143" spans="1:7" x14ac:dyDescent="0.15">
      <c r="A1143" s="4">
        <v>1142</v>
      </c>
      <c r="B1143" s="4">
        <v>0</v>
      </c>
      <c r="D1143" s="5">
        <v>11.082142548877775</v>
      </c>
      <c r="E1143" s="4">
        <v>0</v>
      </c>
      <c r="F1143" s="5">
        <v>3.7612001156935624</v>
      </c>
      <c r="G1143" s="4">
        <v>3</v>
      </c>
    </row>
    <row r="1144" spans="1:7" x14ac:dyDescent="0.15">
      <c r="A1144" s="4">
        <v>1143</v>
      </c>
      <c r="B1144" s="4">
        <v>0</v>
      </c>
      <c r="D1144" s="5">
        <v>10.657259354912508</v>
      </c>
      <c r="E1144" s="4">
        <v>0</v>
      </c>
      <c r="F1144" s="5">
        <v>3.9512437185814275</v>
      </c>
      <c r="G1144" s="4">
        <v>3</v>
      </c>
    </row>
    <row r="1145" spans="1:7" x14ac:dyDescent="0.15">
      <c r="A1145" s="4">
        <v>1144</v>
      </c>
      <c r="B1145" s="4">
        <v>0</v>
      </c>
      <c r="D1145" s="5">
        <v>11.082142548877775</v>
      </c>
      <c r="E1145" s="4">
        <v>0</v>
      </c>
      <c r="F1145" s="5">
        <v>3.5553480614894135</v>
      </c>
      <c r="G1145" s="4">
        <v>1</v>
      </c>
    </row>
    <row r="1146" spans="1:7" x14ac:dyDescent="0.15">
      <c r="A1146" s="4">
        <v>1145</v>
      </c>
      <c r="B1146" s="4">
        <v>0</v>
      </c>
      <c r="D1146" s="5">
        <v>10.768484990022733</v>
      </c>
      <c r="E1146" s="4">
        <v>0</v>
      </c>
      <c r="F1146" s="5">
        <v>4.1431347263915326</v>
      </c>
      <c r="G1146" s="4">
        <v>1</v>
      </c>
    </row>
    <row r="1147" spans="1:7" x14ac:dyDescent="0.15">
      <c r="A1147" s="4">
        <v>1146</v>
      </c>
      <c r="B1147" s="4">
        <v>0</v>
      </c>
      <c r="D1147" s="5">
        <v>10.915088464214607</v>
      </c>
      <c r="E1147" s="4">
        <v>1</v>
      </c>
      <c r="F1147" s="5">
        <v>3.8918202981106265</v>
      </c>
      <c r="G1147" s="4">
        <v>4</v>
      </c>
    </row>
    <row r="1148" spans="1:7" x14ac:dyDescent="0.15">
      <c r="A1148" s="4">
        <v>1147</v>
      </c>
      <c r="B1148" s="4">
        <v>0</v>
      </c>
      <c r="D1148" s="5">
        <v>10.657259354912508</v>
      </c>
      <c r="E1148" s="4">
        <v>1</v>
      </c>
      <c r="F1148" s="5">
        <v>3.970291913552122</v>
      </c>
      <c r="G1148" s="4">
        <v>2</v>
      </c>
    </row>
    <row r="1149" spans="1:7" x14ac:dyDescent="0.15">
      <c r="A1149" s="4">
        <v>1148</v>
      </c>
      <c r="B1149" s="4">
        <v>0</v>
      </c>
      <c r="D1149" s="5">
        <v>11.191341840842766</v>
      </c>
      <c r="E1149" s="4">
        <v>1</v>
      </c>
      <c r="F1149" s="5">
        <v>3.0910424533583161</v>
      </c>
      <c r="G1149" s="4">
        <v>3</v>
      </c>
    </row>
    <row r="1150" spans="1:7" x14ac:dyDescent="0.15">
      <c r="A1150" s="4">
        <v>1149</v>
      </c>
      <c r="B1150" s="4">
        <v>0</v>
      </c>
      <c r="D1150" s="5">
        <v>10.915088464214607</v>
      </c>
      <c r="E1150" s="4">
        <v>0</v>
      </c>
      <c r="F1150" s="5">
        <v>4.0430512678345503</v>
      </c>
      <c r="G1150" s="4">
        <v>1</v>
      </c>
    </row>
    <row r="1151" spans="1:7" x14ac:dyDescent="0.15">
      <c r="A1151" s="4">
        <v>1150</v>
      </c>
      <c r="B1151" s="4">
        <v>0</v>
      </c>
      <c r="D1151" s="5">
        <v>10.915088464214607</v>
      </c>
      <c r="E1151" s="4">
        <v>1</v>
      </c>
      <c r="F1151" s="5">
        <v>3.9889840465642745</v>
      </c>
      <c r="G1151" s="4">
        <v>2</v>
      </c>
    </row>
    <row r="1152" spans="1:7" x14ac:dyDescent="0.15">
      <c r="A1152" s="4">
        <v>1151</v>
      </c>
      <c r="B1152" s="4">
        <v>0</v>
      </c>
      <c r="D1152" s="5">
        <v>10.915088464214607</v>
      </c>
      <c r="E1152" s="4">
        <v>0</v>
      </c>
      <c r="F1152" s="5">
        <v>3.5835189384561099</v>
      </c>
      <c r="G1152" s="4">
        <v>1</v>
      </c>
    </row>
    <row r="1153" spans="1:7" x14ac:dyDescent="0.15">
      <c r="A1153" s="4">
        <v>1152</v>
      </c>
      <c r="B1153" s="4">
        <v>0</v>
      </c>
      <c r="D1153" s="5">
        <v>11.379394072345706</v>
      </c>
      <c r="E1153" s="4">
        <v>1</v>
      </c>
      <c r="F1153" s="5">
        <v>4.0604430105464191</v>
      </c>
      <c r="G1153" s="4">
        <v>3</v>
      </c>
    </row>
    <row r="1154" spans="1:7" x14ac:dyDescent="0.15">
      <c r="A1154" s="4">
        <v>1153</v>
      </c>
      <c r="B1154" s="4">
        <v>33</v>
      </c>
      <c r="D1154" s="5">
        <v>10.388995368317829</v>
      </c>
      <c r="E1154" s="4">
        <v>0</v>
      </c>
      <c r="F1154" s="5">
        <v>3.8066624897703196</v>
      </c>
      <c r="G1154" s="4">
        <v>1</v>
      </c>
    </row>
    <row r="1155" spans="1:7" x14ac:dyDescent="0.15">
      <c r="A1155" s="4">
        <v>1154</v>
      </c>
      <c r="B1155" s="4">
        <v>0</v>
      </c>
      <c r="D1155" s="5">
        <v>11.379394072345706</v>
      </c>
      <c r="E1155" s="4">
        <v>1</v>
      </c>
      <c r="F1155" s="5">
        <v>3.970291913552122</v>
      </c>
      <c r="G1155" s="4">
        <v>2</v>
      </c>
    </row>
    <row r="1156" spans="1:7" x14ac:dyDescent="0.15">
      <c r="A1156" s="4">
        <v>1155</v>
      </c>
      <c r="B1156" s="4">
        <v>0</v>
      </c>
      <c r="D1156" s="5">
        <v>11.379394072345706</v>
      </c>
      <c r="E1156" s="4">
        <v>1</v>
      </c>
      <c r="F1156" s="5">
        <v>3.5263605246161616</v>
      </c>
      <c r="G1156" s="4">
        <v>3</v>
      </c>
    </row>
    <row r="1157" spans="1:7" x14ac:dyDescent="0.15">
      <c r="A1157" s="4">
        <v>1156</v>
      </c>
      <c r="B1157" s="4">
        <v>0</v>
      </c>
      <c r="D1157" s="5">
        <v>11.379394072345706</v>
      </c>
      <c r="E1157" s="4">
        <v>1</v>
      </c>
      <c r="F1157" s="5">
        <v>2.5649493574615367</v>
      </c>
      <c r="G1157" s="4">
        <v>3</v>
      </c>
    </row>
    <row r="1158" spans="1:7" x14ac:dyDescent="0.15">
      <c r="A1158" s="4">
        <v>1157</v>
      </c>
      <c r="B1158" s="4">
        <v>8</v>
      </c>
      <c r="D1158" s="5">
        <v>10.915088464214607</v>
      </c>
      <c r="E1158" s="4">
        <v>1</v>
      </c>
      <c r="F1158" s="5">
        <v>4.3567088266895917</v>
      </c>
      <c r="G1158" s="4">
        <v>2</v>
      </c>
    </row>
    <row r="1159" spans="1:7" x14ac:dyDescent="0.15">
      <c r="A1159" s="4">
        <v>1158</v>
      </c>
      <c r="B1159" s="4">
        <v>2</v>
      </c>
      <c r="D1159" s="5">
        <v>10.532096211958502</v>
      </c>
      <c r="E1159" s="4">
        <v>1</v>
      </c>
      <c r="F1159" s="5">
        <v>4.1271343850450917</v>
      </c>
      <c r="G1159" s="4">
        <v>2</v>
      </c>
    </row>
    <row r="1160" spans="1:7" x14ac:dyDescent="0.15">
      <c r="A1160" s="4">
        <v>1159</v>
      </c>
      <c r="B1160" s="4">
        <v>0</v>
      </c>
      <c r="D1160" s="5">
        <v>10.532096211958502</v>
      </c>
      <c r="E1160" s="4">
        <v>0</v>
      </c>
      <c r="F1160" s="5">
        <v>3.4339872044851463</v>
      </c>
      <c r="G1160" s="4">
        <v>2</v>
      </c>
    </row>
    <row r="1161" spans="1:7" x14ac:dyDescent="0.15">
      <c r="A1161" s="4">
        <v>1160</v>
      </c>
      <c r="B1161" s="4">
        <v>0</v>
      </c>
      <c r="D1161" s="5">
        <v>11.379394072345706</v>
      </c>
      <c r="E1161" s="4">
        <v>0</v>
      </c>
      <c r="F1161" s="5">
        <v>3.8501476017100584</v>
      </c>
      <c r="G1161" s="4">
        <v>3</v>
      </c>
    </row>
    <row r="1162" spans="1:7" x14ac:dyDescent="0.15">
      <c r="A1162" s="4">
        <v>1161</v>
      </c>
      <c r="B1162" s="4">
        <v>1</v>
      </c>
      <c r="D1162" s="5">
        <v>12.072541252905651</v>
      </c>
      <c r="E1162" s="4">
        <v>1</v>
      </c>
      <c r="F1162" s="5">
        <v>3.6109179126442243</v>
      </c>
      <c r="G1162" s="4">
        <v>4</v>
      </c>
    </row>
    <row r="1163" spans="1:7" x14ac:dyDescent="0.15">
      <c r="A1163" s="4">
        <v>1162</v>
      </c>
      <c r="B1163" s="4">
        <v>1</v>
      </c>
      <c r="D1163" s="5">
        <v>10.768484990022733</v>
      </c>
      <c r="E1163" s="4">
        <v>1</v>
      </c>
      <c r="F1163" s="5">
        <v>3.6375861597263857</v>
      </c>
      <c r="G1163" s="4">
        <v>2</v>
      </c>
    </row>
    <row r="1164" spans="1:7" x14ac:dyDescent="0.15">
      <c r="A1164" s="4">
        <v>1163</v>
      </c>
      <c r="B1164" s="4">
        <v>0</v>
      </c>
      <c r="D1164" s="5">
        <v>10.768484990022733</v>
      </c>
      <c r="E1164" s="4">
        <v>0</v>
      </c>
      <c r="F1164" s="5">
        <v>3.8501476017100584</v>
      </c>
      <c r="G1164" s="4">
        <v>2</v>
      </c>
    </row>
    <row r="1165" spans="1:7" x14ac:dyDescent="0.15">
      <c r="A1165" s="4">
        <v>1164</v>
      </c>
      <c r="B1165" s="4">
        <v>0</v>
      </c>
      <c r="D1165" s="5">
        <v>10.021270588192511</v>
      </c>
      <c r="E1165" s="4">
        <v>0</v>
      </c>
      <c r="F1165" s="5">
        <v>4.0430512678345503</v>
      </c>
      <c r="G1165" s="4">
        <v>3</v>
      </c>
    </row>
    <row r="1166" spans="1:7" x14ac:dyDescent="0.15">
      <c r="A1166" s="4">
        <v>1165</v>
      </c>
      <c r="B1166" s="4">
        <v>0</v>
      </c>
      <c r="D1166" s="5">
        <v>10.388995368317829</v>
      </c>
      <c r="E1166" s="4">
        <v>1</v>
      </c>
      <c r="F1166" s="5">
        <v>4.0775374439057197</v>
      </c>
      <c r="G1166" s="4">
        <v>1</v>
      </c>
    </row>
    <row r="1167" spans="1:7" x14ac:dyDescent="0.15">
      <c r="A1167" s="4">
        <v>1166</v>
      </c>
      <c r="B1167" s="4">
        <v>0</v>
      </c>
      <c r="D1167" s="5">
        <v>11.379394072345706</v>
      </c>
      <c r="E1167" s="4">
        <v>0</v>
      </c>
      <c r="F1167" s="5">
        <v>4.1743872698956368</v>
      </c>
      <c r="G1167" s="4">
        <v>3</v>
      </c>
    </row>
    <row r="1168" spans="1:7" x14ac:dyDescent="0.15">
      <c r="A1168" s="4">
        <v>1167</v>
      </c>
      <c r="B1168" s="4">
        <v>0</v>
      </c>
      <c r="D1168" s="5">
        <v>11.379394072345706</v>
      </c>
      <c r="E1168" s="4">
        <v>1</v>
      </c>
      <c r="F1168" s="5">
        <v>3.784189633918261</v>
      </c>
      <c r="G1168" s="4">
        <v>4</v>
      </c>
    </row>
    <row r="1169" spans="1:7" x14ac:dyDescent="0.15">
      <c r="A1169" s="4">
        <v>1168</v>
      </c>
      <c r="B1169" s="4">
        <v>3</v>
      </c>
      <c r="D1169" s="5">
        <v>10.221941283654663</v>
      </c>
      <c r="E1169" s="4">
        <v>1</v>
      </c>
      <c r="F1169" s="5">
        <v>3.7612001156935624</v>
      </c>
      <c r="G1169" s="4">
        <v>4</v>
      </c>
    </row>
    <row r="1170" spans="1:7" x14ac:dyDescent="0.15">
      <c r="A1170" s="4">
        <v>1169</v>
      </c>
      <c r="B1170" s="4">
        <v>0</v>
      </c>
      <c r="D1170" s="5">
        <v>12.072541252905651</v>
      </c>
      <c r="E1170" s="4">
        <v>1</v>
      </c>
      <c r="F1170" s="5">
        <v>3.3322045101752038</v>
      </c>
      <c r="G1170" s="4">
        <v>3</v>
      </c>
    </row>
    <row r="1171" spans="1:7" x14ac:dyDescent="0.15">
      <c r="A1171" s="4">
        <v>1170</v>
      </c>
      <c r="B1171" s="4">
        <v>27</v>
      </c>
      <c r="D1171" s="5">
        <v>11.736069016284437</v>
      </c>
      <c r="E1171" s="4">
        <v>0</v>
      </c>
      <c r="F1171" s="5">
        <v>3.912023005428146</v>
      </c>
      <c r="G1171" s="4">
        <v>4</v>
      </c>
    </row>
    <row r="1172" spans="1:7" x14ac:dyDescent="0.15">
      <c r="A1172" s="4">
        <v>1171</v>
      </c>
      <c r="B1172" s="4">
        <v>4</v>
      </c>
      <c r="D1172" s="5">
        <v>10.657259354912508</v>
      </c>
      <c r="E1172" s="4">
        <v>1</v>
      </c>
      <c r="F1172" s="5">
        <v>3.713572066704308</v>
      </c>
      <c r="G1172" s="4">
        <v>3</v>
      </c>
    </row>
    <row r="1173" spans="1:7" x14ac:dyDescent="0.15">
      <c r="A1173" s="4">
        <v>1172</v>
      </c>
      <c r="B1173" s="4">
        <v>2</v>
      </c>
      <c r="D1173" s="5">
        <v>10.657259354912508</v>
      </c>
      <c r="E1173" s="4">
        <v>0</v>
      </c>
      <c r="F1173" s="5">
        <v>2.3025850929940459</v>
      </c>
      <c r="G1173" s="4">
        <v>3</v>
      </c>
    </row>
    <row r="1174" spans="1:7" x14ac:dyDescent="0.15">
      <c r="A1174" s="4">
        <v>1173</v>
      </c>
      <c r="B1174" s="4">
        <v>2</v>
      </c>
      <c r="D1174" s="5">
        <v>10.768484990022733</v>
      </c>
      <c r="E1174" s="4">
        <v>0</v>
      </c>
      <c r="F1174" s="5">
        <v>4.2341065045972597</v>
      </c>
      <c r="G1174" s="4">
        <v>2</v>
      </c>
    </row>
    <row r="1175" spans="1:7" x14ac:dyDescent="0.15">
      <c r="A1175" s="4">
        <v>1174</v>
      </c>
      <c r="B1175" s="4">
        <v>0</v>
      </c>
      <c r="D1175" s="5">
        <v>10.768484990022733</v>
      </c>
      <c r="E1175" s="4">
        <v>0</v>
      </c>
      <c r="F1175" s="5">
        <v>4.2046926193909657</v>
      </c>
      <c r="G1175" s="4">
        <v>2</v>
      </c>
    </row>
    <row r="1176" spans="1:7" x14ac:dyDescent="0.15">
      <c r="A1176" s="4">
        <v>1175</v>
      </c>
      <c r="B1176" s="4">
        <v>0</v>
      </c>
      <c r="D1176" s="5">
        <v>11.736069016284437</v>
      </c>
      <c r="E1176" s="4">
        <v>1</v>
      </c>
      <c r="F1176" s="5">
        <v>2.4849066497880004</v>
      </c>
      <c r="G1176" s="4">
        <v>4</v>
      </c>
    </row>
    <row r="1177" spans="1:7" x14ac:dyDescent="0.15">
      <c r="A1177" s="4">
        <v>1176</v>
      </c>
      <c r="B1177" s="4">
        <v>1</v>
      </c>
      <c r="D1177" s="5">
        <v>10.768484990022733</v>
      </c>
      <c r="E1177" s="4">
        <v>0</v>
      </c>
      <c r="F1177" s="5">
        <v>4.0430512678345503</v>
      </c>
      <c r="G1177" s="4">
        <v>3</v>
      </c>
    </row>
    <row r="1178" spans="1:7" x14ac:dyDescent="0.15">
      <c r="A1178" s="4">
        <v>1177</v>
      </c>
      <c r="B1178" s="4">
        <v>0</v>
      </c>
      <c r="D1178" s="5">
        <v>10.768484990022733</v>
      </c>
      <c r="E1178" s="4">
        <v>0</v>
      </c>
      <c r="F1178" s="5">
        <v>4.2484952420493594</v>
      </c>
      <c r="G1178" s="4">
        <v>2</v>
      </c>
    </row>
    <row r="1179" spans="1:7" x14ac:dyDescent="0.15">
      <c r="A1179" s="4">
        <v>1178</v>
      </c>
      <c r="B1179" s="4">
        <v>0</v>
      </c>
      <c r="D1179" s="5">
        <v>10.915088464214607</v>
      </c>
      <c r="E1179" s="4">
        <v>1</v>
      </c>
      <c r="F1179" s="5">
        <v>2.7725887222397811</v>
      </c>
      <c r="G1179" s="4">
        <v>4</v>
      </c>
    </row>
    <row r="1180" spans="1:7" x14ac:dyDescent="0.15">
      <c r="A1180" s="4">
        <v>1179</v>
      </c>
      <c r="B1180" s="4">
        <v>0</v>
      </c>
      <c r="D1180" s="5">
        <v>11.082142548877775</v>
      </c>
      <c r="E1180" s="4">
        <v>0</v>
      </c>
      <c r="F1180" s="5">
        <v>3.8286413964890951</v>
      </c>
      <c r="G1180" s="4">
        <v>6</v>
      </c>
    </row>
    <row r="1181" spans="1:7" x14ac:dyDescent="0.15">
      <c r="A1181" s="4">
        <v>1180</v>
      </c>
      <c r="B1181" s="4">
        <v>0</v>
      </c>
      <c r="D1181" s="5">
        <v>11.379394072345706</v>
      </c>
      <c r="E1181" s="4">
        <v>1</v>
      </c>
      <c r="F1181" s="5">
        <v>4.1588830833596715</v>
      </c>
      <c r="G1181" s="4">
        <v>2</v>
      </c>
    </row>
    <row r="1182" spans="1:7" x14ac:dyDescent="0.15">
      <c r="A1182" s="4">
        <v>1181</v>
      </c>
      <c r="B1182" s="4">
        <v>0</v>
      </c>
      <c r="D1182" s="5">
        <v>11.191341840842766</v>
      </c>
      <c r="E1182" s="4">
        <v>0</v>
      </c>
      <c r="F1182" s="5">
        <v>2.8332133440562162</v>
      </c>
      <c r="G1182" s="4">
        <v>4</v>
      </c>
    </row>
    <row r="1183" spans="1:7" x14ac:dyDescent="0.15">
      <c r="A1183" s="4">
        <v>1182</v>
      </c>
      <c r="B1183" s="4">
        <v>0</v>
      </c>
      <c r="D1183" s="5">
        <v>12.072541252905651</v>
      </c>
      <c r="E1183" s="4">
        <v>1</v>
      </c>
      <c r="F1183" s="5">
        <v>3.970291913552122</v>
      </c>
      <c r="G1183" s="4">
        <v>2</v>
      </c>
    </row>
    <row r="1184" spans="1:7" x14ac:dyDescent="0.15">
      <c r="A1184" s="4">
        <v>1183</v>
      </c>
      <c r="B1184" s="4">
        <v>0</v>
      </c>
      <c r="D1184" s="5">
        <v>11.082142548877775</v>
      </c>
      <c r="E1184" s="4">
        <v>1</v>
      </c>
      <c r="F1184" s="5">
        <v>4.219507705176107</v>
      </c>
      <c r="G1184" s="4">
        <v>2</v>
      </c>
    </row>
    <row r="1185" spans="1:7" x14ac:dyDescent="0.15">
      <c r="A1185" s="4">
        <v>1184</v>
      </c>
      <c r="B1185" s="4">
        <v>0</v>
      </c>
      <c r="D1185" s="5">
        <v>10.768484990022733</v>
      </c>
      <c r="E1185" s="4">
        <v>0</v>
      </c>
      <c r="F1185" s="5">
        <v>3.6109179126442243</v>
      </c>
      <c r="G1185" s="4">
        <v>2</v>
      </c>
    </row>
    <row r="1186" spans="1:7" x14ac:dyDescent="0.15">
      <c r="A1186" s="4">
        <v>1185</v>
      </c>
      <c r="B1186" s="4">
        <v>0</v>
      </c>
      <c r="D1186" s="5">
        <v>11.191341840842766</v>
      </c>
      <c r="E1186" s="4">
        <v>1</v>
      </c>
      <c r="F1186" s="5">
        <v>3.912023005428146</v>
      </c>
      <c r="G1186" s="4">
        <v>3</v>
      </c>
    </row>
    <row r="1187" spans="1:7" x14ac:dyDescent="0.15">
      <c r="A1187" s="4">
        <v>1186</v>
      </c>
      <c r="B1187" s="4">
        <v>0</v>
      </c>
      <c r="D1187" s="5">
        <v>11.082142548877775</v>
      </c>
      <c r="E1187" s="4">
        <v>1</v>
      </c>
      <c r="F1187" s="5">
        <v>4.2341065045972597</v>
      </c>
      <c r="G1187" s="4">
        <v>2</v>
      </c>
    </row>
    <row r="1188" spans="1:7" x14ac:dyDescent="0.15">
      <c r="A1188" s="4">
        <v>1187</v>
      </c>
      <c r="B1188" s="4">
        <v>0</v>
      </c>
      <c r="D1188" s="5">
        <v>11.082142548877775</v>
      </c>
      <c r="E1188" s="4">
        <v>0</v>
      </c>
      <c r="F1188" s="5">
        <v>3.8501476017100584</v>
      </c>
      <c r="G1188" s="4">
        <v>5</v>
      </c>
    </row>
    <row r="1189" spans="1:7" x14ac:dyDescent="0.15">
      <c r="A1189" s="4">
        <v>1188</v>
      </c>
      <c r="B1189" s="4">
        <v>1</v>
      </c>
      <c r="D1189" s="5">
        <v>10.915088464214607</v>
      </c>
      <c r="E1189" s="4">
        <v>1</v>
      </c>
      <c r="F1189" s="5">
        <v>4.0073331852324712</v>
      </c>
      <c r="G1189" s="4">
        <v>2</v>
      </c>
    </row>
    <row r="1190" spans="1:7" x14ac:dyDescent="0.15">
      <c r="A1190" s="4">
        <v>1189</v>
      </c>
      <c r="B1190" s="4">
        <v>0</v>
      </c>
      <c r="D1190" s="5">
        <v>10.657259354912508</v>
      </c>
      <c r="E1190" s="4">
        <v>1</v>
      </c>
      <c r="F1190" s="5">
        <v>3.5553480614894135</v>
      </c>
      <c r="G1190" s="4">
        <v>4</v>
      </c>
    </row>
    <row r="1191" spans="1:7" x14ac:dyDescent="0.15">
      <c r="A1191" s="4">
        <v>1190</v>
      </c>
      <c r="B1191" s="4">
        <v>6</v>
      </c>
      <c r="D1191" s="5">
        <v>10.915088464214607</v>
      </c>
      <c r="E1191" s="4">
        <v>0</v>
      </c>
      <c r="F1191" s="5">
        <v>4.1743872698956368</v>
      </c>
      <c r="G1191" s="4">
        <v>2</v>
      </c>
    </row>
    <row r="1192" spans="1:7" x14ac:dyDescent="0.15">
      <c r="A1192" s="4">
        <v>1191</v>
      </c>
      <c r="B1192" s="4">
        <v>0</v>
      </c>
      <c r="D1192" s="5">
        <v>9.5287941030947181</v>
      </c>
      <c r="E1192" s="4">
        <v>1</v>
      </c>
      <c r="F1192" s="5">
        <v>3.6888794541139363</v>
      </c>
      <c r="G1192" s="4">
        <v>1</v>
      </c>
    </row>
    <row r="1193" spans="1:7" x14ac:dyDescent="0.15">
      <c r="A1193" s="4">
        <v>1192</v>
      </c>
      <c r="B1193" s="4">
        <v>1</v>
      </c>
      <c r="D1193" s="5">
        <v>11.379394072345706</v>
      </c>
      <c r="E1193" s="4">
        <v>1</v>
      </c>
      <c r="F1193" s="5">
        <v>3.8286413964890951</v>
      </c>
      <c r="G1193" s="4">
        <v>3</v>
      </c>
    </row>
    <row r="1194" spans="1:7" x14ac:dyDescent="0.15">
      <c r="A1194" s="4">
        <v>1193</v>
      </c>
      <c r="B1194" s="4">
        <v>0</v>
      </c>
      <c r="D1194" s="5">
        <v>11.379394072345706</v>
      </c>
      <c r="E1194" s="4">
        <v>0</v>
      </c>
      <c r="F1194" s="5">
        <v>3.8066624897703196</v>
      </c>
      <c r="G1194" s="4">
        <v>3</v>
      </c>
    </row>
    <row r="1195" spans="1:7" x14ac:dyDescent="0.15">
      <c r="A1195" s="4">
        <v>1194</v>
      </c>
      <c r="B1195" s="4">
        <v>0</v>
      </c>
      <c r="D1195" s="5">
        <v>10.388995368317829</v>
      </c>
      <c r="E1195" s="4">
        <v>1</v>
      </c>
      <c r="F1195" s="5">
        <v>3.3672958299864741</v>
      </c>
      <c r="G1195" s="4">
        <v>1</v>
      </c>
    </row>
    <row r="1196" spans="1:7" x14ac:dyDescent="0.15">
      <c r="A1196" s="4">
        <v>1195</v>
      </c>
      <c r="B1196" s="4">
        <v>0</v>
      </c>
      <c r="D1196" s="5">
        <v>10.532096211958502</v>
      </c>
      <c r="E1196" s="4">
        <v>1</v>
      </c>
      <c r="F1196" s="5">
        <v>3.7376696182833684</v>
      </c>
      <c r="G1196" s="4">
        <v>5</v>
      </c>
    </row>
    <row r="1197" spans="1:7" x14ac:dyDescent="0.15">
      <c r="A1197" s="4">
        <v>1196</v>
      </c>
      <c r="B1197" s="4">
        <v>0</v>
      </c>
      <c r="D1197" s="5">
        <v>10.768484990022733</v>
      </c>
      <c r="E1197" s="4">
        <v>1</v>
      </c>
      <c r="F1197" s="5">
        <v>2.5649493574615367</v>
      </c>
      <c r="G1197" s="4">
        <v>4</v>
      </c>
    </row>
    <row r="1198" spans="1:7" x14ac:dyDescent="0.15">
      <c r="A1198" s="4">
        <v>1197</v>
      </c>
      <c r="B1198" s="4">
        <v>0</v>
      </c>
      <c r="D1198" s="5">
        <v>10.388995368317829</v>
      </c>
      <c r="E1198" s="4">
        <v>1</v>
      </c>
      <c r="F1198" s="5">
        <v>3.6375861597263857</v>
      </c>
      <c r="G1198" s="4">
        <v>2</v>
      </c>
    </row>
    <row r="1199" spans="1:7" x14ac:dyDescent="0.15">
      <c r="A1199" s="4">
        <v>1198</v>
      </c>
      <c r="B1199" s="4">
        <v>0</v>
      </c>
      <c r="D1199" s="5">
        <v>11.736069016284437</v>
      </c>
      <c r="E1199" s="4">
        <v>1</v>
      </c>
      <c r="F1199" s="5">
        <v>3.6375861597263857</v>
      </c>
      <c r="G1199" s="4">
        <v>4</v>
      </c>
    </row>
    <row r="1200" spans="1:7" x14ac:dyDescent="0.15">
      <c r="A1200" s="4">
        <v>1199</v>
      </c>
      <c r="B1200" s="4">
        <v>1</v>
      </c>
      <c r="D1200" s="5">
        <v>11.082142548877775</v>
      </c>
      <c r="E1200" s="4">
        <v>1</v>
      </c>
      <c r="F1200" s="5">
        <v>3.8066624897703196</v>
      </c>
      <c r="G1200" s="4">
        <v>5</v>
      </c>
    </row>
    <row r="1201" spans="1:7" x14ac:dyDescent="0.15">
      <c r="A1201" s="4">
        <v>1200</v>
      </c>
      <c r="B1201" s="4">
        <v>0</v>
      </c>
      <c r="D1201" s="5">
        <v>11.736069016284437</v>
      </c>
      <c r="E1201" s="4">
        <v>1</v>
      </c>
      <c r="F1201" s="5">
        <v>3.7376696182833684</v>
      </c>
      <c r="G1201" s="4">
        <v>4</v>
      </c>
    </row>
    <row r="1202" spans="1:7" x14ac:dyDescent="0.15">
      <c r="A1202" s="4">
        <v>1201</v>
      </c>
      <c r="B1202" s="4">
        <v>0</v>
      </c>
      <c r="D1202" s="5">
        <v>11.191341840842766</v>
      </c>
      <c r="E1202" s="4">
        <v>1</v>
      </c>
      <c r="F1202" s="5">
        <v>3.8712010109078911</v>
      </c>
      <c r="G1202" s="4">
        <v>4</v>
      </c>
    </row>
    <row r="1203" spans="1:7" x14ac:dyDescent="0.15">
      <c r="A1203" s="4">
        <v>1202</v>
      </c>
      <c r="B1203" s="4">
        <v>0</v>
      </c>
      <c r="D1203" s="5">
        <v>11.191341840842766</v>
      </c>
      <c r="E1203" s="4">
        <v>1</v>
      </c>
      <c r="F1203" s="5">
        <v>3.0910424533583161</v>
      </c>
      <c r="G1203" s="4">
        <v>4</v>
      </c>
    </row>
    <row r="1204" spans="1:7" x14ac:dyDescent="0.15">
      <c r="A1204" s="4">
        <v>1203</v>
      </c>
      <c r="B1204" s="4">
        <v>0</v>
      </c>
      <c r="D1204" s="5">
        <v>11.191341840842766</v>
      </c>
      <c r="E1204" s="4">
        <v>0</v>
      </c>
      <c r="F1204" s="5">
        <v>4.0073331852324712</v>
      </c>
      <c r="G1204" s="4">
        <v>2</v>
      </c>
    </row>
    <row r="1205" spans="1:7" x14ac:dyDescent="0.15">
      <c r="A1205" s="4">
        <v>1204</v>
      </c>
      <c r="B1205" s="4">
        <v>2</v>
      </c>
      <c r="D1205" s="5">
        <v>12.206072645530174</v>
      </c>
      <c r="E1205" s="4">
        <v>1</v>
      </c>
      <c r="F1205" s="5">
        <v>3.7376696182833684</v>
      </c>
      <c r="G1205" s="4">
        <v>4</v>
      </c>
    </row>
    <row r="1206" spans="1:7" x14ac:dyDescent="0.15">
      <c r="A1206" s="4">
        <v>1205</v>
      </c>
      <c r="B1206" s="4">
        <v>0</v>
      </c>
      <c r="D1206" s="5">
        <v>10.915088464214607</v>
      </c>
      <c r="E1206" s="4">
        <v>0</v>
      </c>
      <c r="F1206" s="5">
        <v>3.713572066704308</v>
      </c>
      <c r="G1206" s="4">
        <v>2</v>
      </c>
    </row>
    <row r="1207" spans="1:7" x14ac:dyDescent="0.15">
      <c r="A1207" s="4">
        <v>1206</v>
      </c>
      <c r="B1207" s="4">
        <v>0</v>
      </c>
      <c r="D1207" s="5">
        <v>10.657259354912508</v>
      </c>
      <c r="E1207" s="4">
        <v>1</v>
      </c>
      <c r="F1207" s="5">
        <v>3.4965075614664802</v>
      </c>
      <c r="G1207" s="4">
        <v>2</v>
      </c>
    </row>
    <row r="1208" spans="1:7" x14ac:dyDescent="0.15">
      <c r="A1208" s="4">
        <v>1207</v>
      </c>
      <c r="B1208" s="4">
        <v>0</v>
      </c>
      <c r="D1208" s="5">
        <v>11.119882876860622</v>
      </c>
      <c r="E1208" s="4">
        <v>1</v>
      </c>
      <c r="F1208" s="5">
        <v>3.6375861597263857</v>
      </c>
      <c r="G1208" s="4">
        <v>6</v>
      </c>
    </row>
    <row r="1209" spans="1:7" x14ac:dyDescent="0.15">
      <c r="A1209" s="4">
        <v>1208</v>
      </c>
      <c r="B1209" s="4">
        <v>0</v>
      </c>
      <c r="D1209" s="5">
        <v>11.379394072345706</v>
      </c>
      <c r="E1209" s="4">
        <v>1</v>
      </c>
      <c r="F1209" s="5">
        <v>4.0073331852324712</v>
      </c>
      <c r="G1209" s="4">
        <v>2</v>
      </c>
    </row>
    <row r="1210" spans="1:7" x14ac:dyDescent="0.15">
      <c r="A1210" s="4">
        <v>1209</v>
      </c>
      <c r="B1210" s="4">
        <v>0</v>
      </c>
      <c r="D1210" s="5">
        <v>10.221941283654663</v>
      </c>
      <c r="E1210" s="4">
        <v>0</v>
      </c>
      <c r="F1210" s="5">
        <v>3.5263605246161616</v>
      </c>
      <c r="G1210" s="4">
        <v>1</v>
      </c>
    </row>
    <row r="1211" spans="1:7" x14ac:dyDescent="0.15">
      <c r="A1211" s="4">
        <v>1210</v>
      </c>
      <c r="B1211" s="4">
        <v>1</v>
      </c>
      <c r="D1211" s="5">
        <v>11.736069016284437</v>
      </c>
      <c r="E1211" s="4">
        <v>0</v>
      </c>
      <c r="F1211" s="5">
        <v>4.1743872698956368</v>
      </c>
      <c r="G1211" s="4">
        <v>1</v>
      </c>
    </row>
    <row r="1212" spans="1:7" x14ac:dyDescent="0.15">
      <c r="A1212" s="4">
        <v>1211</v>
      </c>
      <c r="B1212" s="4">
        <v>1</v>
      </c>
      <c r="D1212" s="5">
        <v>11.736069016284437</v>
      </c>
      <c r="E1212" s="4">
        <v>0</v>
      </c>
      <c r="F1212" s="5">
        <v>4.1108738641733114</v>
      </c>
      <c r="G1212" s="4">
        <v>2</v>
      </c>
    </row>
    <row r="1213" spans="1:7" x14ac:dyDescent="0.15">
      <c r="A1213" s="4">
        <v>1212</v>
      </c>
      <c r="B1213" s="4">
        <v>0</v>
      </c>
      <c r="D1213" s="5">
        <v>11.379394072345706</v>
      </c>
      <c r="E1213" s="4">
        <v>1</v>
      </c>
      <c r="F1213" s="5">
        <v>3.4965075614664802</v>
      </c>
      <c r="G1213" s="4">
        <v>3</v>
      </c>
    </row>
    <row r="1214" spans="1:7" x14ac:dyDescent="0.15">
      <c r="A1214" s="4">
        <v>1213</v>
      </c>
      <c r="B1214" s="4">
        <v>1</v>
      </c>
      <c r="D1214" s="5">
        <v>11.379394072345706</v>
      </c>
      <c r="E1214" s="4">
        <v>0</v>
      </c>
      <c r="F1214" s="5">
        <v>3.5553480614894135</v>
      </c>
      <c r="G1214" s="4">
        <v>3</v>
      </c>
    </row>
    <row r="1215" spans="1:7" x14ac:dyDescent="0.15">
      <c r="A1215" s="4">
        <v>1214</v>
      </c>
      <c r="B1215" s="4">
        <v>0</v>
      </c>
      <c r="D1215" s="5">
        <v>11.082142548877775</v>
      </c>
      <c r="E1215" s="4">
        <v>0</v>
      </c>
      <c r="F1215" s="5">
        <v>3.8501476017100584</v>
      </c>
      <c r="G1215" s="4">
        <v>1</v>
      </c>
    </row>
    <row r="1216" spans="1:7" x14ac:dyDescent="0.15">
      <c r="A1216" s="4">
        <v>1215</v>
      </c>
      <c r="B1216" s="4">
        <v>0</v>
      </c>
      <c r="D1216" s="5">
        <v>10.768484990022733</v>
      </c>
      <c r="E1216" s="4">
        <v>0</v>
      </c>
      <c r="F1216" s="5">
        <v>3.6109179126442243</v>
      </c>
      <c r="G1216" s="4">
        <v>1</v>
      </c>
    </row>
    <row r="1217" spans="1:7" x14ac:dyDescent="0.15">
      <c r="A1217" s="4">
        <v>1216</v>
      </c>
      <c r="B1217" s="4">
        <v>0</v>
      </c>
      <c r="D1217" s="5">
        <v>11.379394072345706</v>
      </c>
      <c r="E1217" s="4">
        <v>1</v>
      </c>
      <c r="F1217" s="5">
        <v>3.9318256327243257</v>
      </c>
      <c r="G1217" s="4">
        <v>3</v>
      </c>
    </row>
    <row r="1218" spans="1:7" x14ac:dyDescent="0.15">
      <c r="A1218" s="4">
        <v>1217</v>
      </c>
      <c r="B1218" s="4">
        <v>0</v>
      </c>
      <c r="D1218" s="5">
        <v>11.379394072345706</v>
      </c>
      <c r="E1218" s="4">
        <v>1</v>
      </c>
      <c r="F1218" s="5">
        <v>3.2958368660043291</v>
      </c>
      <c r="G1218" s="4">
        <v>3</v>
      </c>
    </row>
    <row r="1219" spans="1:7" x14ac:dyDescent="0.15">
      <c r="A1219" s="4">
        <v>1218</v>
      </c>
      <c r="B1219" s="4">
        <v>0</v>
      </c>
      <c r="D1219" s="5">
        <v>11.379394072345706</v>
      </c>
      <c r="E1219" s="4">
        <v>0</v>
      </c>
      <c r="F1219" s="5">
        <v>4.0073331852324712</v>
      </c>
      <c r="G1219" s="4">
        <v>3</v>
      </c>
    </row>
    <row r="1220" spans="1:7" x14ac:dyDescent="0.15">
      <c r="A1220" s="4">
        <v>1219</v>
      </c>
      <c r="B1220" s="4">
        <v>0</v>
      </c>
      <c r="D1220" s="5">
        <v>10.768484990022733</v>
      </c>
      <c r="E1220" s="4">
        <v>1</v>
      </c>
      <c r="F1220" s="5">
        <v>4.2341065045972597</v>
      </c>
      <c r="G1220" s="4">
        <v>2</v>
      </c>
    </row>
    <row r="1221" spans="1:7" x14ac:dyDescent="0.15">
      <c r="A1221" s="4">
        <v>1220</v>
      </c>
      <c r="B1221" s="4">
        <v>0</v>
      </c>
      <c r="D1221" s="5">
        <v>11.379394072345706</v>
      </c>
      <c r="E1221" s="4">
        <v>1</v>
      </c>
      <c r="F1221" s="5">
        <v>3.912023005428146</v>
      </c>
      <c r="G1221" s="4">
        <v>5</v>
      </c>
    </row>
    <row r="1222" spans="1:7" x14ac:dyDescent="0.15">
      <c r="A1222" s="4">
        <v>1221</v>
      </c>
      <c r="B1222" s="4">
        <v>0</v>
      </c>
      <c r="D1222" s="5">
        <v>11.379394072345706</v>
      </c>
      <c r="E1222" s="4">
        <v>0</v>
      </c>
      <c r="F1222" s="5">
        <v>3.8501476017100584</v>
      </c>
      <c r="G1222" s="4">
        <v>5</v>
      </c>
    </row>
    <row r="1223" spans="1:7" x14ac:dyDescent="0.15">
      <c r="A1223" s="4">
        <v>1222</v>
      </c>
      <c r="B1223" s="4">
        <v>2</v>
      </c>
      <c r="D1223" s="5">
        <v>11.379394072345706</v>
      </c>
      <c r="E1223" s="4">
        <v>0</v>
      </c>
      <c r="F1223" s="5">
        <v>3.7376696182833684</v>
      </c>
      <c r="G1223" s="4">
        <v>2</v>
      </c>
    </row>
    <row r="1224" spans="1:7" x14ac:dyDescent="0.15">
      <c r="A1224" s="4">
        <v>1223</v>
      </c>
      <c r="B1224" s="4">
        <v>0</v>
      </c>
      <c r="D1224" s="5">
        <v>12.072541252905651</v>
      </c>
      <c r="E1224" s="4">
        <v>0</v>
      </c>
      <c r="F1224" s="5">
        <v>4.0073331852324712</v>
      </c>
      <c r="G1224" s="4">
        <v>3</v>
      </c>
    </row>
    <row r="1225" spans="1:7" x14ac:dyDescent="0.15">
      <c r="A1225" s="4">
        <v>1224</v>
      </c>
      <c r="B1225" s="4">
        <v>0</v>
      </c>
      <c r="D1225" s="5">
        <v>11.379394072345706</v>
      </c>
      <c r="E1225" s="4">
        <v>0</v>
      </c>
      <c r="F1225" s="5">
        <v>4.1108738641733114</v>
      </c>
      <c r="G1225" s="4">
        <v>2</v>
      </c>
    </row>
    <row r="1226" spans="1:7" x14ac:dyDescent="0.15">
      <c r="A1226" s="4">
        <v>1225</v>
      </c>
      <c r="B1226" s="4">
        <v>0</v>
      </c>
      <c r="D1226" s="5">
        <v>10.657259354912508</v>
      </c>
      <c r="E1226" s="4">
        <v>1</v>
      </c>
      <c r="F1226" s="5">
        <v>3.6888794541139363</v>
      </c>
      <c r="G1226" s="4">
        <v>5</v>
      </c>
    </row>
    <row r="1227" spans="1:7" x14ac:dyDescent="0.15">
      <c r="A1227" s="4">
        <v>1226</v>
      </c>
      <c r="B1227" s="4">
        <v>0</v>
      </c>
      <c r="D1227" s="5">
        <v>11.082142548877775</v>
      </c>
      <c r="E1227" s="4">
        <v>1</v>
      </c>
      <c r="F1227" s="5">
        <v>3.5835189384561099</v>
      </c>
      <c r="G1227" s="4">
        <v>5</v>
      </c>
    </row>
    <row r="1228" spans="1:7" x14ac:dyDescent="0.15">
      <c r="A1228" s="4">
        <v>1227</v>
      </c>
      <c r="B1228" s="4">
        <v>0</v>
      </c>
      <c r="D1228" s="5">
        <v>11.119882876860622</v>
      </c>
      <c r="E1228" s="4">
        <v>0</v>
      </c>
      <c r="F1228" s="5">
        <v>3.6635616461296463</v>
      </c>
      <c r="G1228" s="4">
        <v>6</v>
      </c>
    </row>
    <row r="1229" spans="1:7" x14ac:dyDescent="0.15">
      <c r="A1229" s="4">
        <v>1228</v>
      </c>
      <c r="B1229" s="4">
        <v>0</v>
      </c>
      <c r="D1229" s="5">
        <v>10.819778284410283</v>
      </c>
      <c r="E1229" s="4">
        <v>1</v>
      </c>
      <c r="F1229" s="5">
        <v>3.6375861597263857</v>
      </c>
      <c r="G1229" s="4">
        <v>4</v>
      </c>
    </row>
    <row r="1230" spans="1:7" x14ac:dyDescent="0.15">
      <c r="A1230" s="4">
        <v>1229</v>
      </c>
      <c r="B1230" s="4">
        <v>1</v>
      </c>
      <c r="D1230" s="5">
        <v>10.819778284410283</v>
      </c>
      <c r="E1230" s="4">
        <v>0</v>
      </c>
      <c r="F1230" s="5">
        <v>3.7612001156935624</v>
      </c>
      <c r="G1230" s="4">
        <v>4</v>
      </c>
    </row>
    <row r="1231" spans="1:7" x14ac:dyDescent="0.15">
      <c r="A1231" s="4">
        <v>1230</v>
      </c>
      <c r="B1231" s="4">
        <v>16</v>
      </c>
      <c r="D1231" s="5">
        <v>10.388995368317829</v>
      </c>
      <c r="E1231" s="4">
        <v>1</v>
      </c>
      <c r="F1231" s="5">
        <v>3.912023005428146</v>
      </c>
      <c r="G1231" s="4">
        <v>4</v>
      </c>
    </row>
    <row r="1232" spans="1:7" x14ac:dyDescent="0.15">
      <c r="A1232" s="4">
        <v>1231</v>
      </c>
      <c r="B1232" s="4">
        <v>3</v>
      </c>
      <c r="D1232" s="5">
        <v>10.388995368317829</v>
      </c>
      <c r="E1232" s="4">
        <v>0</v>
      </c>
      <c r="F1232" s="5">
        <v>3.5835189384561099</v>
      </c>
      <c r="G1232" s="4">
        <v>4</v>
      </c>
    </row>
    <row r="1233" spans="1:7" x14ac:dyDescent="0.15">
      <c r="A1233" s="4">
        <v>1232</v>
      </c>
      <c r="B1233" s="4">
        <v>0</v>
      </c>
      <c r="D1233" s="5">
        <v>10.657259354912508</v>
      </c>
      <c r="E1233" s="4">
        <v>1</v>
      </c>
      <c r="F1233" s="5">
        <v>3.6109179126442243</v>
      </c>
      <c r="G1233" s="4">
        <v>4</v>
      </c>
    </row>
    <row r="1234" spans="1:7" x14ac:dyDescent="0.15">
      <c r="A1234" s="4">
        <v>1233</v>
      </c>
      <c r="B1234" s="4">
        <v>0</v>
      </c>
      <c r="D1234" s="5">
        <v>10.657259354912508</v>
      </c>
      <c r="E1234" s="4">
        <v>1</v>
      </c>
      <c r="F1234" s="5">
        <v>2.6390573296152584</v>
      </c>
      <c r="G1234" s="4">
        <v>4</v>
      </c>
    </row>
    <row r="1235" spans="1:7" x14ac:dyDescent="0.15">
      <c r="A1235" s="4">
        <v>1234</v>
      </c>
      <c r="B1235" s="4">
        <v>0</v>
      </c>
      <c r="D1235" s="5">
        <v>10.657259354912508</v>
      </c>
      <c r="E1235" s="4">
        <v>0</v>
      </c>
      <c r="F1235" s="5">
        <v>3.6888794541139363</v>
      </c>
      <c r="G1235" s="4">
        <v>4</v>
      </c>
    </row>
    <row r="1236" spans="1:7" x14ac:dyDescent="0.15">
      <c r="A1236" s="4">
        <v>1235</v>
      </c>
      <c r="B1236" s="4">
        <v>9</v>
      </c>
      <c r="D1236" s="5">
        <v>10.768484990022733</v>
      </c>
      <c r="E1236" s="4">
        <v>0</v>
      </c>
      <c r="F1236" s="5">
        <v>4.1108738641733114</v>
      </c>
      <c r="G1236" s="4">
        <v>4</v>
      </c>
    </row>
    <row r="1237" spans="1:7" x14ac:dyDescent="0.15">
      <c r="A1237" s="4">
        <v>1236</v>
      </c>
      <c r="B1237" s="4">
        <v>0</v>
      </c>
      <c r="D1237" s="5">
        <v>10.657259354912508</v>
      </c>
      <c r="E1237" s="4">
        <v>1</v>
      </c>
      <c r="F1237" s="5">
        <v>3.8712010109078911</v>
      </c>
      <c r="G1237" s="4">
        <v>3</v>
      </c>
    </row>
    <row r="1238" spans="1:7" x14ac:dyDescent="0.15">
      <c r="A1238" s="4">
        <v>1237</v>
      </c>
      <c r="B1238" s="4">
        <v>0</v>
      </c>
      <c r="D1238" s="5">
        <v>11.379394072345706</v>
      </c>
      <c r="E1238" s="4">
        <v>1</v>
      </c>
      <c r="F1238" s="5">
        <v>3.6109179126442243</v>
      </c>
      <c r="G1238" s="4">
        <v>4</v>
      </c>
    </row>
    <row r="1239" spans="1:7" x14ac:dyDescent="0.15">
      <c r="A1239" s="4">
        <v>1238</v>
      </c>
      <c r="B1239" s="4">
        <v>0</v>
      </c>
      <c r="D1239" s="5">
        <v>9.9034875525361272</v>
      </c>
      <c r="E1239" s="4">
        <v>0</v>
      </c>
      <c r="F1239" s="5">
        <v>3.8066624897703196</v>
      </c>
      <c r="G1239" s="4">
        <v>4</v>
      </c>
    </row>
    <row r="1240" spans="1:7" x14ac:dyDescent="0.15">
      <c r="A1240" s="4">
        <v>1239</v>
      </c>
      <c r="B1240" s="4">
        <v>0</v>
      </c>
      <c r="D1240" s="5">
        <v>11.119882876860622</v>
      </c>
      <c r="E1240" s="4">
        <v>0</v>
      </c>
      <c r="F1240" s="5">
        <v>4.0253516907351496</v>
      </c>
      <c r="G1240" s="4">
        <v>3</v>
      </c>
    </row>
    <row r="1241" spans="1:7" x14ac:dyDescent="0.15">
      <c r="A1241" s="4">
        <v>1240</v>
      </c>
      <c r="B1241" s="4">
        <v>2</v>
      </c>
      <c r="D1241" s="5">
        <v>10.768484990022733</v>
      </c>
      <c r="E1241" s="4">
        <v>1</v>
      </c>
      <c r="F1241" s="5">
        <v>4.3174881135363101</v>
      </c>
      <c r="G1241" s="4">
        <v>2</v>
      </c>
    </row>
    <row r="1242" spans="1:7" x14ac:dyDescent="0.15">
      <c r="A1242" s="4">
        <v>1241</v>
      </c>
      <c r="B1242" s="4">
        <v>2</v>
      </c>
      <c r="D1242" s="5">
        <v>10.657259354912508</v>
      </c>
      <c r="E1242" s="4">
        <v>1</v>
      </c>
      <c r="F1242" s="5">
        <v>3.8286413964890951</v>
      </c>
      <c r="G1242" s="4">
        <v>2</v>
      </c>
    </row>
    <row r="1243" spans="1:7" x14ac:dyDescent="0.15">
      <c r="A1243" s="4">
        <v>1242</v>
      </c>
      <c r="B1243" s="4">
        <v>0</v>
      </c>
      <c r="D1243" s="5">
        <v>10.388995368317829</v>
      </c>
      <c r="E1243" s="4">
        <v>0</v>
      </c>
      <c r="F1243" s="5">
        <v>4.0073331852324712</v>
      </c>
      <c r="G1243" s="4">
        <v>2</v>
      </c>
    </row>
    <row r="1244" spans="1:7" x14ac:dyDescent="0.15">
      <c r="A1244" s="4">
        <v>1243</v>
      </c>
      <c r="B1244" s="4">
        <v>0</v>
      </c>
      <c r="D1244" s="5">
        <v>10.819778284410283</v>
      </c>
      <c r="E1244" s="4">
        <v>1</v>
      </c>
      <c r="F1244" s="5">
        <v>2.7725887222397811</v>
      </c>
      <c r="G1244" s="4">
        <v>6</v>
      </c>
    </row>
    <row r="1245" spans="1:7" x14ac:dyDescent="0.15">
      <c r="A1245" s="4">
        <v>1244</v>
      </c>
      <c r="B1245" s="4">
        <v>0</v>
      </c>
      <c r="D1245" s="5">
        <v>12.072541252905651</v>
      </c>
      <c r="E1245" s="4">
        <v>1</v>
      </c>
      <c r="F1245" s="5">
        <v>3.3672958299864741</v>
      </c>
      <c r="G1245" s="4">
        <v>4</v>
      </c>
    </row>
    <row r="1246" spans="1:7" x14ac:dyDescent="0.15">
      <c r="A1246" s="4">
        <v>1245</v>
      </c>
      <c r="B1246" s="4">
        <v>0</v>
      </c>
      <c r="D1246" s="5">
        <v>10.308952660644293</v>
      </c>
      <c r="E1246" s="4">
        <v>1</v>
      </c>
      <c r="F1246" s="5">
        <v>3.2580965380214821</v>
      </c>
      <c r="G1246" s="4">
        <v>2</v>
      </c>
    </row>
    <row r="1247" spans="1:7" x14ac:dyDescent="0.15">
      <c r="A1247" s="4">
        <v>1246</v>
      </c>
      <c r="B1247" s="4">
        <v>2</v>
      </c>
      <c r="D1247" s="5">
        <v>11.736069016284437</v>
      </c>
      <c r="E1247" s="4">
        <v>0</v>
      </c>
      <c r="F1247" s="5">
        <v>4.0775374439057197</v>
      </c>
      <c r="G1247" s="4">
        <v>3</v>
      </c>
    </row>
    <row r="1248" spans="1:7" x14ac:dyDescent="0.15">
      <c r="A1248" s="4">
        <v>1247</v>
      </c>
      <c r="B1248" s="4">
        <v>4</v>
      </c>
      <c r="D1248" s="5">
        <v>12.072541252905651</v>
      </c>
      <c r="E1248" s="4">
        <v>1</v>
      </c>
      <c r="F1248" s="5">
        <v>3.713572066704308</v>
      </c>
      <c r="G1248" s="4">
        <v>2</v>
      </c>
    </row>
    <row r="1249" spans="1:7" x14ac:dyDescent="0.15">
      <c r="A1249" s="4">
        <v>1248</v>
      </c>
      <c r="B1249" s="4">
        <v>0</v>
      </c>
      <c r="D1249" s="5">
        <v>11.119882876860622</v>
      </c>
      <c r="E1249" s="4">
        <v>1</v>
      </c>
      <c r="F1249" s="5">
        <v>3.784189633918261</v>
      </c>
      <c r="G1249" s="4">
        <v>3</v>
      </c>
    </row>
    <row r="1250" spans="1:7" x14ac:dyDescent="0.15">
      <c r="A1250" s="4">
        <v>1249</v>
      </c>
      <c r="B1250" s="4">
        <v>0</v>
      </c>
      <c r="D1250" s="5">
        <v>11.918390573078392</v>
      </c>
      <c r="E1250" s="4">
        <v>1</v>
      </c>
      <c r="F1250" s="5">
        <v>3.4339872044851463</v>
      </c>
      <c r="G1250" s="4">
        <v>4</v>
      </c>
    </row>
    <row r="1251" spans="1:7" x14ac:dyDescent="0.15">
      <c r="A1251" s="4">
        <v>1250</v>
      </c>
      <c r="B1251" s="4">
        <v>0</v>
      </c>
      <c r="D1251" s="5">
        <v>9.5287941030947181</v>
      </c>
      <c r="E1251" s="4">
        <v>1</v>
      </c>
      <c r="F1251" s="5">
        <v>3.2958368660043291</v>
      </c>
      <c r="G1251" s="4">
        <v>1</v>
      </c>
    </row>
    <row r="1252" spans="1:7" x14ac:dyDescent="0.15">
      <c r="A1252" s="4">
        <v>1251</v>
      </c>
      <c r="B1252" s="4">
        <v>0</v>
      </c>
      <c r="D1252" s="5">
        <v>11.191341840842766</v>
      </c>
      <c r="E1252" s="4">
        <v>0</v>
      </c>
      <c r="F1252" s="5">
        <v>3.0910424533583161</v>
      </c>
      <c r="G1252" s="4">
        <v>3</v>
      </c>
    </row>
    <row r="1253" spans="1:7" x14ac:dyDescent="0.15">
      <c r="A1253" s="4">
        <v>1252</v>
      </c>
      <c r="B1253" s="4">
        <v>0</v>
      </c>
      <c r="D1253" s="5">
        <v>10.532096211958502</v>
      </c>
      <c r="E1253" s="4">
        <v>0</v>
      </c>
      <c r="F1253" s="5">
        <v>3.4011973816621555</v>
      </c>
      <c r="G1253" s="4">
        <v>2</v>
      </c>
    </row>
    <row r="1254" spans="1:7" x14ac:dyDescent="0.15">
      <c r="A1254" s="4">
        <v>1253</v>
      </c>
      <c r="B1254" s="4">
        <v>3</v>
      </c>
      <c r="D1254" s="5">
        <v>10.768484990022733</v>
      </c>
      <c r="E1254" s="4">
        <v>1</v>
      </c>
      <c r="F1254" s="5">
        <v>3.4965075614664802</v>
      </c>
      <c r="G1254" s="4">
        <v>4</v>
      </c>
    </row>
    <row r="1255" spans="1:7" x14ac:dyDescent="0.15">
      <c r="A1255" s="4">
        <v>1254</v>
      </c>
      <c r="B1255" s="4">
        <v>0</v>
      </c>
      <c r="D1255" s="5">
        <v>11.379394072345706</v>
      </c>
      <c r="E1255" s="4">
        <v>1</v>
      </c>
      <c r="F1255" s="5">
        <v>3.6375861597263857</v>
      </c>
      <c r="G1255" s="4">
        <v>2</v>
      </c>
    </row>
    <row r="1256" spans="1:7" x14ac:dyDescent="0.15">
      <c r="A1256" s="4">
        <v>1255</v>
      </c>
      <c r="B1256" s="4">
        <v>0</v>
      </c>
      <c r="D1256" s="5">
        <v>10.819778284410283</v>
      </c>
      <c r="E1256" s="4">
        <v>1</v>
      </c>
      <c r="F1256" s="5">
        <v>3.5553480614894135</v>
      </c>
      <c r="G1256" s="4">
        <v>6</v>
      </c>
    </row>
    <row r="1257" spans="1:7" x14ac:dyDescent="0.15">
      <c r="A1257" s="4">
        <v>1256</v>
      </c>
      <c r="B1257" s="4">
        <v>0</v>
      </c>
      <c r="D1257" s="5">
        <v>11.082142548877775</v>
      </c>
      <c r="E1257" s="4">
        <v>1</v>
      </c>
      <c r="F1257" s="5">
        <v>3.9318256327243257</v>
      </c>
      <c r="G1257" s="4">
        <v>2</v>
      </c>
    </row>
    <row r="1258" spans="1:7" x14ac:dyDescent="0.15">
      <c r="A1258" s="4">
        <v>1257</v>
      </c>
      <c r="B1258" s="4">
        <v>0</v>
      </c>
      <c r="D1258" s="5">
        <v>10.819778284410283</v>
      </c>
      <c r="E1258" s="4">
        <v>0</v>
      </c>
      <c r="F1258" s="5">
        <v>4.0253516907351496</v>
      </c>
      <c r="G1258" s="4">
        <v>5</v>
      </c>
    </row>
    <row r="1259" spans="1:7" x14ac:dyDescent="0.15">
      <c r="A1259" s="4">
        <v>1258</v>
      </c>
      <c r="B1259" s="4">
        <v>0</v>
      </c>
      <c r="D1259" s="5">
        <v>10.308952660644293</v>
      </c>
      <c r="E1259" s="4">
        <v>1</v>
      </c>
      <c r="F1259" s="5">
        <v>3.1780538303479458</v>
      </c>
      <c r="G1259" s="4">
        <v>2</v>
      </c>
    </row>
    <row r="1260" spans="1:7" x14ac:dyDescent="0.15">
      <c r="A1260" s="4">
        <v>1259</v>
      </c>
      <c r="B1260" s="4">
        <v>0</v>
      </c>
      <c r="D1260" s="5">
        <v>10.308952660644293</v>
      </c>
      <c r="E1260" s="4">
        <v>1</v>
      </c>
      <c r="F1260" s="5">
        <v>2.5649493574615367</v>
      </c>
      <c r="G1260" s="4">
        <v>9</v>
      </c>
    </row>
    <row r="1261" spans="1:7" x14ac:dyDescent="0.15">
      <c r="A1261" s="4">
        <v>1260</v>
      </c>
      <c r="B1261" s="4">
        <v>1</v>
      </c>
      <c r="D1261" s="5">
        <v>9.5287941030947181</v>
      </c>
      <c r="E1261" s="4">
        <v>1</v>
      </c>
      <c r="F1261" s="5">
        <v>3.6109179126442243</v>
      </c>
      <c r="G1261" s="4">
        <v>2</v>
      </c>
    </row>
    <row r="1262" spans="1:7" x14ac:dyDescent="0.15">
      <c r="A1262" s="4">
        <v>1261</v>
      </c>
      <c r="B1262" s="4">
        <v>0</v>
      </c>
      <c r="D1262" s="5">
        <v>11.379394072345706</v>
      </c>
      <c r="E1262" s="4">
        <v>0</v>
      </c>
      <c r="F1262" s="5">
        <v>3.2188758248682006</v>
      </c>
      <c r="G1262" s="4">
        <v>5</v>
      </c>
    </row>
    <row r="1263" spans="1:7" x14ac:dyDescent="0.15">
      <c r="A1263" s="4">
        <v>1262</v>
      </c>
      <c r="B1263" s="4">
        <v>0</v>
      </c>
      <c r="D1263" s="5">
        <v>11.119882876860622</v>
      </c>
      <c r="E1263" s="4">
        <v>1</v>
      </c>
      <c r="F1263" s="5">
        <v>3.912023005428146</v>
      </c>
      <c r="G1263" s="4">
        <v>4</v>
      </c>
    </row>
    <row r="1264" spans="1:7" x14ac:dyDescent="0.15">
      <c r="A1264" s="4">
        <v>1263</v>
      </c>
      <c r="B1264" s="4">
        <v>0</v>
      </c>
      <c r="D1264" s="5">
        <v>10.308952660644293</v>
      </c>
      <c r="E1264" s="4">
        <v>1</v>
      </c>
      <c r="F1264" s="5">
        <v>3.4657359027997265</v>
      </c>
      <c r="G1264" s="4">
        <v>2</v>
      </c>
    </row>
    <row r="1265" spans="1:7" x14ac:dyDescent="0.15">
      <c r="A1265" s="4">
        <v>1264</v>
      </c>
      <c r="B1265" s="4">
        <v>2</v>
      </c>
      <c r="D1265" s="5">
        <v>11.736069016284437</v>
      </c>
      <c r="E1265" s="4">
        <v>0</v>
      </c>
      <c r="F1265" s="5">
        <v>4.3567088266895917</v>
      </c>
      <c r="G1265" s="4">
        <v>2</v>
      </c>
    </row>
    <row r="1266" spans="1:7" x14ac:dyDescent="0.15">
      <c r="A1266" s="4">
        <v>1265</v>
      </c>
      <c r="B1266" s="4">
        <v>0</v>
      </c>
      <c r="D1266" s="5">
        <v>10.532096211958502</v>
      </c>
      <c r="E1266" s="4">
        <v>1</v>
      </c>
      <c r="F1266" s="5">
        <v>2.7080502011022101</v>
      </c>
      <c r="G1266" s="4">
        <v>6</v>
      </c>
    </row>
    <row r="1267" spans="1:7" x14ac:dyDescent="0.15">
      <c r="A1267" s="4">
        <v>1266</v>
      </c>
      <c r="B1267" s="4">
        <v>1</v>
      </c>
      <c r="D1267" s="5">
        <v>10.532096211958502</v>
      </c>
      <c r="E1267" s="4">
        <v>1</v>
      </c>
      <c r="F1267" s="5">
        <v>4.3307333402863311</v>
      </c>
      <c r="G1267" s="4">
        <v>1</v>
      </c>
    </row>
    <row r="1268" spans="1:7" x14ac:dyDescent="0.15">
      <c r="A1268" s="4">
        <v>1267</v>
      </c>
      <c r="B1268" s="4">
        <v>0</v>
      </c>
      <c r="D1268" s="5">
        <v>10.532096211958502</v>
      </c>
      <c r="E1268" s="4">
        <v>0</v>
      </c>
      <c r="F1268" s="5">
        <v>4.290459441148391</v>
      </c>
      <c r="G1268" s="4">
        <v>1</v>
      </c>
    </row>
    <row r="1269" spans="1:7" x14ac:dyDescent="0.15">
      <c r="A1269" s="4">
        <v>1268</v>
      </c>
      <c r="B1269" s="4">
        <v>0</v>
      </c>
      <c r="D1269" s="5">
        <v>11.082142548877775</v>
      </c>
      <c r="E1269" s="4">
        <v>1</v>
      </c>
      <c r="F1269" s="5">
        <v>3.7376696182833684</v>
      </c>
      <c r="G1269" s="4">
        <v>3</v>
      </c>
    </row>
    <row r="1270" spans="1:7" x14ac:dyDescent="0.15">
      <c r="A1270" s="4">
        <v>1269</v>
      </c>
      <c r="B1270" s="4">
        <v>3</v>
      </c>
      <c r="D1270" s="5">
        <v>11.379394072345706</v>
      </c>
      <c r="E1270" s="4">
        <v>1</v>
      </c>
      <c r="F1270" s="5">
        <v>3.8066624897703196</v>
      </c>
      <c r="G1270" s="4">
        <v>2</v>
      </c>
    </row>
    <row r="1271" spans="1:7" x14ac:dyDescent="0.15">
      <c r="A1271" s="4">
        <v>1270</v>
      </c>
      <c r="B1271" s="4">
        <v>0</v>
      </c>
      <c r="D1271" s="5">
        <v>9.9034875525361272</v>
      </c>
      <c r="E1271" s="4">
        <v>0</v>
      </c>
      <c r="F1271" s="5">
        <v>3.2188758248682006</v>
      </c>
      <c r="G1271" s="4">
        <v>3</v>
      </c>
    </row>
    <row r="1272" spans="1:7" x14ac:dyDescent="0.15">
      <c r="A1272" s="4">
        <v>1271</v>
      </c>
      <c r="B1272" s="4">
        <v>0</v>
      </c>
      <c r="D1272" s="5">
        <v>11.119882876860622</v>
      </c>
      <c r="E1272" s="4">
        <v>1</v>
      </c>
      <c r="F1272" s="5">
        <v>4.0775374439057197</v>
      </c>
      <c r="G1272" s="4">
        <v>4</v>
      </c>
    </row>
    <row r="1273" spans="1:7" x14ac:dyDescent="0.15">
      <c r="A1273" s="4">
        <v>1272</v>
      </c>
      <c r="B1273" s="4">
        <v>3</v>
      </c>
      <c r="D1273" s="5">
        <v>12.072541252905651</v>
      </c>
      <c r="E1273" s="4">
        <v>1</v>
      </c>
      <c r="F1273" s="5">
        <v>3.784189633918261</v>
      </c>
      <c r="G1273" s="4">
        <v>3</v>
      </c>
    </row>
    <row r="1274" spans="1:7" x14ac:dyDescent="0.15">
      <c r="A1274" s="4">
        <v>1273</v>
      </c>
      <c r="B1274" s="4">
        <v>0</v>
      </c>
      <c r="D1274" s="5">
        <v>10.388995368317829</v>
      </c>
      <c r="E1274" s="4">
        <v>0</v>
      </c>
      <c r="F1274" s="5">
        <v>2.8332133440562162</v>
      </c>
      <c r="G1274" s="4">
        <v>4</v>
      </c>
    </row>
    <row r="1275" spans="1:7" x14ac:dyDescent="0.15">
      <c r="A1275" s="4">
        <v>1274</v>
      </c>
      <c r="B1275" s="4">
        <v>0</v>
      </c>
      <c r="D1275" s="5">
        <v>10.388995368317829</v>
      </c>
      <c r="E1275" s="4">
        <v>0</v>
      </c>
      <c r="F1275" s="5">
        <v>2.7080502011022101</v>
      </c>
      <c r="G1275" s="4">
        <v>4</v>
      </c>
    </row>
    <row r="1276" spans="1:7" x14ac:dyDescent="0.15">
      <c r="A1276" s="4">
        <v>1275</v>
      </c>
      <c r="B1276" s="4">
        <v>0</v>
      </c>
      <c r="D1276" s="5">
        <v>11.736069016284437</v>
      </c>
      <c r="E1276" s="4">
        <v>1</v>
      </c>
      <c r="F1276" s="5">
        <v>3.8501476017100584</v>
      </c>
      <c r="G1276" s="4">
        <v>5</v>
      </c>
    </row>
    <row r="1277" spans="1:7" x14ac:dyDescent="0.15">
      <c r="A1277" s="4">
        <v>1276</v>
      </c>
      <c r="B1277" s="4">
        <v>0</v>
      </c>
      <c r="D1277" s="5">
        <v>11.736069016284437</v>
      </c>
      <c r="E1277" s="4">
        <v>1</v>
      </c>
      <c r="F1277" s="5">
        <v>2.6390573296152584</v>
      </c>
      <c r="G1277" s="4">
        <v>5</v>
      </c>
    </row>
    <row r="1278" spans="1:7" x14ac:dyDescent="0.15">
      <c r="A1278" s="4">
        <v>1277</v>
      </c>
      <c r="B1278" s="4">
        <v>0</v>
      </c>
      <c r="D1278" s="5">
        <v>10.768484990022733</v>
      </c>
      <c r="E1278" s="4">
        <v>1</v>
      </c>
      <c r="F1278" s="5">
        <v>4.0604430105464191</v>
      </c>
      <c r="G1278" s="4">
        <v>3</v>
      </c>
    </row>
    <row r="1279" spans="1:7" x14ac:dyDescent="0.15">
      <c r="A1279" s="4">
        <v>1278</v>
      </c>
      <c r="B1279" s="4">
        <v>1</v>
      </c>
      <c r="D1279" s="5">
        <v>10.915088464214607</v>
      </c>
      <c r="E1279" s="4">
        <v>1</v>
      </c>
      <c r="F1279" s="5">
        <v>3.3322045101752038</v>
      </c>
      <c r="G1279" s="4">
        <v>2</v>
      </c>
    </row>
    <row r="1280" spans="1:7" x14ac:dyDescent="0.15">
      <c r="A1280" s="4">
        <v>1279</v>
      </c>
      <c r="B1280" s="4">
        <v>0</v>
      </c>
      <c r="D1280" s="5">
        <v>10.915088464214607</v>
      </c>
      <c r="E1280" s="4">
        <v>0</v>
      </c>
      <c r="F1280" s="5">
        <v>4.1108738641733114</v>
      </c>
      <c r="G1280" s="4">
        <v>2</v>
      </c>
    </row>
    <row r="1281" spans="1:7" x14ac:dyDescent="0.15">
      <c r="A1281" s="4">
        <v>1280</v>
      </c>
      <c r="B1281" s="4">
        <v>6</v>
      </c>
      <c r="D1281" s="5">
        <v>12.072541252905651</v>
      </c>
      <c r="E1281" s="4">
        <v>1</v>
      </c>
      <c r="F1281" s="5">
        <v>3.713572066704308</v>
      </c>
      <c r="G1281" s="4">
        <v>2</v>
      </c>
    </row>
    <row r="1282" spans="1:7" x14ac:dyDescent="0.15">
      <c r="A1282" s="4">
        <v>1281</v>
      </c>
      <c r="B1282" s="4">
        <v>0</v>
      </c>
      <c r="D1282" s="5">
        <v>11.379394072345706</v>
      </c>
      <c r="E1282" s="4">
        <v>1</v>
      </c>
      <c r="F1282" s="5">
        <v>4.0073331852324712</v>
      </c>
      <c r="G1282" s="4">
        <v>3</v>
      </c>
    </row>
    <row r="1283" spans="1:7" x14ac:dyDescent="0.15">
      <c r="A1283" s="4">
        <v>1282</v>
      </c>
      <c r="B1283" s="4">
        <v>0</v>
      </c>
      <c r="D1283" s="5">
        <v>11.379394072345706</v>
      </c>
      <c r="E1283" s="4">
        <v>0</v>
      </c>
      <c r="F1283" s="5">
        <v>3.4011973816621555</v>
      </c>
      <c r="G1283" s="4">
        <v>3</v>
      </c>
    </row>
    <row r="1284" spans="1:7" x14ac:dyDescent="0.15">
      <c r="A1284" s="4">
        <v>1283</v>
      </c>
      <c r="B1284" s="4">
        <v>42</v>
      </c>
      <c r="D1284" s="5">
        <v>10.388995368317829</v>
      </c>
      <c r="E1284" s="4">
        <v>0</v>
      </c>
      <c r="F1284" s="5">
        <v>4.2341065045972597</v>
      </c>
      <c r="G1284" s="4">
        <v>2</v>
      </c>
    </row>
    <row r="1285" spans="1:7" x14ac:dyDescent="0.15">
      <c r="A1285" s="4">
        <v>1284</v>
      </c>
      <c r="B1285" s="4">
        <v>0</v>
      </c>
      <c r="D1285" s="5">
        <v>11.379394072345706</v>
      </c>
      <c r="E1285" s="4">
        <v>0</v>
      </c>
      <c r="F1285" s="5">
        <v>3.4339872044851463</v>
      </c>
      <c r="G1285" s="4">
        <v>4</v>
      </c>
    </row>
    <row r="1286" spans="1:7" x14ac:dyDescent="0.15">
      <c r="A1286" s="4">
        <v>1285</v>
      </c>
      <c r="B1286" s="4">
        <v>0</v>
      </c>
      <c r="D1286" s="5">
        <v>9.9034875525361272</v>
      </c>
      <c r="E1286" s="4">
        <v>1</v>
      </c>
      <c r="F1286" s="5">
        <v>3.5263605246161616</v>
      </c>
      <c r="G1286" s="4">
        <v>4</v>
      </c>
    </row>
    <row r="1287" spans="1:7" x14ac:dyDescent="0.15">
      <c r="A1287" s="4">
        <v>1286</v>
      </c>
      <c r="B1287" s="4">
        <v>0</v>
      </c>
      <c r="D1287" s="5">
        <v>11.736069016284437</v>
      </c>
      <c r="E1287" s="4">
        <v>1</v>
      </c>
      <c r="F1287" s="5">
        <v>3.784189633918261</v>
      </c>
      <c r="G1287" s="4">
        <v>5</v>
      </c>
    </row>
    <row r="1288" spans="1:7" x14ac:dyDescent="0.15">
      <c r="A1288" s="4">
        <v>1287</v>
      </c>
      <c r="B1288" s="4">
        <v>0</v>
      </c>
      <c r="D1288" s="5">
        <v>10.021270588192511</v>
      </c>
      <c r="E1288" s="4">
        <v>1</v>
      </c>
      <c r="F1288" s="5">
        <v>2.7080502011022101</v>
      </c>
      <c r="G1288" s="4">
        <v>5</v>
      </c>
    </row>
    <row r="1289" spans="1:7" x14ac:dyDescent="0.15">
      <c r="A1289" s="4">
        <v>1288</v>
      </c>
      <c r="B1289" s="4">
        <v>0</v>
      </c>
      <c r="D1289" s="5">
        <v>10.819778284410283</v>
      </c>
      <c r="E1289" s="4">
        <v>0</v>
      </c>
      <c r="F1289" s="5">
        <v>3.4965075614664802</v>
      </c>
      <c r="G1289" s="4">
        <v>3</v>
      </c>
    </row>
    <row r="1290" spans="1:7" x14ac:dyDescent="0.15">
      <c r="A1290" s="4">
        <v>1289</v>
      </c>
      <c r="B1290" s="4">
        <v>0</v>
      </c>
      <c r="D1290" s="5">
        <v>11.379394072345706</v>
      </c>
      <c r="E1290" s="4">
        <v>0</v>
      </c>
      <c r="F1290" s="5">
        <v>3.0910424533583161</v>
      </c>
      <c r="G1290" s="4">
        <v>5</v>
      </c>
    </row>
    <row r="1291" spans="1:7" x14ac:dyDescent="0.15">
      <c r="A1291" s="4">
        <v>1290</v>
      </c>
      <c r="B1291" s="4">
        <v>0</v>
      </c>
      <c r="D1291" s="5">
        <v>11.736069016284437</v>
      </c>
      <c r="E1291" s="4">
        <v>0</v>
      </c>
      <c r="F1291" s="5">
        <v>3.4657359027997265</v>
      </c>
      <c r="G1291" s="4">
        <v>7</v>
      </c>
    </row>
    <row r="1292" spans="1:7" x14ac:dyDescent="0.15">
      <c r="A1292" s="4">
        <v>1291</v>
      </c>
      <c r="B1292" s="4">
        <v>1</v>
      </c>
      <c r="D1292" s="5">
        <v>10.308952660644293</v>
      </c>
      <c r="E1292" s="4">
        <v>1</v>
      </c>
      <c r="F1292" s="5">
        <v>3.2958368660043291</v>
      </c>
      <c r="G1292" s="4">
        <v>5</v>
      </c>
    </row>
    <row r="1293" spans="1:7" x14ac:dyDescent="0.15">
      <c r="A1293" s="4">
        <v>1292</v>
      </c>
      <c r="B1293" s="4">
        <v>0</v>
      </c>
      <c r="D1293" s="5">
        <v>10.221941283654663</v>
      </c>
      <c r="E1293" s="4">
        <v>0</v>
      </c>
      <c r="F1293" s="5">
        <v>4.2341065045972597</v>
      </c>
      <c r="G1293" s="4">
        <v>1</v>
      </c>
    </row>
    <row r="1294" spans="1:7" x14ac:dyDescent="0.15">
      <c r="A1294" s="4">
        <v>1293</v>
      </c>
      <c r="B1294" s="4">
        <v>0</v>
      </c>
      <c r="D1294" s="5">
        <v>10.308952660644293</v>
      </c>
      <c r="E1294" s="4">
        <v>0</v>
      </c>
      <c r="F1294" s="5">
        <v>3.713572066704308</v>
      </c>
      <c r="G1294" s="4">
        <v>2</v>
      </c>
    </row>
    <row r="1295" spans="1:7" x14ac:dyDescent="0.15">
      <c r="A1295" s="4">
        <v>1294</v>
      </c>
      <c r="B1295" s="4">
        <v>0</v>
      </c>
      <c r="D1295" s="5">
        <v>10.819778284410283</v>
      </c>
      <c r="E1295" s="4">
        <v>1</v>
      </c>
      <c r="F1295" s="5">
        <v>3.8712010109078911</v>
      </c>
      <c r="G1295" s="4">
        <v>4</v>
      </c>
    </row>
    <row r="1296" spans="1:7" x14ac:dyDescent="0.15">
      <c r="A1296" s="4">
        <v>1295</v>
      </c>
      <c r="B1296" s="4">
        <v>2</v>
      </c>
      <c r="D1296" s="5">
        <v>11.918390573078392</v>
      </c>
      <c r="E1296" s="4">
        <v>1</v>
      </c>
      <c r="F1296" s="5">
        <v>3.4011973816621555</v>
      </c>
      <c r="G1296" s="4">
        <v>5</v>
      </c>
    </row>
    <row r="1297" spans="1:7" x14ac:dyDescent="0.15">
      <c r="A1297" s="4">
        <v>1296</v>
      </c>
      <c r="B1297" s="4">
        <v>0</v>
      </c>
      <c r="D1297" s="5">
        <v>9.7699561599116063</v>
      </c>
      <c r="E1297" s="4">
        <v>1</v>
      </c>
      <c r="F1297" s="5">
        <v>3.9889840465642745</v>
      </c>
      <c r="G1297" s="4">
        <v>3</v>
      </c>
    </row>
    <row r="1298" spans="1:7" x14ac:dyDescent="0.15">
      <c r="A1298" s="4">
        <v>1297</v>
      </c>
      <c r="B1298" s="4">
        <v>0</v>
      </c>
      <c r="D1298" s="5">
        <v>10.768484990022733</v>
      </c>
      <c r="E1298" s="4">
        <v>0</v>
      </c>
      <c r="F1298" s="5">
        <v>4.290459441148391</v>
      </c>
      <c r="G1298" s="4">
        <v>2</v>
      </c>
    </row>
    <row r="1299" spans="1:7" x14ac:dyDescent="0.15">
      <c r="A1299" s="4">
        <v>1298</v>
      </c>
      <c r="B1299" s="4">
        <v>0</v>
      </c>
      <c r="D1299" s="5">
        <v>12.072541252905651</v>
      </c>
      <c r="E1299" s="4">
        <v>0</v>
      </c>
      <c r="F1299" s="5">
        <v>3.7376696182833684</v>
      </c>
      <c r="G1299" s="4">
        <v>3</v>
      </c>
    </row>
    <row r="1300" spans="1:7" x14ac:dyDescent="0.15">
      <c r="A1300" s="4">
        <v>1299</v>
      </c>
      <c r="B1300" s="4">
        <v>0</v>
      </c>
      <c r="D1300" s="5">
        <v>11.379394072345706</v>
      </c>
      <c r="E1300" s="4">
        <v>1</v>
      </c>
      <c r="F1300" s="5">
        <v>3.9512437185814275</v>
      </c>
      <c r="G1300" s="4">
        <v>4</v>
      </c>
    </row>
    <row r="1301" spans="1:7" x14ac:dyDescent="0.15">
      <c r="A1301" s="4">
        <v>1300</v>
      </c>
      <c r="B1301" s="4">
        <v>0</v>
      </c>
      <c r="D1301" s="5">
        <v>8.9226582995244019</v>
      </c>
      <c r="E1301" s="4">
        <v>1</v>
      </c>
      <c r="F1301" s="5">
        <v>3.1354942159291497</v>
      </c>
      <c r="G1301" s="4">
        <v>5</v>
      </c>
    </row>
    <row r="1302" spans="1:7" x14ac:dyDescent="0.15">
      <c r="A1302" s="4">
        <v>1301</v>
      </c>
      <c r="B1302" s="4">
        <v>0</v>
      </c>
      <c r="D1302" s="5">
        <v>10.915088464214607</v>
      </c>
      <c r="E1302" s="4">
        <v>1</v>
      </c>
      <c r="F1302" s="5">
        <v>3.4339872044851463</v>
      </c>
      <c r="G1302" s="4">
        <v>4</v>
      </c>
    </row>
    <row r="1303" spans="1:7" x14ac:dyDescent="0.15">
      <c r="A1303" s="4">
        <v>1302</v>
      </c>
      <c r="B1303" s="4">
        <v>0</v>
      </c>
      <c r="D1303" s="5">
        <v>9.3281234076325656</v>
      </c>
      <c r="E1303" s="4">
        <v>1</v>
      </c>
      <c r="F1303" s="5">
        <v>3.3672958299864741</v>
      </c>
      <c r="G1303" s="4">
        <v>6</v>
      </c>
    </row>
    <row r="1304" spans="1:7" x14ac:dyDescent="0.15">
      <c r="A1304" s="4">
        <v>1303</v>
      </c>
      <c r="B1304" s="4">
        <v>0</v>
      </c>
      <c r="D1304" s="5">
        <v>11.379394072345706</v>
      </c>
      <c r="E1304" s="4">
        <v>0</v>
      </c>
      <c r="F1304" s="5">
        <v>4.1588830833596715</v>
      </c>
      <c r="G1304" s="4">
        <v>3</v>
      </c>
    </row>
    <row r="1305" spans="1:7" x14ac:dyDescent="0.15">
      <c r="A1305" s="4">
        <v>1304</v>
      </c>
      <c r="B1305" s="4">
        <v>0</v>
      </c>
      <c r="D1305" s="5">
        <v>8.9226582995244019</v>
      </c>
      <c r="E1305" s="4">
        <v>1</v>
      </c>
      <c r="F1305" s="5">
        <v>3.2580965380214821</v>
      </c>
      <c r="G1305" s="4">
        <v>2</v>
      </c>
    </row>
    <row r="1306" spans="1:7" x14ac:dyDescent="0.15">
      <c r="A1306" s="4">
        <v>1305</v>
      </c>
      <c r="B1306" s="4">
        <v>0</v>
      </c>
      <c r="D1306" s="5">
        <v>9.3281234076325656</v>
      </c>
      <c r="E1306" s="4">
        <v>1</v>
      </c>
      <c r="F1306" s="5">
        <v>2.8903717578961645</v>
      </c>
      <c r="G1306" s="4">
        <v>4</v>
      </c>
    </row>
    <row r="1307" spans="1:7" x14ac:dyDescent="0.15">
      <c r="A1307" s="4">
        <v>1306</v>
      </c>
      <c r="B1307" s="4">
        <v>0</v>
      </c>
      <c r="D1307" s="5">
        <v>11.119882876860622</v>
      </c>
      <c r="E1307" s="4">
        <v>1</v>
      </c>
      <c r="F1307" s="5">
        <v>3.6635616461296463</v>
      </c>
      <c r="G1307" s="4">
        <v>7</v>
      </c>
    </row>
    <row r="1308" spans="1:7" x14ac:dyDescent="0.15">
      <c r="A1308" s="4">
        <v>1307</v>
      </c>
      <c r="B1308" s="4">
        <v>0</v>
      </c>
      <c r="D1308" s="5">
        <v>11.119882876860622</v>
      </c>
      <c r="E1308" s="4">
        <v>1</v>
      </c>
      <c r="F1308" s="5">
        <v>2.5649493574615367</v>
      </c>
      <c r="G1308" s="4">
        <v>7</v>
      </c>
    </row>
    <row r="1309" spans="1:7" x14ac:dyDescent="0.15">
      <c r="A1309" s="4">
        <v>1308</v>
      </c>
      <c r="B1309" s="4">
        <v>0</v>
      </c>
      <c r="D1309" s="5">
        <v>11.082142548877775</v>
      </c>
      <c r="E1309" s="4">
        <v>0</v>
      </c>
      <c r="F1309" s="5">
        <v>3.8066624897703196</v>
      </c>
      <c r="G1309" s="4">
        <v>5</v>
      </c>
    </row>
    <row r="1310" spans="1:7" x14ac:dyDescent="0.15">
      <c r="A1310" s="4">
        <v>1309</v>
      </c>
      <c r="B1310" s="4">
        <v>0</v>
      </c>
      <c r="D1310" s="5">
        <v>10.388995368317829</v>
      </c>
      <c r="E1310" s="4">
        <v>1</v>
      </c>
      <c r="F1310" s="5">
        <v>3.8066624897703196</v>
      </c>
      <c r="G1310" s="4">
        <v>4</v>
      </c>
    </row>
    <row r="1311" spans="1:7" x14ac:dyDescent="0.15">
      <c r="A1311" s="4">
        <v>1310</v>
      </c>
      <c r="B1311" s="4">
        <v>0</v>
      </c>
      <c r="D1311" s="5">
        <v>10.388995368317829</v>
      </c>
      <c r="E1311" s="4">
        <v>1</v>
      </c>
      <c r="F1311" s="5">
        <v>2.7725887222397811</v>
      </c>
      <c r="G1311" s="4">
        <v>4</v>
      </c>
    </row>
    <row r="1312" spans="1:7" x14ac:dyDescent="0.15">
      <c r="A1312" s="4">
        <v>1311</v>
      </c>
      <c r="B1312" s="4">
        <v>0</v>
      </c>
      <c r="D1312" s="5">
        <v>11.119882876860622</v>
      </c>
      <c r="E1312" s="4">
        <v>1</v>
      </c>
      <c r="F1312" s="5">
        <v>3.4011973816621555</v>
      </c>
      <c r="G1312" s="4">
        <v>5</v>
      </c>
    </row>
    <row r="1313" spans="1:7" x14ac:dyDescent="0.15">
      <c r="A1313" s="4">
        <v>1312</v>
      </c>
      <c r="B1313" s="4">
        <v>7</v>
      </c>
      <c r="D1313" s="5">
        <v>11.191341840842766</v>
      </c>
      <c r="E1313" s="4">
        <v>1</v>
      </c>
      <c r="F1313" s="5">
        <v>4.0073331852324712</v>
      </c>
      <c r="G1313" s="4">
        <v>2</v>
      </c>
    </row>
    <row r="1314" spans="1:7" x14ac:dyDescent="0.15">
      <c r="A1314" s="4">
        <v>1313</v>
      </c>
      <c r="B1314" s="4">
        <v>0</v>
      </c>
      <c r="D1314" s="5">
        <v>9.7699561599116063</v>
      </c>
      <c r="E1314" s="4">
        <v>0</v>
      </c>
      <c r="F1314" s="5">
        <v>3.6888794541139363</v>
      </c>
      <c r="G1314" s="4">
        <v>1</v>
      </c>
    </row>
    <row r="1315" spans="1:7" x14ac:dyDescent="0.15">
      <c r="A1315" s="4">
        <v>1314</v>
      </c>
      <c r="B1315" s="4">
        <v>0</v>
      </c>
      <c r="D1315" s="5">
        <v>11.082142548877775</v>
      </c>
      <c r="E1315" s="4">
        <v>0</v>
      </c>
      <c r="F1315" s="5">
        <v>3.8066624897703196</v>
      </c>
      <c r="G1315" s="4">
        <v>4</v>
      </c>
    </row>
    <row r="1316" spans="1:7" x14ac:dyDescent="0.15">
      <c r="A1316" s="4">
        <v>1315</v>
      </c>
      <c r="B1316" s="4">
        <v>1</v>
      </c>
      <c r="D1316" s="5">
        <v>11.379394072345706</v>
      </c>
      <c r="E1316" s="4">
        <v>0</v>
      </c>
      <c r="F1316" s="5">
        <v>3.713572066704308</v>
      </c>
      <c r="G1316" s="4">
        <v>3</v>
      </c>
    </row>
    <row r="1317" spans="1:7" x14ac:dyDescent="0.15">
      <c r="A1317" s="4">
        <v>1316</v>
      </c>
      <c r="B1317" s="4">
        <v>0</v>
      </c>
      <c r="D1317" s="5">
        <v>10.221941283654663</v>
      </c>
      <c r="E1317" s="4">
        <v>1</v>
      </c>
      <c r="F1317" s="5">
        <v>4.3040650932041702</v>
      </c>
      <c r="G1317" s="4">
        <v>1</v>
      </c>
    </row>
    <row r="1318" spans="1:7" x14ac:dyDescent="0.15">
      <c r="A1318" s="4">
        <v>1317</v>
      </c>
      <c r="B1318" s="4">
        <v>0</v>
      </c>
      <c r="D1318" s="5">
        <v>11.082142548877775</v>
      </c>
      <c r="E1318" s="4">
        <v>0</v>
      </c>
      <c r="F1318" s="5">
        <v>3.9512437185814275</v>
      </c>
      <c r="G1318" s="4">
        <v>2</v>
      </c>
    </row>
    <row r="1319" spans="1:7" x14ac:dyDescent="0.15">
      <c r="A1319" s="4">
        <v>1318</v>
      </c>
      <c r="B1319" s="4">
        <v>0</v>
      </c>
      <c r="D1319" s="5">
        <v>10.388995368317829</v>
      </c>
      <c r="E1319" s="4">
        <v>1</v>
      </c>
      <c r="F1319" s="5">
        <v>3.6888794541139363</v>
      </c>
      <c r="G1319" s="4">
        <v>1</v>
      </c>
    </row>
    <row r="1320" spans="1:7" x14ac:dyDescent="0.15">
      <c r="A1320" s="4">
        <v>1319</v>
      </c>
      <c r="B1320" s="4">
        <v>0</v>
      </c>
      <c r="D1320" s="5">
        <v>11.119882876860622</v>
      </c>
      <c r="E1320" s="4">
        <v>1</v>
      </c>
      <c r="F1320" s="5">
        <v>3.713572066704308</v>
      </c>
      <c r="G1320" s="4">
        <v>5</v>
      </c>
    </row>
    <row r="1321" spans="1:7" x14ac:dyDescent="0.15">
      <c r="A1321" s="4">
        <v>1320</v>
      </c>
      <c r="B1321" s="4">
        <v>2</v>
      </c>
      <c r="D1321" s="5">
        <v>10.819778284410283</v>
      </c>
      <c r="E1321" s="4">
        <v>1</v>
      </c>
      <c r="F1321" s="5">
        <v>3.5263605246161616</v>
      </c>
      <c r="G1321" s="4">
        <v>6</v>
      </c>
    </row>
    <row r="1322" spans="1:7" x14ac:dyDescent="0.15">
      <c r="A1322" s="4">
        <v>1321</v>
      </c>
      <c r="B1322" s="4">
        <v>0</v>
      </c>
      <c r="D1322" s="5">
        <v>11.736069016284437</v>
      </c>
      <c r="E1322" s="4">
        <v>0</v>
      </c>
      <c r="F1322" s="5">
        <v>4.0430512678345503</v>
      </c>
      <c r="G1322" s="4">
        <v>2</v>
      </c>
    </row>
    <row r="1323" spans="1:7" x14ac:dyDescent="0.15">
      <c r="A1323" s="4">
        <v>1322</v>
      </c>
      <c r="B1323" s="4">
        <v>0</v>
      </c>
      <c r="D1323" s="5">
        <v>11.119882876860622</v>
      </c>
      <c r="E1323" s="4">
        <v>0</v>
      </c>
      <c r="F1323" s="5">
        <v>3.6375861597263857</v>
      </c>
      <c r="G1323" s="4">
        <v>5</v>
      </c>
    </row>
    <row r="1324" spans="1:7" x14ac:dyDescent="0.15">
      <c r="A1324" s="4">
        <v>1323</v>
      </c>
      <c r="B1324" s="4">
        <v>0</v>
      </c>
      <c r="D1324" s="5">
        <v>9.9034875525361272</v>
      </c>
      <c r="E1324" s="4">
        <v>0</v>
      </c>
      <c r="F1324" s="5">
        <v>2.8903717578961645</v>
      </c>
      <c r="G1324" s="4">
        <v>4</v>
      </c>
    </row>
    <row r="1325" spans="1:7" x14ac:dyDescent="0.15">
      <c r="A1325" s="4">
        <v>1324</v>
      </c>
      <c r="B1325" s="4">
        <v>0</v>
      </c>
      <c r="D1325" s="5">
        <v>11.379394072345706</v>
      </c>
      <c r="E1325" s="4">
        <v>1</v>
      </c>
      <c r="F1325" s="5">
        <v>3.2580965380214821</v>
      </c>
      <c r="G1325" s="4">
        <v>4</v>
      </c>
    </row>
    <row r="1326" spans="1:7" x14ac:dyDescent="0.15">
      <c r="A1326" s="4">
        <v>1325</v>
      </c>
      <c r="B1326" s="4">
        <v>0</v>
      </c>
      <c r="D1326" s="5">
        <v>11.379394072345706</v>
      </c>
      <c r="E1326" s="4">
        <v>0</v>
      </c>
      <c r="F1326" s="5">
        <v>3.3322045101752038</v>
      </c>
      <c r="G1326" s="4">
        <v>4</v>
      </c>
    </row>
    <row r="1327" spans="1:7" x14ac:dyDescent="0.15">
      <c r="A1327" s="4">
        <v>1326</v>
      </c>
      <c r="B1327" s="4">
        <v>0</v>
      </c>
      <c r="D1327" s="5">
        <v>10.308952660644293</v>
      </c>
      <c r="E1327" s="4">
        <v>1</v>
      </c>
      <c r="F1327" s="5">
        <v>4.0943445622221004</v>
      </c>
      <c r="G1327" s="4">
        <v>2</v>
      </c>
    </row>
    <row r="1328" spans="1:7" x14ac:dyDescent="0.15">
      <c r="A1328" s="4">
        <v>1327</v>
      </c>
      <c r="B1328" s="4">
        <v>0</v>
      </c>
      <c r="D1328" s="5">
        <v>10.308952660644293</v>
      </c>
      <c r="E1328" s="4">
        <v>1</v>
      </c>
      <c r="F1328" s="5">
        <v>3.3672958299864741</v>
      </c>
      <c r="G1328" s="4">
        <v>4</v>
      </c>
    </row>
    <row r="1329" spans="1:7" x14ac:dyDescent="0.15">
      <c r="A1329" s="4">
        <v>1328</v>
      </c>
      <c r="B1329" s="4">
        <v>0</v>
      </c>
      <c r="D1329" s="5">
        <v>10.819778284410283</v>
      </c>
      <c r="E1329" s="4">
        <v>1</v>
      </c>
      <c r="F1329" s="5">
        <v>3.4339872044851463</v>
      </c>
      <c r="G1329" s="4">
        <v>4</v>
      </c>
    </row>
    <row r="1330" spans="1:7" x14ac:dyDescent="0.15">
      <c r="A1330" s="4">
        <v>1329</v>
      </c>
      <c r="B1330" s="4">
        <v>2</v>
      </c>
      <c r="D1330" s="5">
        <v>11.191341840842766</v>
      </c>
      <c r="E1330" s="4">
        <v>1</v>
      </c>
      <c r="F1330" s="5">
        <v>4.0943445622221004</v>
      </c>
      <c r="G1330" s="4">
        <v>2</v>
      </c>
    </row>
    <row r="1331" spans="1:7" x14ac:dyDescent="0.15">
      <c r="A1331" s="4">
        <v>1330</v>
      </c>
      <c r="B1331" s="4">
        <v>0</v>
      </c>
      <c r="D1331" s="5">
        <v>10.308952660644293</v>
      </c>
      <c r="E1331" s="4">
        <v>1</v>
      </c>
      <c r="F1331" s="5">
        <v>2.6390573296152584</v>
      </c>
      <c r="G1331" s="4">
        <v>4</v>
      </c>
    </row>
    <row r="1332" spans="1:7" x14ac:dyDescent="0.15">
      <c r="A1332" s="4">
        <v>1331</v>
      </c>
      <c r="B1332" s="4">
        <v>1</v>
      </c>
      <c r="D1332" s="5">
        <v>11.918390573078392</v>
      </c>
      <c r="E1332" s="4">
        <v>1</v>
      </c>
      <c r="F1332" s="5">
        <v>3.6109179126442243</v>
      </c>
      <c r="G1332" s="4">
        <v>4</v>
      </c>
    </row>
    <row r="1333" spans="1:7" x14ac:dyDescent="0.15">
      <c r="A1333" s="4">
        <v>1332</v>
      </c>
      <c r="B1333" s="4">
        <v>0</v>
      </c>
      <c r="D1333" s="5">
        <v>11.918390573078392</v>
      </c>
      <c r="E1333" s="4">
        <v>0</v>
      </c>
      <c r="F1333" s="5">
        <v>2.3978952727983707</v>
      </c>
      <c r="G1333" s="4">
        <v>4</v>
      </c>
    </row>
    <row r="1334" spans="1:7" x14ac:dyDescent="0.15">
      <c r="A1334" s="4">
        <v>1333</v>
      </c>
      <c r="B1334" s="4">
        <v>5</v>
      </c>
      <c r="D1334" s="5">
        <v>10.308952660644293</v>
      </c>
      <c r="E1334" s="4">
        <v>1</v>
      </c>
      <c r="F1334" s="5">
        <v>3.3672958299864741</v>
      </c>
      <c r="G1334" s="4">
        <v>2</v>
      </c>
    </row>
    <row r="1335" spans="1:7" x14ac:dyDescent="0.15">
      <c r="A1335" s="4">
        <v>1334</v>
      </c>
      <c r="B1335" s="4">
        <v>0</v>
      </c>
      <c r="D1335" s="5">
        <v>11.379394072345706</v>
      </c>
      <c r="E1335" s="4">
        <v>1</v>
      </c>
      <c r="F1335" s="5">
        <v>3.9512437185814275</v>
      </c>
      <c r="G1335" s="4">
        <v>2</v>
      </c>
    </row>
    <row r="1336" spans="1:7" x14ac:dyDescent="0.15">
      <c r="A1336" s="4">
        <v>1335</v>
      </c>
      <c r="B1336" s="4">
        <v>0</v>
      </c>
      <c r="D1336" s="5">
        <v>11.119882876860622</v>
      </c>
      <c r="E1336" s="4">
        <v>1</v>
      </c>
      <c r="F1336" s="5">
        <v>3.8712010109078911</v>
      </c>
      <c r="G1336" s="4">
        <v>4</v>
      </c>
    </row>
    <row r="1337" spans="1:7" x14ac:dyDescent="0.15">
      <c r="A1337" s="4">
        <v>1336</v>
      </c>
      <c r="B1337" s="4">
        <v>0</v>
      </c>
      <c r="D1337" s="5">
        <v>11.736069016284437</v>
      </c>
      <c r="E1337" s="4">
        <v>1</v>
      </c>
      <c r="F1337" s="5">
        <v>3.9512437185814275</v>
      </c>
      <c r="G1337" s="4">
        <v>3</v>
      </c>
    </row>
    <row r="1338" spans="1:7" x14ac:dyDescent="0.15">
      <c r="A1338" s="4">
        <v>1337</v>
      </c>
      <c r="B1338" s="4">
        <v>1</v>
      </c>
      <c r="D1338" s="5">
        <v>10.221941283654663</v>
      </c>
      <c r="E1338" s="4">
        <v>1</v>
      </c>
      <c r="F1338" s="5">
        <v>3.8712010109078911</v>
      </c>
      <c r="G1338" s="4">
        <v>3</v>
      </c>
    </row>
    <row r="1339" spans="1:7" x14ac:dyDescent="0.15">
      <c r="A1339" s="4">
        <v>1338</v>
      </c>
      <c r="B1339" s="4">
        <v>5</v>
      </c>
      <c r="D1339" s="5">
        <v>11.379394072345706</v>
      </c>
      <c r="E1339" s="4">
        <v>1</v>
      </c>
      <c r="F1339" s="5">
        <v>3.7612001156935624</v>
      </c>
      <c r="G1339" s="4">
        <v>3</v>
      </c>
    </row>
    <row r="1340" spans="1:7" x14ac:dyDescent="0.15">
      <c r="A1340" s="4">
        <v>1339</v>
      </c>
      <c r="B1340" s="4">
        <v>1</v>
      </c>
      <c r="D1340" s="5">
        <v>11.736069016284437</v>
      </c>
      <c r="E1340" s="4">
        <v>1</v>
      </c>
      <c r="F1340" s="5">
        <v>3.9512437185814275</v>
      </c>
      <c r="G1340" s="4">
        <v>2</v>
      </c>
    </row>
    <row r="1341" spans="1:7" x14ac:dyDescent="0.15">
      <c r="A1341" s="4">
        <v>1340</v>
      </c>
      <c r="B1341" s="4">
        <v>0</v>
      </c>
      <c r="D1341" s="5">
        <v>10.532096211958502</v>
      </c>
      <c r="E1341" s="4">
        <v>0</v>
      </c>
      <c r="F1341" s="5">
        <v>3.4965075614664802</v>
      </c>
      <c r="G1341" s="4">
        <v>1</v>
      </c>
    </row>
    <row r="1342" spans="1:7" x14ac:dyDescent="0.15">
      <c r="A1342" s="4">
        <v>1341</v>
      </c>
      <c r="B1342" s="4">
        <v>0</v>
      </c>
      <c r="D1342" s="5">
        <v>11.379394072345706</v>
      </c>
      <c r="E1342" s="4">
        <v>1</v>
      </c>
      <c r="F1342" s="5">
        <v>2.7725887222397811</v>
      </c>
      <c r="G1342" s="4">
        <v>4</v>
      </c>
    </row>
    <row r="1343" spans="1:7" x14ac:dyDescent="0.15">
      <c r="A1343" s="4">
        <v>1342</v>
      </c>
      <c r="B1343" s="4">
        <v>0</v>
      </c>
      <c r="D1343" s="5">
        <v>11.379394072345706</v>
      </c>
      <c r="E1343" s="4">
        <v>0</v>
      </c>
      <c r="F1343" s="5">
        <v>3.912023005428146</v>
      </c>
      <c r="G1343" s="4">
        <v>4</v>
      </c>
    </row>
    <row r="1344" spans="1:7" x14ac:dyDescent="0.15">
      <c r="A1344" s="4">
        <v>1343</v>
      </c>
      <c r="B1344" s="4">
        <v>2</v>
      </c>
      <c r="D1344" s="5">
        <v>11.119882876860622</v>
      </c>
      <c r="E1344" s="4">
        <v>1</v>
      </c>
      <c r="F1344" s="5">
        <v>3.8918202981106265</v>
      </c>
      <c r="G1344" s="4">
        <v>2</v>
      </c>
    </row>
    <row r="1345" spans="1:7" x14ac:dyDescent="0.15">
      <c r="A1345" s="4">
        <v>1344</v>
      </c>
      <c r="B1345" s="4">
        <v>0</v>
      </c>
      <c r="D1345" s="5">
        <v>10.221941283654663</v>
      </c>
      <c r="E1345" s="4">
        <v>1</v>
      </c>
      <c r="F1345" s="5">
        <v>3.7612001156935624</v>
      </c>
      <c r="G1345" s="4">
        <v>1</v>
      </c>
    </row>
    <row r="1346" spans="1:7" x14ac:dyDescent="0.15">
      <c r="A1346" s="4">
        <v>1345</v>
      </c>
      <c r="B1346" s="4">
        <v>0</v>
      </c>
      <c r="D1346" s="5">
        <v>10.308952660644293</v>
      </c>
      <c r="E1346" s="4">
        <v>1</v>
      </c>
      <c r="F1346" s="5">
        <v>3.4011973816621555</v>
      </c>
      <c r="G1346" s="4">
        <v>2</v>
      </c>
    </row>
    <row r="1347" spans="1:7" x14ac:dyDescent="0.15">
      <c r="A1347" s="4">
        <v>1346</v>
      </c>
      <c r="B1347" s="4">
        <v>0</v>
      </c>
      <c r="D1347" s="5">
        <v>10.308952660644293</v>
      </c>
      <c r="E1347" s="4">
        <v>0</v>
      </c>
      <c r="F1347" s="5">
        <v>3.713572066704308</v>
      </c>
      <c r="G1347" s="4">
        <v>6</v>
      </c>
    </row>
    <row r="1348" spans="1:7" x14ac:dyDescent="0.15">
      <c r="A1348" s="4">
        <v>1347</v>
      </c>
      <c r="B1348" s="4">
        <v>8</v>
      </c>
      <c r="D1348" s="5">
        <v>11.082142548877775</v>
      </c>
      <c r="E1348" s="4">
        <v>1</v>
      </c>
      <c r="F1348" s="5">
        <v>3.8918202981106265</v>
      </c>
      <c r="G1348" s="4">
        <v>3</v>
      </c>
    </row>
    <row r="1349" spans="1:7" x14ac:dyDescent="0.15">
      <c r="A1349" s="4">
        <v>1348</v>
      </c>
      <c r="B1349" s="4">
        <v>0</v>
      </c>
      <c r="D1349" s="5">
        <v>9.9034875525361272</v>
      </c>
      <c r="E1349" s="4">
        <v>1</v>
      </c>
      <c r="F1349" s="5">
        <v>3.4011973816621555</v>
      </c>
      <c r="G1349" s="4">
        <v>5</v>
      </c>
    </row>
    <row r="1350" spans="1:7" x14ac:dyDescent="0.15">
      <c r="A1350" s="4">
        <v>1349</v>
      </c>
      <c r="B1350" s="4">
        <v>0</v>
      </c>
      <c r="D1350" s="5">
        <v>10.657259354912508</v>
      </c>
      <c r="E1350" s="4">
        <v>0</v>
      </c>
      <c r="F1350" s="5">
        <v>3.4657359027997265</v>
      </c>
      <c r="G1350" s="4">
        <v>2</v>
      </c>
    </row>
    <row r="1351" spans="1:7" x14ac:dyDescent="0.15">
      <c r="A1351" s="4">
        <v>1350</v>
      </c>
      <c r="B1351" s="4">
        <v>7</v>
      </c>
      <c r="D1351" s="5">
        <v>11.082142548877775</v>
      </c>
      <c r="E1351" s="4">
        <v>1</v>
      </c>
      <c r="F1351" s="5">
        <v>3.6888794541139363</v>
      </c>
      <c r="G1351" s="4">
        <v>4</v>
      </c>
    </row>
    <row r="1352" spans="1:7" x14ac:dyDescent="0.15">
      <c r="A1352" s="4">
        <v>1351</v>
      </c>
      <c r="B1352" s="4">
        <v>0</v>
      </c>
      <c r="D1352" s="5">
        <v>8.9226582995244019</v>
      </c>
      <c r="E1352" s="4">
        <v>1</v>
      </c>
      <c r="F1352" s="5">
        <v>3.4011973816621555</v>
      </c>
      <c r="G1352" s="4">
        <v>2</v>
      </c>
    </row>
    <row r="1353" spans="1:7" x14ac:dyDescent="0.15">
      <c r="A1353" s="4">
        <v>1352</v>
      </c>
      <c r="B1353" s="4">
        <v>0</v>
      </c>
      <c r="D1353" s="5">
        <v>11.379394072345706</v>
      </c>
      <c r="E1353" s="4">
        <v>0</v>
      </c>
      <c r="F1353" s="5">
        <v>3.8286413964890951</v>
      </c>
      <c r="G1353" s="4">
        <v>5</v>
      </c>
    </row>
    <row r="1354" spans="1:7" x14ac:dyDescent="0.15">
      <c r="A1354" s="4">
        <v>1353</v>
      </c>
      <c r="B1354" s="4">
        <v>0</v>
      </c>
      <c r="D1354" s="5">
        <v>10.308952660644293</v>
      </c>
      <c r="E1354" s="4">
        <v>1</v>
      </c>
      <c r="F1354" s="5">
        <v>3.6109179126442243</v>
      </c>
      <c r="G1354" s="4">
        <v>6</v>
      </c>
    </row>
    <row r="1355" spans="1:7" x14ac:dyDescent="0.15">
      <c r="A1355" s="4">
        <v>1354</v>
      </c>
      <c r="B1355" s="4">
        <v>0</v>
      </c>
      <c r="D1355" s="5">
        <v>10.308952660644293</v>
      </c>
      <c r="E1355" s="4">
        <v>1</v>
      </c>
      <c r="F1355" s="5">
        <v>2.7725887222397811</v>
      </c>
      <c r="G1355" s="4">
        <v>7</v>
      </c>
    </row>
    <row r="1356" spans="1:7" x14ac:dyDescent="0.15">
      <c r="A1356" s="4">
        <v>1355</v>
      </c>
      <c r="B1356" s="4">
        <v>0</v>
      </c>
      <c r="D1356" s="5">
        <v>10.308952660644293</v>
      </c>
      <c r="E1356" s="4">
        <v>1</v>
      </c>
      <c r="F1356" s="5">
        <v>3.6375861597263857</v>
      </c>
      <c r="G1356" s="4">
        <v>3</v>
      </c>
    </row>
    <row r="1357" spans="1:7" x14ac:dyDescent="0.15">
      <c r="A1357" s="4">
        <v>1356</v>
      </c>
      <c r="B1357" s="4">
        <v>0</v>
      </c>
      <c r="D1357" s="5">
        <v>10.308952660644293</v>
      </c>
      <c r="E1357" s="4">
        <v>1</v>
      </c>
      <c r="F1357" s="5">
        <v>2.7080502011022101</v>
      </c>
      <c r="G1357" s="4">
        <v>3</v>
      </c>
    </row>
    <row r="1358" spans="1:7" x14ac:dyDescent="0.15">
      <c r="A1358" s="4">
        <v>1357</v>
      </c>
      <c r="B1358" s="4">
        <v>0</v>
      </c>
      <c r="D1358" s="5">
        <v>11.736069016284437</v>
      </c>
      <c r="E1358" s="4">
        <v>1</v>
      </c>
      <c r="F1358" s="5">
        <v>2.9957322735539909</v>
      </c>
      <c r="G1358" s="4">
        <v>5</v>
      </c>
    </row>
    <row r="1359" spans="1:7" x14ac:dyDescent="0.15">
      <c r="A1359" s="4">
        <v>1358</v>
      </c>
      <c r="B1359" s="4">
        <v>0</v>
      </c>
      <c r="D1359" s="5">
        <v>10.915088464214607</v>
      </c>
      <c r="E1359" s="4">
        <v>1</v>
      </c>
      <c r="F1359" s="5">
        <v>3.6635616461296463</v>
      </c>
      <c r="G1359" s="4">
        <v>3</v>
      </c>
    </row>
    <row r="1360" spans="1:7" x14ac:dyDescent="0.15">
      <c r="A1360" s="4">
        <v>1359</v>
      </c>
      <c r="B1360" s="4">
        <v>0</v>
      </c>
      <c r="D1360" s="5">
        <v>11.119882876860622</v>
      </c>
      <c r="E1360" s="4">
        <v>1</v>
      </c>
      <c r="F1360" s="5">
        <v>3.8501476017100584</v>
      </c>
      <c r="G1360" s="4">
        <v>5</v>
      </c>
    </row>
    <row r="1361" spans="1:7" x14ac:dyDescent="0.15">
      <c r="A1361" s="4">
        <v>1360</v>
      </c>
      <c r="B1361" s="4">
        <v>0</v>
      </c>
      <c r="D1361" s="5">
        <v>11.082142548877775</v>
      </c>
      <c r="E1361" s="4">
        <v>1</v>
      </c>
      <c r="F1361" s="5">
        <v>3.912023005428146</v>
      </c>
      <c r="G1361" s="4">
        <v>4</v>
      </c>
    </row>
    <row r="1362" spans="1:7" x14ac:dyDescent="0.15">
      <c r="A1362" s="4">
        <v>1361</v>
      </c>
      <c r="B1362" s="4">
        <v>0</v>
      </c>
      <c r="D1362" s="5">
        <v>10.915088464214607</v>
      </c>
      <c r="E1362" s="4">
        <v>1</v>
      </c>
      <c r="F1362" s="5">
        <v>3.6375861597263857</v>
      </c>
      <c r="G1362" s="4">
        <v>3</v>
      </c>
    </row>
    <row r="1363" spans="1:7" x14ac:dyDescent="0.15">
      <c r="A1363" s="4">
        <v>1362</v>
      </c>
      <c r="B1363" s="4">
        <v>0</v>
      </c>
      <c r="D1363" s="5">
        <v>12.072541252905651</v>
      </c>
      <c r="E1363" s="4">
        <v>1</v>
      </c>
      <c r="F1363" s="5">
        <v>3.8918202981106265</v>
      </c>
      <c r="G1363" s="4">
        <v>4</v>
      </c>
    </row>
    <row r="1364" spans="1:7" x14ac:dyDescent="0.15">
      <c r="A1364" s="4">
        <v>1363</v>
      </c>
      <c r="B1364" s="4">
        <v>36</v>
      </c>
      <c r="D1364" s="5">
        <v>9.5287941030947181</v>
      </c>
      <c r="E1364" s="4">
        <v>1</v>
      </c>
      <c r="F1364" s="5">
        <v>3.6888794541139363</v>
      </c>
      <c r="G1364" s="4">
        <v>3</v>
      </c>
    </row>
    <row r="1365" spans="1:7" x14ac:dyDescent="0.15">
      <c r="A1365" s="4">
        <v>1364</v>
      </c>
      <c r="B1365" s="4">
        <v>11</v>
      </c>
      <c r="D1365" s="5">
        <v>11.736069016284437</v>
      </c>
      <c r="E1365" s="4">
        <v>1</v>
      </c>
      <c r="F1365" s="5">
        <v>3.4339872044851463</v>
      </c>
      <c r="G1365" s="4">
        <v>5</v>
      </c>
    </row>
    <row r="1366" spans="1:7" x14ac:dyDescent="0.15">
      <c r="A1366" s="4">
        <v>1365</v>
      </c>
      <c r="B1366" s="4">
        <v>0</v>
      </c>
      <c r="D1366" s="5">
        <v>10.308952660644293</v>
      </c>
      <c r="E1366" s="4">
        <v>1</v>
      </c>
      <c r="F1366" s="5">
        <v>2.7080502011022101</v>
      </c>
      <c r="G1366" s="4">
        <v>5</v>
      </c>
    </row>
    <row r="1367" spans="1:7" x14ac:dyDescent="0.15">
      <c r="A1367" s="4">
        <v>1366</v>
      </c>
      <c r="B1367" s="4">
        <v>1</v>
      </c>
      <c r="D1367" s="5">
        <v>11.736069016284437</v>
      </c>
      <c r="E1367" s="4">
        <v>0</v>
      </c>
      <c r="F1367" s="5">
        <v>2.9444389791664403</v>
      </c>
      <c r="G1367" s="4">
        <v>4</v>
      </c>
    </row>
    <row r="1368" spans="1:7" x14ac:dyDescent="0.15">
      <c r="A1368" s="4">
        <v>1367</v>
      </c>
      <c r="B1368" s="4">
        <v>0</v>
      </c>
      <c r="D1368" s="5">
        <v>11.191341840842766</v>
      </c>
      <c r="E1368" s="4">
        <v>1</v>
      </c>
      <c r="F1368" s="5">
        <v>3.6888794541139363</v>
      </c>
      <c r="G1368" s="4">
        <v>4</v>
      </c>
    </row>
    <row r="1369" spans="1:7" x14ac:dyDescent="0.15">
      <c r="A1369" s="4">
        <v>1368</v>
      </c>
      <c r="B1369" s="4">
        <v>1</v>
      </c>
      <c r="D1369" s="5">
        <v>11.191341840842766</v>
      </c>
      <c r="E1369" s="4">
        <v>1</v>
      </c>
      <c r="F1369" s="5">
        <v>2.7080502011022101</v>
      </c>
      <c r="G1369" s="4">
        <v>4</v>
      </c>
    </row>
    <row r="1370" spans="1:7" x14ac:dyDescent="0.15">
      <c r="A1370" s="4">
        <v>1369</v>
      </c>
      <c r="B1370" s="4">
        <v>0</v>
      </c>
      <c r="D1370" s="5">
        <v>11.379394072345706</v>
      </c>
      <c r="E1370" s="4">
        <v>1</v>
      </c>
      <c r="F1370" s="5">
        <v>4.0073331852324712</v>
      </c>
      <c r="G1370" s="4">
        <v>2</v>
      </c>
    </row>
    <row r="1371" spans="1:7" x14ac:dyDescent="0.15">
      <c r="A1371" s="4">
        <v>1370</v>
      </c>
      <c r="B1371" s="4">
        <v>0</v>
      </c>
      <c r="D1371" s="5">
        <v>10.768484990022733</v>
      </c>
      <c r="E1371" s="4">
        <v>0</v>
      </c>
      <c r="F1371" s="5">
        <v>3.7376696182833684</v>
      </c>
      <c r="G1371" s="4">
        <v>3</v>
      </c>
    </row>
    <row r="1372" spans="1:7" x14ac:dyDescent="0.15">
      <c r="A1372" s="4">
        <v>1371</v>
      </c>
      <c r="B1372" s="4">
        <v>0</v>
      </c>
      <c r="D1372" s="5">
        <v>11.736069016284437</v>
      </c>
      <c r="E1372" s="4">
        <v>0</v>
      </c>
      <c r="F1372" s="5">
        <v>4.0253516907351496</v>
      </c>
      <c r="G1372" s="4">
        <v>4</v>
      </c>
    </row>
    <row r="1373" spans="1:7" x14ac:dyDescent="0.15">
      <c r="A1373" s="4">
        <v>1372</v>
      </c>
      <c r="B1373" s="4">
        <v>0</v>
      </c>
      <c r="D1373" s="5">
        <v>11.379394072345706</v>
      </c>
      <c r="E1373" s="4">
        <v>1</v>
      </c>
      <c r="F1373" s="5">
        <v>3.912023005428146</v>
      </c>
      <c r="G1373" s="4">
        <v>5</v>
      </c>
    </row>
    <row r="1374" spans="1:7" x14ac:dyDescent="0.15">
      <c r="A1374" s="4">
        <v>1373</v>
      </c>
      <c r="B1374" s="4">
        <v>1</v>
      </c>
      <c r="D1374" s="5">
        <v>11.191341840842766</v>
      </c>
      <c r="E1374" s="4">
        <v>0</v>
      </c>
      <c r="F1374" s="5">
        <v>4.0775374439057197</v>
      </c>
      <c r="G1374" s="4">
        <v>2</v>
      </c>
    </row>
    <row r="1375" spans="1:7" x14ac:dyDescent="0.15">
      <c r="A1375" s="4">
        <v>1374</v>
      </c>
      <c r="B1375" s="4">
        <v>1</v>
      </c>
      <c r="D1375" s="5">
        <v>10.388995368317829</v>
      </c>
      <c r="E1375" s="4">
        <v>1</v>
      </c>
      <c r="F1375" s="5">
        <v>3.6375861597263857</v>
      </c>
      <c r="G1375" s="4">
        <v>1</v>
      </c>
    </row>
    <row r="1376" spans="1:7" x14ac:dyDescent="0.15">
      <c r="A1376" s="4">
        <v>1375</v>
      </c>
      <c r="B1376" s="4">
        <v>2</v>
      </c>
      <c r="D1376" s="5">
        <v>10.915088464214607</v>
      </c>
      <c r="E1376" s="4">
        <v>1</v>
      </c>
      <c r="F1376" s="5">
        <v>3.8918202981106265</v>
      </c>
      <c r="G1376" s="4">
        <v>2</v>
      </c>
    </row>
    <row r="1377" spans="1:7" x14ac:dyDescent="0.15">
      <c r="A1377" s="4">
        <v>1376</v>
      </c>
      <c r="B1377" s="4">
        <v>0</v>
      </c>
      <c r="D1377" s="5">
        <v>10.915088464214607</v>
      </c>
      <c r="E1377" s="4">
        <v>0</v>
      </c>
      <c r="F1377" s="5">
        <v>3.8918202981106265</v>
      </c>
      <c r="G1377" s="4">
        <v>2</v>
      </c>
    </row>
    <row r="1378" spans="1:7" x14ac:dyDescent="0.15">
      <c r="A1378" s="4">
        <v>1377</v>
      </c>
      <c r="B1378" s="4">
        <v>0</v>
      </c>
      <c r="D1378" s="5">
        <v>10.657259354912508</v>
      </c>
      <c r="E1378" s="4">
        <v>0</v>
      </c>
      <c r="F1378" s="5">
        <v>3.8286413964890951</v>
      </c>
      <c r="G1378" s="4">
        <v>4</v>
      </c>
    </row>
    <row r="1379" spans="1:7" x14ac:dyDescent="0.15">
      <c r="A1379" s="4">
        <v>1378</v>
      </c>
      <c r="B1379" s="4">
        <v>0</v>
      </c>
      <c r="D1379" s="5">
        <v>11.379394072345706</v>
      </c>
      <c r="E1379" s="4">
        <v>0</v>
      </c>
      <c r="F1379" s="5">
        <v>2.8332133440562162</v>
      </c>
      <c r="G1379" s="4">
        <v>4</v>
      </c>
    </row>
    <row r="1380" spans="1:7" x14ac:dyDescent="0.15">
      <c r="A1380" s="4">
        <v>1379</v>
      </c>
      <c r="B1380" s="4">
        <v>0</v>
      </c>
      <c r="D1380" s="5">
        <v>9.3281234076325656</v>
      </c>
      <c r="E1380" s="4">
        <v>1</v>
      </c>
      <c r="F1380" s="5">
        <v>3.8918202981106265</v>
      </c>
      <c r="G1380" s="4">
        <v>4</v>
      </c>
    </row>
    <row r="1381" spans="1:7" x14ac:dyDescent="0.15">
      <c r="A1381" s="4">
        <v>1380</v>
      </c>
      <c r="B1381" s="4">
        <v>0</v>
      </c>
      <c r="D1381" s="5">
        <v>12.072541252905651</v>
      </c>
      <c r="E1381" s="4">
        <v>1</v>
      </c>
      <c r="F1381" s="5">
        <v>3.7612001156935624</v>
      </c>
      <c r="G1381" s="4">
        <v>4</v>
      </c>
    </row>
    <row r="1382" spans="1:7" x14ac:dyDescent="0.15">
      <c r="A1382" s="4">
        <v>1381</v>
      </c>
      <c r="B1382" s="4">
        <v>0</v>
      </c>
      <c r="D1382" s="5">
        <v>11.736069016284437</v>
      </c>
      <c r="E1382" s="4">
        <v>1</v>
      </c>
      <c r="F1382" s="5">
        <v>3.5835189384561099</v>
      </c>
      <c r="G1382" s="4">
        <v>2</v>
      </c>
    </row>
    <row r="1383" spans="1:7" x14ac:dyDescent="0.15">
      <c r="A1383" s="4">
        <v>1382</v>
      </c>
      <c r="B1383" s="4">
        <v>5</v>
      </c>
      <c r="D1383" s="5">
        <v>11.736069016284437</v>
      </c>
      <c r="E1383" s="4">
        <v>1</v>
      </c>
      <c r="F1383" s="5">
        <v>3.7376696182833684</v>
      </c>
      <c r="G1383" s="4">
        <v>2</v>
      </c>
    </row>
    <row r="1384" spans="1:7" x14ac:dyDescent="0.15">
      <c r="A1384" s="4">
        <v>1383</v>
      </c>
      <c r="B1384" s="4">
        <v>0</v>
      </c>
      <c r="D1384" s="5">
        <v>10.657259354912508</v>
      </c>
      <c r="E1384" s="4">
        <v>1</v>
      </c>
      <c r="F1384" s="5">
        <v>3.784189633918261</v>
      </c>
      <c r="G1384" s="4">
        <v>3</v>
      </c>
    </row>
    <row r="1385" spans="1:7" x14ac:dyDescent="0.15">
      <c r="A1385" s="4">
        <v>1384</v>
      </c>
      <c r="B1385" s="4">
        <v>0</v>
      </c>
      <c r="D1385" s="5">
        <v>11.191341840842766</v>
      </c>
      <c r="E1385" s="4">
        <v>1</v>
      </c>
      <c r="F1385" s="5">
        <v>3.8286413964890951</v>
      </c>
      <c r="G1385" s="4">
        <v>1</v>
      </c>
    </row>
    <row r="1386" spans="1:7" x14ac:dyDescent="0.15">
      <c r="A1386" s="4">
        <v>1385</v>
      </c>
      <c r="B1386" s="4">
        <v>1</v>
      </c>
      <c r="D1386" s="5">
        <v>11.379394072345706</v>
      </c>
      <c r="E1386" s="4">
        <v>0</v>
      </c>
      <c r="F1386" s="5">
        <v>3.3322045101752038</v>
      </c>
      <c r="G1386" s="4">
        <v>1</v>
      </c>
    </row>
    <row r="1387" spans="1:7" x14ac:dyDescent="0.15">
      <c r="A1387" s="4">
        <v>1386</v>
      </c>
      <c r="B1387" s="4">
        <v>0</v>
      </c>
      <c r="D1387" s="5">
        <v>10.388995368317829</v>
      </c>
      <c r="E1387" s="4">
        <v>1</v>
      </c>
      <c r="F1387" s="5">
        <v>3.4965075614664802</v>
      </c>
      <c r="G1387" s="4">
        <v>4</v>
      </c>
    </row>
    <row r="1388" spans="1:7" x14ac:dyDescent="0.15">
      <c r="A1388" s="4">
        <v>1387</v>
      </c>
      <c r="B1388" s="4">
        <v>0</v>
      </c>
      <c r="D1388" s="5">
        <v>10.388995368317829</v>
      </c>
      <c r="E1388" s="4">
        <v>0</v>
      </c>
      <c r="F1388" s="5">
        <v>3.5553480614894135</v>
      </c>
      <c r="G1388" s="4">
        <v>4</v>
      </c>
    </row>
    <row r="1389" spans="1:7" x14ac:dyDescent="0.15">
      <c r="A1389" s="4">
        <v>1388</v>
      </c>
      <c r="B1389" s="4">
        <v>1</v>
      </c>
      <c r="D1389" s="5">
        <v>11.379394072345706</v>
      </c>
      <c r="E1389" s="4">
        <v>1</v>
      </c>
      <c r="F1389" s="5">
        <v>4.0430512678345503</v>
      </c>
      <c r="G1389" s="4">
        <v>2</v>
      </c>
    </row>
    <row r="1390" spans="1:7" x14ac:dyDescent="0.15">
      <c r="A1390" s="4">
        <v>1389</v>
      </c>
      <c r="B1390" s="4">
        <v>9</v>
      </c>
      <c r="D1390" s="5">
        <v>11.191341840842766</v>
      </c>
      <c r="E1390" s="4">
        <v>0</v>
      </c>
      <c r="F1390" s="5">
        <v>3.7376696182833684</v>
      </c>
      <c r="G1390" s="4">
        <v>3</v>
      </c>
    </row>
    <row r="1391" spans="1:7" x14ac:dyDescent="0.15">
      <c r="A1391" s="4">
        <v>1390</v>
      </c>
      <c r="B1391" s="4">
        <v>0</v>
      </c>
      <c r="D1391" s="5">
        <v>10.768484990022733</v>
      </c>
      <c r="E1391" s="4">
        <v>0</v>
      </c>
      <c r="F1391" s="5">
        <v>3.8286413964890951</v>
      </c>
      <c r="G1391" s="4">
        <v>4</v>
      </c>
    </row>
    <row r="1392" spans="1:7" x14ac:dyDescent="0.15">
      <c r="A1392" s="4">
        <v>1391</v>
      </c>
      <c r="B1392" s="4">
        <v>0</v>
      </c>
      <c r="D1392" s="5">
        <v>10.915088464214607</v>
      </c>
      <c r="E1392" s="4">
        <v>1</v>
      </c>
      <c r="F1392" s="5">
        <v>3.3672958299864741</v>
      </c>
      <c r="G1392" s="4">
        <v>4</v>
      </c>
    </row>
    <row r="1393" spans="1:7" x14ac:dyDescent="0.15">
      <c r="A1393" s="4">
        <v>1392</v>
      </c>
      <c r="B1393" s="4">
        <v>0</v>
      </c>
      <c r="D1393" s="5">
        <v>11.191341840842766</v>
      </c>
      <c r="E1393" s="4">
        <v>1</v>
      </c>
      <c r="F1393" s="5">
        <v>3.6375861597263857</v>
      </c>
      <c r="G1393" s="4">
        <v>6</v>
      </c>
    </row>
    <row r="1394" spans="1:7" x14ac:dyDescent="0.15">
      <c r="A1394" s="4">
        <v>1393</v>
      </c>
      <c r="B1394" s="4">
        <v>0</v>
      </c>
      <c r="D1394" s="5">
        <v>10.915088464214607</v>
      </c>
      <c r="E1394" s="4">
        <v>0</v>
      </c>
      <c r="F1394" s="5">
        <v>4.0253516907351496</v>
      </c>
      <c r="G1394" s="4">
        <v>2</v>
      </c>
    </row>
    <row r="1395" spans="1:7" x14ac:dyDescent="0.15">
      <c r="A1395" s="4">
        <v>1394</v>
      </c>
      <c r="B1395" s="4">
        <v>0</v>
      </c>
      <c r="D1395" s="5">
        <v>11.191341840842766</v>
      </c>
      <c r="E1395" s="4">
        <v>1</v>
      </c>
      <c r="F1395" s="5">
        <v>3.9512437185814275</v>
      </c>
      <c r="G1395" s="4">
        <v>2</v>
      </c>
    </row>
    <row r="1396" spans="1:7" x14ac:dyDescent="0.15">
      <c r="A1396" s="4">
        <v>1395</v>
      </c>
      <c r="B1396" s="4">
        <v>8</v>
      </c>
      <c r="D1396" s="5">
        <v>10.915088464214607</v>
      </c>
      <c r="E1396" s="4">
        <v>0</v>
      </c>
      <c r="F1396" s="5">
        <v>2.8903717578961645</v>
      </c>
      <c r="G1396" s="4">
        <v>4</v>
      </c>
    </row>
    <row r="1397" spans="1:7" x14ac:dyDescent="0.15">
      <c r="A1397" s="4">
        <v>1396</v>
      </c>
      <c r="B1397" s="4">
        <v>0</v>
      </c>
      <c r="D1397" s="5">
        <v>11.736069016284437</v>
      </c>
      <c r="E1397" s="4">
        <v>1</v>
      </c>
      <c r="F1397" s="5">
        <v>2.7080502011022101</v>
      </c>
      <c r="G1397" s="4">
        <v>3</v>
      </c>
    </row>
    <row r="1398" spans="1:7" x14ac:dyDescent="0.15">
      <c r="A1398" s="4">
        <v>1397</v>
      </c>
      <c r="B1398" s="4">
        <v>1</v>
      </c>
      <c r="D1398" s="5">
        <v>11.736069016284437</v>
      </c>
      <c r="E1398" s="4">
        <v>0</v>
      </c>
      <c r="F1398" s="5">
        <v>4.0430512678345503</v>
      </c>
      <c r="G1398" s="4">
        <v>4</v>
      </c>
    </row>
    <row r="1399" spans="1:7" x14ac:dyDescent="0.15">
      <c r="A1399" s="4">
        <v>1398</v>
      </c>
      <c r="B1399" s="4">
        <v>0</v>
      </c>
      <c r="D1399" s="5">
        <v>10.532096211958502</v>
      </c>
      <c r="E1399" s="4">
        <v>1</v>
      </c>
      <c r="F1399" s="5">
        <v>2.8332133440562162</v>
      </c>
      <c r="G1399" s="4">
        <v>4</v>
      </c>
    </row>
    <row r="1400" spans="1:7" x14ac:dyDescent="0.15">
      <c r="A1400" s="4">
        <v>1399</v>
      </c>
      <c r="B1400" s="4">
        <v>2</v>
      </c>
      <c r="D1400" s="5">
        <v>12.072541252905651</v>
      </c>
      <c r="E1400" s="4">
        <v>0</v>
      </c>
      <c r="F1400" s="5">
        <v>3.784189633918261</v>
      </c>
      <c r="G1400" s="4">
        <v>4</v>
      </c>
    </row>
    <row r="1401" spans="1:7" x14ac:dyDescent="0.15">
      <c r="A1401" s="4">
        <v>1400</v>
      </c>
      <c r="B1401" s="4">
        <v>0</v>
      </c>
      <c r="D1401" s="5">
        <v>11.191341840842766</v>
      </c>
      <c r="E1401" s="4">
        <v>0</v>
      </c>
      <c r="F1401" s="5">
        <v>3.970291913552122</v>
      </c>
      <c r="G1401" s="4">
        <v>4</v>
      </c>
    </row>
    <row r="1402" spans="1:7" x14ac:dyDescent="0.15">
      <c r="A1402" s="4">
        <v>1401</v>
      </c>
      <c r="B1402" s="4">
        <v>22</v>
      </c>
      <c r="D1402" s="5">
        <v>11.379394072345706</v>
      </c>
      <c r="E1402" s="4">
        <v>0</v>
      </c>
      <c r="F1402" s="5">
        <v>3.5553480614894135</v>
      </c>
      <c r="G1402" s="4">
        <v>2</v>
      </c>
    </row>
    <row r="1403" spans="1:7" x14ac:dyDescent="0.15">
      <c r="A1403" s="4">
        <v>1402</v>
      </c>
      <c r="B1403" s="4">
        <v>0</v>
      </c>
      <c r="D1403" s="5">
        <v>11.379394072345706</v>
      </c>
      <c r="E1403" s="4">
        <v>1</v>
      </c>
      <c r="F1403" s="5">
        <v>3.3672958299864741</v>
      </c>
      <c r="G1403" s="4">
        <v>2</v>
      </c>
    </row>
    <row r="1404" spans="1:7" x14ac:dyDescent="0.15">
      <c r="A1404" s="4">
        <v>1403</v>
      </c>
      <c r="B1404" s="4">
        <v>0</v>
      </c>
      <c r="D1404" s="5">
        <v>10.021270588192511</v>
      </c>
      <c r="E1404" s="4">
        <v>1</v>
      </c>
      <c r="F1404" s="5">
        <v>3.3322045101752038</v>
      </c>
      <c r="G1404" s="4">
        <v>2</v>
      </c>
    </row>
    <row r="1405" spans="1:7" x14ac:dyDescent="0.15">
      <c r="A1405" s="4">
        <v>1404</v>
      </c>
      <c r="B1405" s="4">
        <v>0</v>
      </c>
      <c r="D1405" s="5">
        <v>11.082142548877775</v>
      </c>
      <c r="E1405" s="4">
        <v>0</v>
      </c>
      <c r="F1405" s="5">
        <v>2.7080502011022101</v>
      </c>
      <c r="G1405" s="4">
        <v>2</v>
      </c>
    </row>
    <row r="1406" spans="1:7" x14ac:dyDescent="0.15">
      <c r="A1406" s="4">
        <v>1405</v>
      </c>
      <c r="B1406" s="4">
        <v>0</v>
      </c>
      <c r="D1406" s="5">
        <v>10.021270588192511</v>
      </c>
      <c r="E1406" s="4">
        <v>1</v>
      </c>
      <c r="F1406" s="5">
        <v>4.1743872698956368</v>
      </c>
      <c r="G1406" s="4">
        <v>2</v>
      </c>
    </row>
    <row r="1407" spans="1:7" x14ac:dyDescent="0.15">
      <c r="A1407" s="4">
        <v>1406</v>
      </c>
      <c r="B1407" s="4">
        <v>0</v>
      </c>
      <c r="D1407" s="5">
        <v>12.206072645530174</v>
      </c>
      <c r="E1407" s="4">
        <v>1</v>
      </c>
      <c r="F1407" s="5">
        <v>4.1431347263915326</v>
      </c>
      <c r="G1407" s="4">
        <v>7</v>
      </c>
    </row>
    <row r="1408" spans="1:7" x14ac:dyDescent="0.15">
      <c r="A1408" s="4">
        <v>1407</v>
      </c>
      <c r="B1408" s="4">
        <v>0</v>
      </c>
      <c r="D1408" s="5">
        <v>10.388995368317829</v>
      </c>
      <c r="E1408" s="4">
        <v>1</v>
      </c>
      <c r="F1408" s="5">
        <v>3.6888794541139363</v>
      </c>
      <c r="G1408" s="4">
        <v>1</v>
      </c>
    </row>
    <row r="1409" spans="1:7" x14ac:dyDescent="0.15">
      <c r="A1409" s="4">
        <v>1408</v>
      </c>
      <c r="B1409" s="4">
        <v>0</v>
      </c>
      <c r="D1409" s="5">
        <v>11.082142548877775</v>
      </c>
      <c r="E1409" s="4">
        <v>1</v>
      </c>
      <c r="F1409" s="5">
        <v>3.8712010109078911</v>
      </c>
      <c r="G1409" s="4">
        <v>2</v>
      </c>
    </row>
    <row r="1410" spans="1:7" x14ac:dyDescent="0.15">
      <c r="A1410" s="4">
        <v>1409</v>
      </c>
      <c r="B1410" s="4">
        <v>0</v>
      </c>
      <c r="D1410" s="5">
        <v>11.082142548877775</v>
      </c>
      <c r="E1410" s="4">
        <v>1</v>
      </c>
      <c r="F1410" s="5">
        <v>3.6375861597263857</v>
      </c>
      <c r="G1410" s="4">
        <v>3</v>
      </c>
    </row>
    <row r="1411" spans="1:7" x14ac:dyDescent="0.15">
      <c r="A1411" s="4">
        <v>1410</v>
      </c>
      <c r="B1411" s="4">
        <v>0</v>
      </c>
      <c r="D1411" s="5">
        <v>11.379394072345706</v>
      </c>
      <c r="E1411" s="4">
        <v>0</v>
      </c>
      <c r="F1411" s="5">
        <v>4.0604430105464191</v>
      </c>
      <c r="G1411" s="4">
        <v>6</v>
      </c>
    </row>
    <row r="1412" spans="1:7" x14ac:dyDescent="0.15">
      <c r="A1412" s="4">
        <v>1411</v>
      </c>
      <c r="B1412" s="4">
        <v>0</v>
      </c>
      <c r="D1412" s="5">
        <v>11.082142548877775</v>
      </c>
      <c r="E1412" s="4">
        <v>0</v>
      </c>
      <c r="F1412" s="5">
        <v>3.9318256327243257</v>
      </c>
      <c r="G1412" s="4">
        <v>3</v>
      </c>
    </row>
    <row r="1413" spans="1:7" x14ac:dyDescent="0.15">
      <c r="A1413" s="4">
        <v>1412</v>
      </c>
      <c r="B1413" s="4">
        <v>0</v>
      </c>
      <c r="D1413" s="5">
        <v>11.736069016284437</v>
      </c>
      <c r="E1413" s="4">
        <v>1</v>
      </c>
      <c r="F1413" s="5">
        <v>3.8066624897703196</v>
      </c>
      <c r="G1413" s="4">
        <v>3</v>
      </c>
    </row>
    <row r="1414" spans="1:7" x14ac:dyDescent="0.15">
      <c r="A1414" s="4">
        <v>1413</v>
      </c>
      <c r="B1414" s="4">
        <v>0</v>
      </c>
      <c r="D1414" s="5">
        <v>10.532096211958502</v>
      </c>
      <c r="E1414" s="4">
        <v>1</v>
      </c>
      <c r="F1414" s="5">
        <v>3.4965075614664802</v>
      </c>
      <c r="G1414" s="4">
        <v>3</v>
      </c>
    </row>
    <row r="1415" spans="1:7" x14ac:dyDescent="0.15">
      <c r="A1415" s="4">
        <v>1414</v>
      </c>
      <c r="B1415" s="4">
        <v>2</v>
      </c>
      <c r="D1415" s="5">
        <v>11.379394072345706</v>
      </c>
      <c r="E1415" s="4">
        <v>1</v>
      </c>
      <c r="F1415" s="5">
        <v>3.4657359027997265</v>
      </c>
      <c r="G1415" s="4">
        <v>4</v>
      </c>
    </row>
    <row r="1416" spans="1:7" x14ac:dyDescent="0.15">
      <c r="A1416" s="4">
        <v>1415</v>
      </c>
      <c r="B1416" s="4">
        <v>1</v>
      </c>
      <c r="D1416" s="5">
        <v>11.379394072345706</v>
      </c>
      <c r="E1416" s="4">
        <v>0</v>
      </c>
      <c r="F1416" s="5">
        <v>3.4657359027997265</v>
      </c>
      <c r="G1416" s="4">
        <v>4</v>
      </c>
    </row>
    <row r="1417" spans="1:7" x14ac:dyDescent="0.15">
      <c r="A1417" s="4">
        <v>1416</v>
      </c>
      <c r="B1417" s="4">
        <v>1</v>
      </c>
      <c r="D1417" s="5">
        <v>11.379394072345706</v>
      </c>
      <c r="E1417" s="4">
        <v>1</v>
      </c>
      <c r="F1417" s="5">
        <v>3.6635616461296463</v>
      </c>
      <c r="G1417" s="4">
        <v>2</v>
      </c>
    </row>
    <row r="1418" spans="1:7" x14ac:dyDescent="0.15">
      <c r="A1418" s="4">
        <v>1417</v>
      </c>
      <c r="B1418" s="4">
        <v>0</v>
      </c>
      <c r="D1418" s="5">
        <v>10.915088464214607</v>
      </c>
      <c r="E1418" s="4">
        <v>1</v>
      </c>
      <c r="F1418" s="5">
        <v>3.8918202981106265</v>
      </c>
      <c r="G1418" s="4">
        <v>2</v>
      </c>
    </row>
    <row r="1419" spans="1:7" x14ac:dyDescent="0.15">
      <c r="A1419" s="4">
        <v>1418</v>
      </c>
      <c r="B1419" s="4">
        <v>0</v>
      </c>
      <c r="D1419" s="5">
        <v>10.915088464214607</v>
      </c>
      <c r="E1419" s="4">
        <v>1</v>
      </c>
      <c r="F1419" s="5">
        <v>3.8286413964890951</v>
      </c>
      <c r="G1419" s="4">
        <v>4</v>
      </c>
    </row>
    <row r="1420" spans="1:7" x14ac:dyDescent="0.15">
      <c r="A1420" s="4">
        <v>1419</v>
      </c>
      <c r="B1420" s="4">
        <v>0</v>
      </c>
      <c r="D1420" s="5">
        <v>9.7699561599116063</v>
      </c>
      <c r="E1420" s="4">
        <v>1</v>
      </c>
      <c r="F1420" s="5">
        <v>3.1780538303479458</v>
      </c>
      <c r="G1420" s="4">
        <v>4</v>
      </c>
    </row>
    <row r="1421" spans="1:7" x14ac:dyDescent="0.15">
      <c r="A1421" s="4">
        <v>1420</v>
      </c>
      <c r="B1421" s="4">
        <v>0</v>
      </c>
      <c r="D1421" s="5">
        <v>10.915088464214607</v>
      </c>
      <c r="E1421" s="4">
        <v>0</v>
      </c>
      <c r="F1421" s="5">
        <v>3.3672958299864741</v>
      </c>
      <c r="G1421" s="4">
        <v>4</v>
      </c>
    </row>
    <row r="1422" spans="1:7" x14ac:dyDescent="0.15">
      <c r="A1422" s="4">
        <v>1421</v>
      </c>
      <c r="B1422" s="4">
        <v>1</v>
      </c>
      <c r="D1422" s="5">
        <v>11.082142548877775</v>
      </c>
      <c r="E1422" s="4">
        <v>1</v>
      </c>
      <c r="F1422" s="5">
        <v>4.0253516907351496</v>
      </c>
      <c r="G1422" s="4">
        <v>2</v>
      </c>
    </row>
    <row r="1423" spans="1:7" x14ac:dyDescent="0.15">
      <c r="A1423" s="4">
        <v>1422</v>
      </c>
      <c r="B1423" s="4">
        <v>5</v>
      </c>
      <c r="D1423" s="5">
        <v>11.191341840842766</v>
      </c>
      <c r="E1423" s="4">
        <v>1</v>
      </c>
      <c r="F1423" s="5">
        <v>4.0073331852324712</v>
      </c>
      <c r="G1423" s="4">
        <v>3</v>
      </c>
    </row>
    <row r="1424" spans="1:7" x14ac:dyDescent="0.15">
      <c r="A1424" s="4">
        <v>1423</v>
      </c>
      <c r="B1424" s="4">
        <v>0</v>
      </c>
      <c r="D1424" s="5">
        <v>11.379394072345706</v>
      </c>
      <c r="E1424" s="4">
        <v>1</v>
      </c>
      <c r="F1424" s="5">
        <v>3.912023005428146</v>
      </c>
      <c r="G1424" s="4">
        <v>4</v>
      </c>
    </row>
    <row r="1425" spans="1:7" x14ac:dyDescent="0.15">
      <c r="A1425" s="4">
        <v>1424</v>
      </c>
      <c r="B1425" s="4">
        <v>0</v>
      </c>
      <c r="D1425" s="5">
        <v>11.379394072345706</v>
      </c>
      <c r="E1425" s="4">
        <v>1</v>
      </c>
      <c r="F1425" s="5">
        <v>2.9444389791664403</v>
      </c>
      <c r="G1425" s="4">
        <v>4</v>
      </c>
    </row>
    <row r="1426" spans="1:7" x14ac:dyDescent="0.15">
      <c r="A1426" s="4">
        <v>1425</v>
      </c>
      <c r="B1426" s="4">
        <v>0</v>
      </c>
      <c r="D1426" s="5">
        <v>11.379394072345706</v>
      </c>
      <c r="E1426" s="4">
        <v>1</v>
      </c>
      <c r="F1426" s="5">
        <v>2.9444389791664403</v>
      </c>
      <c r="G1426" s="4">
        <v>4</v>
      </c>
    </row>
    <row r="1427" spans="1:7" x14ac:dyDescent="0.15">
      <c r="A1427" s="4">
        <v>1426</v>
      </c>
      <c r="B1427" s="4">
        <v>0</v>
      </c>
      <c r="D1427" s="5">
        <v>11.379394072345706</v>
      </c>
      <c r="E1427" s="4">
        <v>0</v>
      </c>
      <c r="F1427" s="5">
        <v>4.0253516907351496</v>
      </c>
      <c r="G1427" s="4">
        <v>4</v>
      </c>
    </row>
    <row r="1428" spans="1:7" x14ac:dyDescent="0.15">
      <c r="A1428" s="4">
        <v>1427</v>
      </c>
      <c r="B1428" s="4">
        <v>0</v>
      </c>
      <c r="D1428" s="5">
        <v>11.736069016284437</v>
      </c>
      <c r="E1428" s="4">
        <v>1</v>
      </c>
      <c r="F1428" s="5">
        <v>3.9512437185814275</v>
      </c>
      <c r="G1428" s="4">
        <v>2</v>
      </c>
    </row>
    <row r="1429" spans="1:7" x14ac:dyDescent="0.15">
      <c r="A1429" s="4">
        <v>1428</v>
      </c>
      <c r="B1429" s="4">
        <v>0</v>
      </c>
      <c r="D1429" s="5">
        <v>11.736069016284437</v>
      </c>
      <c r="E1429" s="4">
        <v>1</v>
      </c>
      <c r="F1429" s="5">
        <v>3.5553480614894135</v>
      </c>
      <c r="G1429" s="4">
        <v>4</v>
      </c>
    </row>
    <row r="1430" spans="1:7" x14ac:dyDescent="0.15">
      <c r="A1430" s="4">
        <v>1429</v>
      </c>
      <c r="B1430" s="4">
        <v>0</v>
      </c>
      <c r="D1430" s="5">
        <v>10.532096211958502</v>
      </c>
      <c r="E1430" s="4">
        <v>1</v>
      </c>
      <c r="F1430" s="5">
        <v>3.6635616461296463</v>
      </c>
      <c r="G1430" s="4">
        <v>3</v>
      </c>
    </row>
    <row r="1431" spans="1:7" x14ac:dyDescent="0.15">
      <c r="A1431" s="4">
        <v>1430</v>
      </c>
      <c r="B1431" s="4">
        <v>0</v>
      </c>
      <c r="D1431" s="5">
        <v>11.736069016284437</v>
      </c>
      <c r="E1431" s="4">
        <v>0</v>
      </c>
      <c r="F1431" s="5">
        <v>4.0430512678345503</v>
      </c>
      <c r="G1431" s="4">
        <v>3</v>
      </c>
    </row>
    <row r="1432" spans="1:7" x14ac:dyDescent="0.15">
      <c r="A1432" s="4">
        <v>1431</v>
      </c>
      <c r="B1432" s="4">
        <v>0</v>
      </c>
      <c r="D1432" s="5">
        <v>11.082142548877775</v>
      </c>
      <c r="E1432" s="4">
        <v>1</v>
      </c>
      <c r="F1432" s="5">
        <v>3.8066624897703196</v>
      </c>
      <c r="G1432" s="4">
        <v>5</v>
      </c>
    </row>
    <row r="1433" spans="1:7" x14ac:dyDescent="0.15">
      <c r="A1433" s="4">
        <v>1432</v>
      </c>
      <c r="B1433" s="4">
        <v>0</v>
      </c>
      <c r="D1433" s="5">
        <v>11.379394072345706</v>
      </c>
      <c r="E1433" s="4">
        <v>1</v>
      </c>
      <c r="F1433" s="5">
        <v>3.8712010109078911</v>
      </c>
      <c r="G1433" s="4">
        <v>2</v>
      </c>
    </row>
    <row r="1434" spans="1:7" x14ac:dyDescent="0.15">
      <c r="A1434" s="4">
        <v>1433</v>
      </c>
      <c r="B1434" s="4">
        <v>3</v>
      </c>
      <c r="D1434" s="5">
        <v>10.915088464214607</v>
      </c>
      <c r="E1434" s="4">
        <v>1</v>
      </c>
      <c r="F1434" s="5">
        <v>3.7612001156935624</v>
      </c>
      <c r="G1434" s="4">
        <v>2</v>
      </c>
    </row>
    <row r="1435" spans="1:7" x14ac:dyDescent="0.15">
      <c r="A1435" s="4">
        <v>1434</v>
      </c>
      <c r="B1435" s="4">
        <v>1</v>
      </c>
      <c r="D1435" s="5">
        <v>10.915088464214607</v>
      </c>
      <c r="E1435" s="4">
        <v>1</v>
      </c>
      <c r="F1435" s="5">
        <v>4.0943445622221004</v>
      </c>
      <c r="G1435" s="4">
        <v>1</v>
      </c>
    </row>
    <row r="1436" spans="1:7" x14ac:dyDescent="0.15">
      <c r="A1436" s="4">
        <v>1435</v>
      </c>
      <c r="B1436" s="4">
        <v>0</v>
      </c>
      <c r="D1436" s="5">
        <v>11.082142548877775</v>
      </c>
      <c r="E1436" s="4">
        <v>1</v>
      </c>
      <c r="F1436" s="5">
        <v>2.8903717578961645</v>
      </c>
      <c r="G1436" s="4">
        <v>5</v>
      </c>
    </row>
    <row r="1437" spans="1:7" x14ac:dyDescent="0.15">
      <c r="A1437" s="4">
        <v>1436</v>
      </c>
      <c r="B1437" s="4">
        <v>0</v>
      </c>
      <c r="D1437" s="5">
        <v>10.388995368317829</v>
      </c>
      <c r="E1437" s="4">
        <v>0</v>
      </c>
      <c r="F1437" s="5">
        <v>4.0775374439057197</v>
      </c>
      <c r="G1437" s="4">
        <v>2</v>
      </c>
    </row>
    <row r="1438" spans="1:7" x14ac:dyDescent="0.15">
      <c r="A1438" s="4">
        <v>1437</v>
      </c>
      <c r="B1438" s="4">
        <v>0</v>
      </c>
      <c r="D1438" s="5">
        <v>10.221941283654663</v>
      </c>
      <c r="E1438" s="4">
        <v>1</v>
      </c>
      <c r="F1438" s="5">
        <v>3.7612001156935624</v>
      </c>
      <c r="G1438" s="4">
        <v>2</v>
      </c>
    </row>
    <row r="1439" spans="1:7" x14ac:dyDescent="0.15">
      <c r="A1439" s="4">
        <v>1438</v>
      </c>
      <c r="B1439" s="4">
        <v>0</v>
      </c>
      <c r="D1439" s="5">
        <v>10.915088464214607</v>
      </c>
      <c r="E1439" s="4">
        <v>0</v>
      </c>
      <c r="F1439" s="5">
        <v>2.6390573296152584</v>
      </c>
      <c r="G1439" s="4">
        <v>6</v>
      </c>
    </row>
    <row r="1440" spans="1:7" x14ac:dyDescent="0.15">
      <c r="A1440" s="4">
        <v>1439</v>
      </c>
      <c r="B1440" s="4">
        <v>0</v>
      </c>
      <c r="D1440" s="5">
        <v>10.915088464214607</v>
      </c>
      <c r="E1440" s="4">
        <v>1</v>
      </c>
      <c r="F1440" s="5">
        <v>3.7612001156935624</v>
      </c>
      <c r="G1440" s="4">
        <v>3</v>
      </c>
    </row>
    <row r="1441" spans="1:7" x14ac:dyDescent="0.15">
      <c r="A1441" s="4">
        <v>1440</v>
      </c>
      <c r="B1441" s="4">
        <v>3</v>
      </c>
      <c r="D1441" s="5">
        <v>10.532096211958502</v>
      </c>
      <c r="E1441" s="4">
        <v>1</v>
      </c>
      <c r="F1441" s="5">
        <v>3.6375861597263857</v>
      </c>
      <c r="G1441" s="4">
        <v>5</v>
      </c>
    </row>
    <row r="1442" spans="1:7" x14ac:dyDescent="0.15">
      <c r="A1442" s="4">
        <v>1441</v>
      </c>
      <c r="B1442" s="4">
        <v>3</v>
      </c>
      <c r="D1442" s="5">
        <v>11.082142548877775</v>
      </c>
      <c r="E1442" s="4">
        <v>1</v>
      </c>
      <c r="F1442" s="5">
        <v>4.2626798770413155</v>
      </c>
      <c r="G1442" s="4">
        <v>2</v>
      </c>
    </row>
    <row r="1443" spans="1:7" x14ac:dyDescent="0.15">
      <c r="A1443" s="4">
        <v>1442</v>
      </c>
      <c r="B1443" s="4">
        <v>2</v>
      </c>
      <c r="D1443" s="5">
        <v>10.915088464214607</v>
      </c>
      <c r="E1443" s="4">
        <v>0</v>
      </c>
      <c r="F1443" s="5">
        <v>3.6109179126442243</v>
      </c>
      <c r="G1443" s="4">
        <v>4</v>
      </c>
    </row>
    <row r="1444" spans="1:7" x14ac:dyDescent="0.15">
      <c r="A1444" s="4">
        <v>1443</v>
      </c>
      <c r="B1444" s="4">
        <v>0</v>
      </c>
      <c r="D1444" s="5">
        <v>10.388995368317829</v>
      </c>
      <c r="E1444" s="4">
        <v>1</v>
      </c>
      <c r="F1444" s="5">
        <v>3.6635616461296463</v>
      </c>
      <c r="G1444" s="4">
        <v>2</v>
      </c>
    </row>
    <row r="1445" spans="1:7" x14ac:dyDescent="0.15">
      <c r="A1445" s="4">
        <v>1444</v>
      </c>
      <c r="B1445" s="4">
        <v>3</v>
      </c>
      <c r="D1445" s="5">
        <v>11.191341840842766</v>
      </c>
      <c r="E1445" s="4">
        <v>0</v>
      </c>
      <c r="F1445" s="5">
        <v>3.9512437185814275</v>
      </c>
      <c r="G1445" s="4">
        <v>2</v>
      </c>
    </row>
    <row r="1446" spans="1:7" x14ac:dyDescent="0.15">
      <c r="A1446" s="4">
        <v>1445</v>
      </c>
      <c r="B1446" s="4">
        <v>0</v>
      </c>
      <c r="D1446" s="5">
        <v>11.918390573078392</v>
      </c>
      <c r="E1446" s="4">
        <v>1</v>
      </c>
      <c r="F1446" s="5">
        <v>3.8712010109078911</v>
      </c>
      <c r="G1446" s="4">
        <v>7</v>
      </c>
    </row>
    <row r="1447" spans="1:7" x14ac:dyDescent="0.15">
      <c r="A1447" s="4">
        <v>1446</v>
      </c>
      <c r="B1447" s="4">
        <v>0</v>
      </c>
      <c r="D1447" s="5">
        <v>11.918390573078392</v>
      </c>
      <c r="E1447" s="4">
        <v>1</v>
      </c>
      <c r="F1447" s="5">
        <v>2.3978952727983707</v>
      </c>
      <c r="G1447" s="4">
        <v>7</v>
      </c>
    </row>
    <row r="1448" spans="1:7" x14ac:dyDescent="0.15">
      <c r="A1448" s="4">
        <v>1447</v>
      </c>
      <c r="B1448" s="4">
        <v>0</v>
      </c>
      <c r="D1448" s="5">
        <v>11.119882876860622</v>
      </c>
      <c r="E1448" s="4">
        <v>1</v>
      </c>
      <c r="F1448" s="5">
        <v>3.6375861597263857</v>
      </c>
      <c r="G1448" s="4">
        <v>6</v>
      </c>
    </row>
    <row r="1449" spans="1:7" x14ac:dyDescent="0.15">
      <c r="A1449" s="4">
        <v>1448</v>
      </c>
      <c r="B1449" s="4">
        <v>2</v>
      </c>
      <c r="D1449" s="5">
        <v>10.915088464214607</v>
      </c>
      <c r="E1449" s="4">
        <v>1</v>
      </c>
      <c r="F1449" s="5">
        <v>3.9889840465642745</v>
      </c>
      <c r="G1449" s="4">
        <v>2</v>
      </c>
    </row>
    <row r="1450" spans="1:7" x14ac:dyDescent="0.15">
      <c r="A1450" s="4">
        <v>1449</v>
      </c>
      <c r="B1450" s="4">
        <v>0</v>
      </c>
      <c r="D1450" s="5">
        <v>10.221941283654663</v>
      </c>
      <c r="E1450" s="4">
        <v>1</v>
      </c>
      <c r="F1450" s="5">
        <v>3.8066624897703196</v>
      </c>
      <c r="G1450" s="4">
        <v>1</v>
      </c>
    </row>
    <row r="1451" spans="1:7" x14ac:dyDescent="0.15">
      <c r="A1451" s="4">
        <v>1450</v>
      </c>
      <c r="B1451" s="4">
        <v>0</v>
      </c>
      <c r="D1451" s="5">
        <v>11.191341840842766</v>
      </c>
      <c r="E1451" s="4">
        <v>0</v>
      </c>
      <c r="F1451" s="5">
        <v>3.4965075614664802</v>
      </c>
      <c r="G1451" s="4">
        <v>3</v>
      </c>
    </row>
    <row r="1452" spans="1:7" x14ac:dyDescent="0.15">
      <c r="A1452" s="4">
        <v>1451</v>
      </c>
      <c r="B1452" s="4">
        <v>0</v>
      </c>
      <c r="D1452" s="5">
        <v>10.819778284410283</v>
      </c>
      <c r="E1452" s="4">
        <v>1</v>
      </c>
      <c r="F1452" s="5">
        <v>3.4339872044851463</v>
      </c>
      <c r="G1452" s="4">
        <v>4</v>
      </c>
    </row>
    <row r="1453" spans="1:7" x14ac:dyDescent="0.15">
      <c r="A1453" s="4">
        <v>1452</v>
      </c>
      <c r="B1453" s="4">
        <v>0</v>
      </c>
      <c r="D1453" s="5">
        <v>11.736069016284437</v>
      </c>
      <c r="E1453" s="4">
        <v>0</v>
      </c>
      <c r="F1453" s="5">
        <v>4.0604430105464191</v>
      </c>
      <c r="G1453" s="4">
        <v>3</v>
      </c>
    </row>
    <row r="1454" spans="1:7" x14ac:dyDescent="0.15">
      <c r="A1454" s="4">
        <v>1453</v>
      </c>
      <c r="B1454" s="4">
        <v>1</v>
      </c>
      <c r="D1454" s="5">
        <v>11.379394072345706</v>
      </c>
      <c r="E1454" s="4">
        <v>0</v>
      </c>
      <c r="F1454" s="5">
        <v>4.1588830833596715</v>
      </c>
      <c r="G1454" s="4">
        <v>3</v>
      </c>
    </row>
    <row r="1455" spans="1:7" x14ac:dyDescent="0.15">
      <c r="A1455" s="4">
        <v>1454</v>
      </c>
      <c r="B1455" s="4">
        <v>0</v>
      </c>
      <c r="D1455" s="5">
        <v>10.308952660644293</v>
      </c>
      <c r="E1455" s="4">
        <v>1</v>
      </c>
      <c r="F1455" s="5">
        <v>3.2188758248682006</v>
      </c>
      <c r="G1455" s="4">
        <v>4</v>
      </c>
    </row>
    <row r="1456" spans="1:7" x14ac:dyDescent="0.15">
      <c r="A1456" s="4">
        <v>1455</v>
      </c>
      <c r="B1456" s="4">
        <v>0</v>
      </c>
      <c r="D1456" s="5">
        <v>11.082142548877775</v>
      </c>
      <c r="E1456" s="4">
        <v>1</v>
      </c>
      <c r="F1456" s="5">
        <v>3.970291913552122</v>
      </c>
      <c r="G1456" s="4">
        <v>2</v>
      </c>
    </row>
    <row r="1457" spans="1:7" x14ac:dyDescent="0.15">
      <c r="A1457" s="4">
        <v>1456</v>
      </c>
      <c r="B1457" s="4">
        <v>0</v>
      </c>
      <c r="D1457" s="5">
        <v>11.119882876860622</v>
      </c>
      <c r="E1457" s="4">
        <v>0</v>
      </c>
      <c r="F1457" s="5">
        <v>3.912023005428146</v>
      </c>
      <c r="G1457" s="4">
        <v>3</v>
      </c>
    </row>
    <row r="1458" spans="1:7" x14ac:dyDescent="0.15">
      <c r="A1458" s="4">
        <v>1457</v>
      </c>
      <c r="B1458" s="4">
        <v>7</v>
      </c>
      <c r="D1458" s="5">
        <v>11.736069016284437</v>
      </c>
      <c r="E1458" s="4">
        <v>1</v>
      </c>
      <c r="F1458" s="5">
        <v>3.784189633918261</v>
      </c>
      <c r="G1458" s="4">
        <v>3</v>
      </c>
    </row>
    <row r="1459" spans="1:7" x14ac:dyDescent="0.15">
      <c r="A1459" s="4">
        <v>1458</v>
      </c>
      <c r="B1459" s="4">
        <v>0</v>
      </c>
      <c r="D1459" s="5">
        <v>10.819778284410283</v>
      </c>
      <c r="E1459" s="4">
        <v>1</v>
      </c>
      <c r="F1459" s="5">
        <v>3.7612001156935624</v>
      </c>
      <c r="G1459" s="4">
        <v>3</v>
      </c>
    </row>
    <row r="1460" spans="1:7" x14ac:dyDescent="0.15">
      <c r="A1460" s="4">
        <v>1459</v>
      </c>
      <c r="B1460" s="4">
        <v>0</v>
      </c>
      <c r="D1460" s="5">
        <v>10.021270588192511</v>
      </c>
      <c r="E1460" s="4">
        <v>1</v>
      </c>
      <c r="F1460" s="5">
        <v>4.1743872698956368</v>
      </c>
      <c r="G1460" s="4">
        <v>2</v>
      </c>
    </row>
    <row r="1461" spans="1:7" x14ac:dyDescent="0.15">
      <c r="A1461" s="4">
        <v>1460</v>
      </c>
      <c r="B1461" s="4">
        <v>0</v>
      </c>
      <c r="D1461" s="5">
        <v>10.021270588192511</v>
      </c>
      <c r="E1461" s="4">
        <v>0</v>
      </c>
      <c r="F1461" s="5">
        <v>3.713572066704308</v>
      </c>
      <c r="G1461" s="4">
        <v>2</v>
      </c>
    </row>
    <row r="1462" spans="1:7" x14ac:dyDescent="0.15">
      <c r="A1462" s="4">
        <v>1461</v>
      </c>
      <c r="B1462" s="4">
        <v>0</v>
      </c>
      <c r="D1462" s="5">
        <v>11.379394072345706</v>
      </c>
      <c r="E1462" s="4">
        <v>1</v>
      </c>
      <c r="F1462" s="5">
        <v>2.9444389791664403</v>
      </c>
      <c r="G1462" s="4">
        <v>3</v>
      </c>
    </row>
    <row r="1463" spans="1:7" x14ac:dyDescent="0.15">
      <c r="A1463" s="4">
        <v>1462</v>
      </c>
      <c r="B1463" s="4">
        <v>0</v>
      </c>
      <c r="D1463" s="5">
        <v>10.308952660644293</v>
      </c>
      <c r="E1463" s="4">
        <v>0</v>
      </c>
      <c r="F1463" s="5">
        <v>3.8918202981106265</v>
      </c>
      <c r="G1463" s="4">
        <v>5</v>
      </c>
    </row>
    <row r="1464" spans="1:7" x14ac:dyDescent="0.15">
      <c r="A1464" s="4">
        <v>1463</v>
      </c>
      <c r="B1464" s="4">
        <v>0</v>
      </c>
      <c r="D1464" s="5">
        <v>11.379394072345706</v>
      </c>
      <c r="E1464" s="4">
        <v>1</v>
      </c>
      <c r="F1464" s="5">
        <v>2.6390573296152584</v>
      </c>
      <c r="G1464" s="4">
        <v>4</v>
      </c>
    </row>
    <row r="1465" spans="1:7" x14ac:dyDescent="0.15">
      <c r="A1465" s="4">
        <v>1464</v>
      </c>
      <c r="B1465" s="4">
        <v>0</v>
      </c>
      <c r="D1465" s="5">
        <v>10.532096211958502</v>
      </c>
      <c r="E1465" s="4">
        <v>1</v>
      </c>
      <c r="F1465" s="5">
        <v>4.1108738641733114</v>
      </c>
      <c r="G1465" s="4">
        <v>1</v>
      </c>
    </row>
    <row r="1466" spans="1:7" x14ac:dyDescent="0.15">
      <c r="A1466" s="4">
        <v>1465</v>
      </c>
      <c r="B1466" s="4">
        <v>1</v>
      </c>
      <c r="D1466" s="5">
        <v>10.308952660644293</v>
      </c>
      <c r="E1466" s="4">
        <v>0</v>
      </c>
      <c r="F1466" s="5">
        <v>3.9889840465642745</v>
      </c>
      <c r="G1466" s="4">
        <v>2</v>
      </c>
    </row>
    <row r="1467" spans="1:7" x14ac:dyDescent="0.15">
      <c r="A1467" s="4">
        <v>1466</v>
      </c>
      <c r="B1467" s="4">
        <v>0</v>
      </c>
      <c r="D1467" s="5">
        <v>11.379394072345706</v>
      </c>
      <c r="E1467" s="4">
        <v>1</v>
      </c>
      <c r="F1467" s="5">
        <v>3.4011973816621555</v>
      </c>
      <c r="G1467" s="4">
        <v>4</v>
      </c>
    </row>
    <row r="1468" spans="1:7" x14ac:dyDescent="0.15">
      <c r="A1468" s="4">
        <v>1467</v>
      </c>
      <c r="B1468" s="4">
        <v>3</v>
      </c>
      <c r="D1468" s="5">
        <v>10.819778284410283</v>
      </c>
      <c r="E1468" s="4">
        <v>1</v>
      </c>
      <c r="F1468" s="5">
        <v>3.4339872044851463</v>
      </c>
      <c r="G1468" s="4">
        <v>2</v>
      </c>
    </row>
    <row r="1469" spans="1:7" x14ac:dyDescent="0.15">
      <c r="A1469" s="4">
        <v>1468</v>
      </c>
      <c r="B1469" s="4">
        <v>0</v>
      </c>
      <c r="D1469" s="5">
        <v>10.768484990022733</v>
      </c>
      <c r="E1469" s="4">
        <v>1</v>
      </c>
      <c r="F1469" s="5">
        <v>3.8712010109078911</v>
      </c>
      <c r="G1469" s="4">
        <v>1</v>
      </c>
    </row>
    <row r="1470" spans="1:7" x14ac:dyDescent="0.15">
      <c r="A1470" s="4">
        <v>1469</v>
      </c>
      <c r="B1470" s="4">
        <v>1</v>
      </c>
      <c r="D1470" s="5">
        <v>10.915088464214607</v>
      </c>
      <c r="E1470" s="4">
        <v>1</v>
      </c>
      <c r="F1470" s="5">
        <v>3.7612001156935624</v>
      </c>
      <c r="G1470" s="4">
        <v>4</v>
      </c>
    </row>
    <row r="1471" spans="1:7" x14ac:dyDescent="0.15">
      <c r="A1471" s="4">
        <v>1470</v>
      </c>
      <c r="B1471" s="4">
        <v>0</v>
      </c>
      <c r="D1471" s="5">
        <v>10.915088464214607</v>
      </c>
      <c r="E1471" s="4">
        <v>0</v>
      </c>
      <c r="F1471" s="5">
        <v>3.8712010109078911</v>
      </c>
      <c r="G1471" s="4">
        <v>4</v>
      </c>
    </row>
    <row r="1472" spans="1:7" x14ac:dyDescent="0.15">
      <c r="A1472" s="4">
        <v>1471</v>
      </c>
      <c r="B1472" s="4">
        <v>0</v>
      </c>
      <c r="D1472" s="5">
        <v>11.379394072345706</v>
      </c>
      <c r="E1472" s="4">
        <v>1</v>
      </c>
      <c r="F1472" s="5">
        <v>3.912023005428146</v>
      </c>
      <c r="G1472" s="4">
        <v>3</v>
      </c>
    </row>
    <row r="1473" spans="1:7" x14ac:dyDescent="0.15">
      <c r="A1473" s="4">
        <v>1472</v>
      </c>
      <c r="B1473" s="4">
        <v>0</v>
      </c>
      <c r="D1473" s="5">
        <v>11.379394072345706</v>
      </c>
      <c r="E1473" s="4">
        <v>1</v>
      </c>
      <c r="F1473" s="5">
        <v>3.784189633918261</v>
      </c>
      <c r="G1473" s="4">
        <v>5</v>
      </c>
    </row>
    <row r="1474" spans="1:7" x14ac:dyDescent="0.15">
      <c r="A1474" s="4">
        <v>1473</v>
      </c>
      <c r="B1474" s="4">
        <v>0</v>
      </c>
      <c r="D1474" s="5">
        <v>11.082142548877775</v>
      </c>
      <c r="E1474" s="4">
        <v>1</v>
      </c>
      <c r="F1474" s="5">
        <v>4.0604430105464191</v>
      </c>
      <c r="G1474" s="4">
        <v>2</v>
      </c>
    </row>
    <row r="1475" spans="1:7" x14ac:dyDescent="0.15">
      <c r="A1475" s="4">
        <v>1474</v>
      </c>
      <c r="B1475" s="4">
        <v>0</v>
      </c>
      <c r="D1475" s="5">
        <v>11.736069016284437</v>
      </c>
      <c r="E1475" s="4">
        <v>0</v>
      </c>
      <c r="F1475" s="5">
        <v>3.8286413964890951</v>
      </c>
      <c r="G1475" s="4">
        <v>4</v>
      </c>
    </row>
    <row r="1476" spans="1:7" x14ac:dyDescent="0.15">
      <c r="A1476" s="4">
        <v>1475</v>
      </c>
      <c r="B1476" s="4">
        <v>0</v>
      </c>
      <c r="D1476" s="5">
        <v>10.308952660644293</v>
      </c>
      <c r="E1476" s="4">
        <v>0</v>
      </c>
      <c r="F1476" s="5">
        <v>3.3322045101752038</v>
      </c>
      <c r="G1476" s="4">
        <v>3</v>
      </c>
    </row>
    <row r="1477" spans="1:7" x14ac:dyDescent="0.15">
      <c r="A1477" s="4">
        <v>1476</v>
      </c>
      <c r="B1477" s="4">
        <v>0</v>
      </c>
      <c r="D1477" s="5">
        <v>11.082142548877775</v>
      </c>
      <c r="E1477" s="4">
        <v>0</v>
      </c>
      <c r="F1477" s="5">
        <v>3.3672958299864741</v>
      </c>
      <c r="G1477" s="4">
        <v>2</v>
      </c>
    </row>
    <row r="1478" spans="1:7" x14ac:dyDescent="0.15">
      <c r="A1478" s="4">
        <v>1477</v>
      </c>
      <c r="B1478" s="4">
        <v>0</v>
      </c>
      <c r="D1478" s="5">
        <v>12.206072645530174</v>
      </c>
      <c r="E1478" s="4">
        <v>1</v>
      </c>
      <c r="F1478" s="5">
        <v>3.9512437185814275</v>
      </c>
      <c r="G1478" s="4">
        <v>4</v>
      </c>
    </row>
    <row r="1479" spans="1:7" x14ac:dyDescent="0.15">
      <c r="A1479" s="4">
        <v>1478</v>
      </c>
      <c r="B1479" s="4">
        <v>0</v>
      </c>
      <c r="D1479" s="5">
        <v>11.191341840842766</v>
      </c>
      <c r="E1479" s="4">
        <v>1</v>
      </c>
      <c r="F1479" s="5">
        <v>3.8066624897703196</v>
      </c>
      <c r="G1479" s="4">
        <v>2</v>
      </c>
    </row>
    <row r="1480" spans="1:7" x14ac:dyDescent="0.15">
      <c r="A1480" s="4">
        <v>1479</v>
      </c>
      <c r="B1480" s="4">
        <v>3</v>
      </c>
      <c r="D1480" s="5">
        <v>9.9034875525361272</v>
      </c>
      <c r="E1480" s="4">
        <v>0</v>
      </c>
      <c r="F1480" s="5">
        <v>3.9512437185814275</v>
      </c>
      <c r="G1480" s="4">
        <v>3</v>
      </c>
    </row>
    <row r="1481" spans="1:7" x14ac:dyDescent="0.15">
      <c r="A1481" s="4">
        <v>1480</v>
      </c>
      <c r="B1481" s="4">
        <v>3</v>
      </c>
      <c r="D1481" s="5">
        <v>10.819778284410283</v>
      </c>
      <c r="E1481" s="4">
        <v>1</v>
      </c>
      <c r="F1481" s="5">
        <v>3.4011973816621555</v>
      </c>
      <c r="G1481" s="4">
        <v>4</v>
      </c>
    </row>
    <row r="1482" spans="1:7" x14ac:dyDescent="0.15">
      <c r="A1482" s="4">
        <v>1481</v>
      </c>
      <c r="B1482" s="4">
        <v>0</v>
      </c>
      <c r="D1482" s="5">
        <v>10.819778284410283</v>
      </c>
      <c r="E1482" s="4">
        <v>1</v>
      </c>
      <c r="F1482" s="5">
        <v>3.5553480614894135</v>
      </c>
      <c r="G1482" s="4">
        <v>3</v>
      </c>
    </row>
    <row r="1483" spans="1:7" x14ac:dyDescent="0.15">
      <c r="A1483" s="4">
        <v>1482</v>
      </c>
      <c r="B1483" s="4">
        <v>0</v>
      </c>
      <c r="D1483" s="5">
        <v>10.532096211958502</v>
      </c>
      <c r="E1483" s="4">
        <v>1</v>
      </c>
      <c r="F1483" s="5">
        <v>2.7080502011022101</v>
      </c>
      <c r="G1483" s="4">
        <v>3</v>
      </c>
    </row>
    <row r="1484" spans="1:7" x14ac:dyDescent="0.15">
      <c r="A1484" s="4">
        <v>1483</v>
      </c>
      <c r="B1484" s="4">
        <v>1</v>
      </c>
      <c r="D1484" s="5">
        <v>10.532096211958502</v>
      </c>
      <c r="E1484" s="4">
        <v>0</v>
      </c>
      <c r="F1484" s="5">
        <v>3.8286413964890951</v>
      </c>
      <c r="G1484" s="4">
        <v>3</v>
      </c>
    </row>
    <row r="1485" spans="1:7" x14ac:dyDescent="0.15">
      <c r="A1485" s="4">
        <v>1484</v>
      </c>
      <c r="B1485" s="4">
        <v>4</v>
      </c>
      <c r="D1485" s="5">
        <v>10.532096211958502</v>
      </c>
      <c r="E1485" s="4">
        <v>1</v>
      </c>
      <c r="F1485" s="5">
        <v>3.970291913552122</v>
      </c>
      <c r="G1485" s="4">
        <v>3</v>
      </c>
    </row>
    <row r="1486" spans="1:7" x14ac:dyDescent="0.15">
      <c r="A1486" s="4">
        <v>1485</v>
      </c>
      <c r="B1486" s="4">
        <v>3</v>
      </c>
      <c r="D1486" s="5">
        <v>10.657259354912508</v>
      </c>
      <c r="E1486" s="4">
        <v>1</v>
      </c>
      <c r="F1486" s="5">
        <v>3.7376696182833684</v>
      </c>
      <c r="G1486" s="4">
        <v>7</v>
      </c>
    </row>
    <row r="1487" spans="1:7" x14ac:dyDescent="0.15">
      <c r="A1487" s="4">
        <v>1486</v>
      </c>
      <c r="B1487" s="4">
        <v>0</v>
      </c>
      <c r="D1487" s="5">
        <v>11.082142548877775</v>
      </c>
      <c r="E1487" s="4">
        <v>0</v>
      </c>
      <c r="F1487" s="5">
        <v>3.8286413964890951</v>
      </c>
      <c r="G1487" s="4">
        <v>4</v>
      </c>
    </row>
    <row r="1488" spans="1:7" x14ac:dyDescent="0.15">
      <c r="A1488" s="4">
        <v>1487</v>
      </c>
      <c r="B1488" s="4">
        <v>0</v>
      </c>
      <c r="D1488" s="5">
        <v>11.082142548877775</v>
      </c>
      <c r="E1488" s="4">
        <v>0</v>
      </c>
      <c r="F1488" s="5">
        <v>2.8903717578961645</v>
      </c>
      <c r="G1488" s="4">
        <v>4</v>
      </c>
    </row>
    <row r="1489" spans="1:7" x14ac:dyDescent="0.15">
      <c r="A1489" s="4">
        <v>1488</v>
      </c>
      <c r="B1489" s="4">
        <v>0</v>
      </c>
      <c r="D1489" s="5">
        <v>10.308952660644293</v>
      </c>
      <c r="E1489" s="4">
        <v>1</v>
      </c>
      <c r="F1489" s="5">
        <v>2.7725887222397811</v>
      </c>
      <c r="G1489" s="4">
        <v>3</v>
      </c>
    </row>
    <row r="1490" spans="1:7" x14ac:dyDescent="0.15">
      <c r="A1490" s="4">
        <v>1489</v>
      </c>
      <c r="B1490" s="4">
        <v>2</v>
      </c>
      <c r="D1490" s="5">
        <v>11.379394072345706</v>
      </c>
      <c r="E1490" s="4">
        <v>0</v>
      </c>
      <c r="F1490" s="5">
        <v>2.3025850929940459</v>
      </c>
      <c r="G1490" s="4">
        <v>3</v>
      </c>
    </row>
    <row r="1491" spans="1:7" x14ac:dyDescent="0.15">
      <c r="A1491" s="4">
        <v>1490</v>
      </c>
      <c r="B1491" s="4">
        <v>1</v>
      </c>
      <c r="D1491" s="5">
        <v>10.657259354912508</v>
      </c>
      <c r="E1491" s="4">
        <v>1</v>
      </c>
      <c r="F1491" s="5">
        <v>3.3322045101752038</v>
      </c>
      <c r="G1491" s="4">
        <v>2</v>
      </c>
    </row>
    <row r="1492" spans="1:7" x14ac:dyDescent="0.15">
      <c r="A1492" s="4">
        <v>1491</v>
      </c>
      <c r="B1492" s="4">
        <v>0</v>
      </c>
      <c r="D1492" s="5">
        <v>11.379394072345706</v>
      </c>
      <c r="E1492" s="4">
        <v>1</v>
      </c>
      <c r="F1492" s="5">
        <v>3.8918202981106265</v>
      </c>
      <c r="G1492" s="4">
        <v>3</v>
      </c>
    </row>
    <row r="1493" spans="1:7" x14ac:dyDescent="0.15">
      <c r="A1493" s="4">
        <v>1492</v>
      </c>
      <c r="B1493" s="4">
        <v>1</v>
      </c>
      <c r="D1493" s="5">
        <v>11.119882876860622</v>
      </c>
      <c r="E1493" s="4">
        <v>1</v>
      </c>
      <c r="F1493" s="5">
        <v>3.5263605246161616</v>
      </c>
      <c r="G1493" s="4">
        <v>3</v>
      </c>
    </row>
    <row r="1494" spans="1:7" x14ac:dyDescent="0.15">
      <c r="A1494" s="4">
        <v>1493</v>
      </c>
      <c r="B1494" s="4">
        <v>0</v>
      </c>
      <c r="D1494" s="5">
        <v>11.379394072345706</v>
      </c>
      <c r="E1494" s="4">
        <v>0</v>
      </c>
      <c r="F1494" s="5">
        <v>2.8903717578961645</v>
      </c>
      <c r="G1494" s="4">
        <v>3</v>
      </c>
    </row>
    <row r="1495" spans="1:7" x14ac:dyDescent="0.15">
      <c r="A1495" s="4">
        <v>1494</v>
      </c>
      <c r="B1495" s="4">
        <v>0</v>
      </c>
      <c r="D1495" s="5">
        <v>10.819778284410283</v>
      </c>
      <c r="E1495" s="4">
        <v>1</v>
      </c>
      <c r="F1495" s="5">
        <v>3.8286413964890951</v>
      </c>
      <c r="G1495" s="4">
        <v>3</v>
      </c>
    </row>
    <row r="1496" spans="1:7" x14ac:dyDescent="0.15">
      <c r="A1496" s="4">
        <v>1495</v>
      </c>
      <c r="B1496" s="4">
        <v>0</v>
      </c>
      <c r="D1496" s="5">
        <v>11.379394072345706</v>
      </c>
      <c r="E1496" s="4">
        <v>1</v>
      </c>
      <c r="F1496" s="5">
        <v>3.6109179126442243</v>
      </c>
      <c r="G1496" s="4">
        <v>5</v>
      </c>
    </row>
    <row r="1497" spans="1:7" x14ac:dyDescent="0.15">
      <c r="A1497" s="4">
        <v>1496</v>
      </c>
      <c r="B1497" s="4">
        <v>1</v>
      </c>
      <c r="D1497" s="5">
        <v>10.308952660644293</v>
      </c>
      <c r="E1497" s="4">
        <v>1</v>
      </c>
      <c r="F1497" s="5">
        <v>3.6375861597263857</v>
      </c>
      <c r="G1497" s="4">
        <v>5</v>
      </c>
    </row>
    <row r="1498" spans="1:7" x14ac:dyDescent="0.15">
      <c r="A1498" s="4">
        <v>1497</v>
      </c>
      <c r="B1498" s="4">
        <v>1</v>
      </c>
      <c r="D1498" s="5">
        <v>11.379394072345706</v>
      </c>
      <c r="E1498" s="4">
        <v>1</v>
      </c>
      <c r="F1498" s="5">
        <v>3.9512437185814275</v>
      </c>
      <c r="G1498" s="4">
        <v>5</v>
      </c>
    </row>
    <row r="1499" spans="1:7" x14ac:dyDescent="0.15">
      <c r="A1499" s="4">
        <v>1498</v>
      </c>
      <c r="B1499" s="4">
        <v>0</v>
      </c>
      <c r="D1499" s="5">
        <v>11.379394072345706</v>
      </c>
      <c r="E1499" s="4">
        <v>1</v>
      </c>
      <c r="F1499" s="5">
        <v>3.8918202981106265</v>
      </c>
      <c r="G1499" s="4">
        <v>2</v>
      </c>
    </row>
    <row r="1500" spans="1:7" x14ac:dyDescent="0.15">
      <c r="A1500" s="4">
        <v>1499</v>
      </c>
      <c r="B1500" s="4">
        <v>0</v>
      </c>
      <c r="D1500" s="5">
        <v>10.657259354912508</v>
      </c>
      <c r="E1500" s="4">
        <v>0</v>
      </c>
      <c r="F1500" s="5">
        <v>4.0073331852324712</v>
      </c>
      <c r="G1500" s="4">
        <v>2</v>
      </c>
    </row>
    <row r="1501" spans="1:7" x14ac:dyDescent="0.15">
      <c r="A1501" s="4">
        <v>1500</v>
      </c>
      <c r="B1501" s="4">
        <v>0</v>
      </c>
      <c r="D1501" s="5">
        <v>10.308952660644293</v>
      </c>
      <c r="E1501" s="4">
        <v>0</v>
      </c>
      <c r="F1501" s="5">
        <v>4.0943445622221004</v>
      </c>
      <c r="G1501" s="4">
        <v>3</v>
      </c>
    </row>
    <row r="1502" spans="1:7" x14ac:dyDescent="0.15">
      <c r="A1502" s="4">
        <v>1501</v>
      </c>
      <c r="B1502" s="4">
        <v>0</v>
      </c>
      <c r="D1502" s="5">
        <v>11.736069016284437</v>
      </c>
      <c r="E1502" s="4">
        <v>0</v>
      </c>
      <c r="F1502" s="5">
        <v>4.0253516907351496</v>
      </c>
      <c r="G1502" s="4">
        <v>2</v>
      </c>
    </row>
    <row r="1503" spans="1:7" x14ac:dyDescent="0.15">
      <c r="A1503" s="4">
        <v>1502</v>
      </c>
      <c r="B1503" s="4">
        <v>0</v>
      </c>
      <c r="D1503" s="5">
        <v>11.736069016284437</v>
      </c>
      <c r="E1503" s="4">
        <v>1</v>
      </c>
      <c r="F1503" s="5">
        <v>3.6888794541139363</v>
      </c>
      <c r="G1503" s="4">
        <v>4</v>
      </c>
    </row>
    <row r="1504" spans="1:7" x14ac:dyDescent="0.15">
      <c r="A1504" s="4">
        <v>1503</v>
      </c>
      <c r="B1504" s="4">
        <v>0</v>
      </c>
      <c r="D1504" s="5">
        <v>8.9226582995244019</v>
      </c>
      <c r="E1504" s="4">
        <v>0</v>
      </c>
      <c r="F1504" s="5">
        <v>3.2580965380214821</v>
      </c>
      <c r="G1504" s="4">
        <v>2</v>
      </c>
    </row>
    <row r="1505" spans="1:7" x14ac:dyDescent="0.15">
      <c r="A1505" s="4">
        <v>1504</v>
      </c>
      <c r="B1505" s="4">
        <v>0</v>
      </c>
      <c r="D1505" s="5">
        <v>9.9034875525361272</v>
      </c>
      <c r="E1505" s="4">
        <v>1</v>
      </c>
      <c r="F1505" s="5">
        <v>3.8501476017100584</v>
      </c>
      <c r="G1505" s="4">
        <v>3</v>
      </c>
    </row>
    <row r="1506" spans="1:7" x14ac:dyDescent="0.15">
      <c r="A1506" s="4">
        <v>1505</v>
      </c>
      <c r="B1506" s="4">
        <v>3</v>
      </c>
      <c r="D1506" s="5">
        <v>10.819778284410283</v>
      </c>
      <c r="E1506" s="4">
        <v>0</v>
      </c>
      <c r="F1506" s="5">
        <v>3.8286413964890951</v>
      </c>
      <c r="G1506" s="4">
        <v>2</v>
      </c>
    </row>
    <row r="1507" spans="1:7" x14ac:dyDescent="0.15">
      <c r="A1507" s="4">
        <v>1506</v>
      </c>
      <c r="B1507" s="4">
        <v>0</v>
      </c>
      <c r="D1507" s="5">
        <v>10.657259354912508</v>
      </c>
      <c r="E1507" s="4">
        <v>1</v>
      </c>
      <c r="F1507" s="5">
        <v>3.8286413964890951</v>
      </c>
      <c r="G1507" s="4">
        <v>2</v>
      </c>
    </row>
    <row r="1508" spans="1:7" x14ac:dyDescent="0.15">
      <c r="A1508" s="4">
        <v>1507</v>
      </c>
      <c r="B1508" s="4">
        <v>0</v>
      </c>
      <c r="D1508" s="5">
        <v>11.736069016284437</v>
      </c>
      <c r="E1508" s="4">
        <v>1</v>
      </c>
      <c r="F1508" s="5">
        <v>3.5263605246161616</v>
      </c>
      <c r="G1508" s="4">
        <v>2</v>
      </c>
    </row>
    <row r="1509" spans="1:7" x14ac:dyDescent="0.15">
      <c r="A1509" s="4">
        <v>1508</v>
      </c>
      <c r="B1509" s="4">
        <v>0</v>
      </c>
      <c r="D1509" s="5">
        <v>11.119882876860622</v>
      </c>
      <c r="E1509" s="4">
        <v>1</v>
      </c>
      <c r="F1509" s="5">
        <v>3.9512437185814275</v>
      </c>
      <c r="G1509" s="4">
        <v>5</v>
      </c>
    </row>
    <row r="1510" spans="1:7" x14ac:dyDescent="0.15">
      <c r="A1510" s="4">
        <v>1509</v>
      </c>
      <c r="B1510" s="4">
        <v>2</v>
      </c>
      <c r="D1510" s="5">
        <v>11.736069016284437</v>
      </c>
      <c r="E1510" s="4">
        <v>0</v>
      </c>
      <c r="F1510" s="5">
        <v>3.784189633918261</v>
      </c>
      <c r="G1510" s="4">
        <v>5</v>
      </c>
    </row>
    <row r="1511" spans="1:7" x14ac:dyDescent="0.15">
      <c r="A1511" s="4">
        <v>1510</v>
      </c>
      <c r="B1511" s="4">
        <v>0</v>
      </c>
      <c r="D1511" s="5">
        <v>11.119882876860622</v>
      </c>
      <c r="E1511" s="4">
        <v>1</v>
      </c>
      <c r="F1511" s="5">
        <v>2.5649493574615367</v>
      </c>
      <c r="G1511" s="4">
        <v>5</v>
      </c>
    </row>
    <row r="1512" spans="1:7" x14ac:dyDescent="0.15">
      <c r="A1512" s="4">
        <v>1511</v>
      </c>
      <c r="B1512" s="4">
        <v>0</v>
      </c>
      <c r="D1512" s="5">
        <v>11.119882876860622</v>
      </c>
      <c r="E1512" s="4">
        <v>0</v>
      </c>
      <c r="F1512" s="5">
        <v>3.8501476017100584</v>
      </c>
      <c r="G1512" s="4">
        <v>5</v>
      </c>
    </row>
    <row r="1513" spans="1:7" x14ac:dyDescent="0.15">
      <c r="A1513" s="4">
        <v>1512</v>
      </c>
      <c r="B1513" s="4">
        <v>0</v>
      </c>
      <c r="D1513" s="5">
        <v>10.915088464214607</v>
      </c>
      <c r="E1513" s="4">
        <v>0</v>
      </c>
      <c r="F1513" s="5">
        <v>4.219507705176107</v>
      </c>
      <c r="G1513" s="4">
        <v>2</v>
      </c>
    </row>
    <row r="1514" spans="1:7" x14ac:dyDescent="0.15">
      <c r="A1514" s="4">
        <v>1513</v>
      </c>
      <c r="B1514" s="4">
        <v>1</v>
      </c>
      <c r="D1514" s="5">
        <v>11.119882876860622</v>
      </c>
      <c r="E1514" s="4">
        <v>1</v>
      </c>
      <c r="F1514" s="5">
        <v>3.8501476017100584</v>
      </c>
      <c r="G1514" s="4">
        <v>4</v>
      </c>
    </row>
    <row r="1515" spans="1:7" x14ac:dyDescent="0.15">
      <c r="A1515" s="4">
        <v>1514</v>
      </c>
      <c r="B1515" s="4">
        <v>0</v>
      </c>
      <c r="D1515" s="5">
        <v>11.119882876860622</v>
      </c>
      <c r="E1515" s="4">
        <v>0</v>
      </c>
      <c r="F1515" s="5">
        <v>3.9318256327243257</v>
      </c>
      <c r="G1515" s="4">
        <v>4</v>
      </c>
    </row>
    <row r="1516" spans="1:7" x14ac:dyDescent="0.15">
      <c r="A1516" s="4">
        <v>1515</v>
      </c>
      <c r="B1516" s="4">
        <v>0</v>
      </c>
      <c r="D1516" s="5">
        <v>9.5287941030947181</v>
      </c>
      <c r="E1516" s="4">
        <v>1</v>
      </c>
      <c r="F1516" s="5">
        <v>3.784189633918261</v>
      </c>
      <c r="G1516" s="4">
        <v>2</v>
      </c>
    </row>
    <row r="1517" spans="1:7" x14ac:dyDescent="0.15">
      <c r="A1517" s="4">
        <v>1516</v>
      </c>
      <c r="B1517" s="4">
        <v>0</v>
      </c>
      <c r="D1517" s="5">
        <v>11.119882876860622</v>
      </c>
      <c r="E1517" s="4">
        <v>1</v>
      </c>
      <c r="F1517" s="5">
        <v>3.7376696182833684</v>
      </c>
      <c r="G1517" s="4">
        <v>4</v>
      </c>
    </row>
    <row r="1518" spans="1:7" x14ac:dyDescent="0.15">
      <c r="A1518" s="4">
        <v>1517</v>
      </c>
      <c r="B1518" s="4">
        <v>0</v>
      </c>
      <c r="D1518" s="5">
        <v>11.119882876860622</v>
      </c>
      <c r="E1518" s="4">
        <v>0</v>
      </c>
      <c r="F1518" s="5">
        <v>2.7080502011022101</v>
      </c>
      <c r="G1518" s="4">
        <v>5</v>
      </c>
    </row>
    <row r="1519" spans="1:7" x14ac:dyDescent="0.15">
      <c r="A1519" s="4">
        <v>1518</v>
      </c>
      <c r="B1519" s="4">
        <v>0</v>
      </c>
      <c r="D1519" s="5">
        <v>10.308952660644293</v>
      </c>
      <c r="E1519" s="4">
        <v>1</v>
      </c>
      <c r="F1519" s="5">
        <v>3.5263605246161616</v>
      </c>
      <c r="G1519" s="4">
        <v>5</v>
      </c>
    </row>
    <row r="1520" spans="1:7" x14ac:dyDescent="0.15">
      <c r="A1520" s="4">
        <v>1519</v>
      </c>
      <c r="B1520" s="4">
        <v>0</v>
      </c>
      <c r="D1520" s="5">
        <v>9.9034875525361272</v>
      </c>
      <c r="E1520" s="4">
        <v>1</v>
      </c>
      <c r="F1520" s="5">
        <v>3.4965075614664802</v>
      </c>
      <c r="G1520" s="4">
        <v>4</v>
      </c>
    </row>
    <row r="1521" spans="1:7" x14ac:dyDescent="0.15">
      <c r="A1521" s="4">
        <v>1520</v>
      </c>
      <c r="B1521" s="4">
        <v>0</v>
      </c>
      <c r="D1521" s="5">
        <v>10.819778284410283</v>
      </c>
      <c r="E1521" s="4">
        <v>1</v>
      </c>
      <c r="F1521" s="5">
        <v>2.9444389791664403</v>
      </c>
      <c r="G1521" s="4">
        <v>7</v>
      </c>
    </row>
    <row r="1522" spans="1:7" x14ac:dyDescent="0.15">
      <c r="A1522" s="4">
        <v>1521</v>
      </c>
      <c r="B1522" s="4">
        <v>26</v>
      </c>
      <c r="D1522" s="5">
        <v>10.819778284410283</v>
      </c>
      <c r="E1522" s="4">
        <v>0</v>
      </c>
      <c r="F1522" s="5">
        <v>4.0253516907351496</v>
      </c>
      <c r="G1522" s="4">
        <v>3</v>
      </c>
    </row>
    <row r="1523" spans="1:7" x14ac:dyDescent="0.15">
      <c r="A1523" s="4">
        <v>1522</v>
      </c>
      <c r="B1523" s="4">
        <v>0</v>
      </c>
      <c r="D1523" s="5">
        <v>10.915088464214607</v>
      </c>
      <c r="E1523" s="4">
        <v>1</v>
      </c>
      <c r="F1523" s="5">
        <v>4.1431347263915326</v>
      </c>
      <c r="G1523" s="4">
        <v>1</v>
      </c>
    </row>
    <row r="1524" spans="1:7" x14ac:dyDescent="0.15">
      <c r="A1524" s="4">
        <v>1523</v>
      </c>
      <c r="B1524" s="4">
        <v>0</v>
      </c>
      <c r="D1524" s="5">
        <v>10.819778284410283</v>
      </c>
      <c r="E1524" s="4">
        <v>1</v>
      </c>
      <c r="F1524" s="5">
        <v>3.6109179126442243</v>
      </c>
      <c r="G1524" s="4">
        <v>3</v>
      </c>
    </row>
    <row r="1525" spans="1:7" x14ac:dyDescent="0.15">
      <c r="A1525" s="4">
        <v>1524</v>
      </c>
      <c r="B1525" s="4">
        <v>1</v>
      </c>
      <c r="D1525" s="5">
        <v>11.736069016284437</v>
      </c>
      <c r="E1525" s="4">
        <v>1</v>
      </c>
      <c r="F1525" s="5">
        <v>3.6888794541139363</v>
      </c>
      <c r="G1525" s="4">
        <v>7</v>
      </c>
    </row>
    <row r="1526" spans="1:7" x14ac:dyDescent="0.15">
      <c r="A1526" s="4">
        <v>1525</v>
      </c>
      <c r="B1526" s="4">
        <v>0</v>
      </c>
      <c r="D1526" s="5">
        <v>11.918390573078392</v>
      </c>
      <c r="E1526" s="4">
        <v>1</v>
      </c>
      <c r="F1526" s="5">
        <v>4.1271343850450917</v>
      </c>
      <c r="G1526" s="4">
        <v>3</v>
      </c>
    </row>
    <row r="1527" spans="1:7" x14ac:dyDescent="0.15">
      <c r="A1527" s="4">
        <v>1526</v>
      </c>
      <c r="B1527" s="4">
        <v>0</v>
      </c>
      <c r="D1527" s="5">
        <v>11.379394072345706</v>
      </c>
      <c r="E1527" s="4">
        <v>0</v>
      </c>
      <c r="F1527" s="5">
        <v>2.9957322735539909</v>
      </c>
      <c r="G1527" s="4">
        <v>4</v>
      </c>
    </row>
    <row r="1528" spans="1:7" x14ac:dyDescent="0.15">
      <c r="A1528" s="4">
        <v>1527</v>
      </c>
      <c r="B1528" s="4">
        <v>0</v>
      </c>
      <c r="D1528" s="5">
        <v>10.308952660644293</v>
      </c>
      <c r="E1528" s="4">
        <v>0</v>
      </c>
      <c r="F1528" s="5">
        <v>3.1780538303479458</v>
      </c>
      <c r="G1528" s="4">
        <v>4</v>
      </c>
    </row>
    <row r="1529" spans="1:7" x14ac:dyDescent="0.15">
      <c r="A1529" s="4">
        <v>1528</v>
      </c>
      <c r="B1529" s="4">
        <v>0</v>
      </c>
      <c r="D1529" s="5">
        <v>10.657259354912508</v>
      </c>
      <c r="E1529" s="4">
        <v>1</v>
      </c>
      <c r="F1529" s="5">
        <v>3.7376696182833684</v>
      </c>
      <c r="G1529" s="4">
        <v>2</v>
      </c>
    </row>
    <row r="1530" spans="1:7" x14ac:dyDescent="0.15">
      <c r="A1530" s="4">
        <v>1529</v>
      </c>
      <c r="B1530" s="4">
        <v>0</v>
      </c>
      <c r="D1530" s="5">
        <v>11.379394072345706</v>
      </c>
      <c r="E1530" s="4">
        <v>1</v>
      </c>
      <c r="F1530" s="5">
        <v>3.7376696182833684</v>
      </c>
      <c r="G1530" s="4">
        <v>3</v>
      </c>
    </row>
    <row r="1531" spans="1:7" x14ac:dyDescent="0.15">
      <c r="A1531" s="4">
        <v>1530</v>
      </c>
      <c r="B1531" s="4">
        <v>0</v>
      </c>
      <c r="D1531" s="5">
        <v>11.918390573078392</v>
      </c>
      <c r="E1531" s="4">
        <v>1</v>
      </c>
      <c r="F1531" s="5">
        <v>3.4011973816621555</v>
      </c>
      <c r="G1531" s="4">
        <v>3</v>
      </c>
    </row>
    <row r="1532" spans="1:7" x14ac:dyDescent="0.15">
      <c r="A1532" s="4">
        <v>1531</v>
      </c>
      <c r="B1532" s="4">
        <v>0</v>
      </c>
      <c r="D1532" s="5">
        <v>10.819778284410283</v>
      </c>
      <c r="E1532" s="4">
        <v>0</v>
      </c>
      <c r="F1532" s="5">
        <v>3.3322045101752038</v>
      </c>
      <c r="G1532" s="4">
        <v>4</v>
      </c>
    </row>
    <row r="1533" spans="1:7" x14ac:dyDescent="0.15">
      <c r="A1533" s="4">
        <v>1532</v>
      </c>
      <c r="B1533" s="4">
        <v>3</v>
      </c>
      <c r="D1533" s="5">
        <v>11.736069016284437</v>
      </c>
      <c r="E1533" s="4">
        <v>1</v>
      </c>
      <c r="F1533" s="5">
        <v>3.8501476017100584</v>
      </c>
      <c r="G1533" s="4">
        <v>4</v>
      </c>
    </row>
    <row r="1534" spans="1:7" x14ac:dyDescent="0.15">
      <c r="A1534" s="4">
        <v>1533</v>
      </c>
      <c r="B1534" s="4">
        <v>0</v>
      </c>
      <c r="D1534" s="5">
        <v>11.082142548877775</v>
      </c>
      <c r="E1534" s="4">
        <v>1</v>
      </c>
      <c r="F1534" s="5">
        <v>4.1271343850450917</v>
      </c>
      <c r="G1534" s="4">
        <v>2</v>
      </c>
    </row>
    <row r="1535" spans="1:7" x14ac:dyDescent="0.15">
      <c r="A1535" s="4">
        <v>1534</v>
      </c>
      <c r="B1535" s="4">
        <v>0</v>
      </c>
      <c r="D1535" s="5">
        <v>11.379394072345706</v>
      </c>
      <c r="E1535" s="4">
        <v>0</v>
      </c>
      <c r="F1535" s="5">
        <v>3.8918202981106265</v>
      </c>
      <c r="G1535" s="4">
        <v>4</v>
      </c>
    </row>
    <row r="1536" spans="1:7" x14ac:dyDescent="0.15">
      <c r="A1536" s="4">
        <v>1535</v>
      </c>
      <c r="B1536" s="4">
        <v>0</v>
      </c>
      <c r="D1536" s="5">
        <v>10.819778284410283</v>
      </c>
      <c r="E1536" s="4">
        <v>0</v>
      </c>
      <c r="F1536" s="5">
        <v>3.784189633918261</v>
      </c>
      <c r="G1536" s="4">
        <v>3</v>
      </c>
    </row>
    <row r="1537" spans="1:7" x14ac:dyDescent="0.15">
      <c r="A1537" s="4">
        <v>1536</v>
      </c>
      <c r="B1537" s="4">
        <v>0</v>
      </c>
      <c r="D1537" s="5">
        <v>11.736069016284437</v>
      </c>
      <c r="E1537" s="4">
        <v>1</v>
      </c>
      <c r="F1537" s="5">
        <v>2.7725887222397811</v>
      </c>
      <c r="G1537" s="4">
        <v>6</v>
      </c>
    </row>
    <row r="1538" spans="1:7" x14ac:dyDescent="0.15">
      <c r="A1538" s="4">
        <v>1537</v>
      </c>
      <c r="B1538" s="4">
        <v>0</v>
      </c>
      <c r="D1538" s="5">
        <v>10.768484990022733</v>
      </c>
      <c r="E1538" s="4">
        <v>1</v>
      </c>
      <c r="F1538" s="5">
        <v>3.784189633918261</v>
      </c>
      <c r="G1538" s="4">
        <v>4</v>
      </c>
    </row>
    <row r="1539" spans="1:7" x14ac:dyDescent="0.15">
      <c r="A1539" s="4">
        <v>1538</v>
      </c>
      <c r="B1539" s="4">
        <v>1</v>
      </c>
      <c r="D1539" s="5">
        <v>10.021270588192511</v>
      </c>
      <c r="E1539" s="4">
        <v>1</v>
      </c>
      <c r="F1539" s="5">
        <v>3.7376696182833684</v>
      </c>
      <c r="G1539" s="4">
        <v>1</v>
      </c>
    </row>
    <row r="1540" spans="1:7" x14ac:dyDescent="0.15">
      <c r="A1540" s="4">
        <v>1539</v>
      </c>
      <c r="B1540" s="4">
        <v>0</v>
      </c>
      <c r="D1540" s="5">
        <v>11.082142548877775</v>
      </c>
      <c r="E1540" s="4">
        <v>1</v>
      </c>
      <c r="F1540" s="5">
        <v>4.0253516907351496</v>
      </c>
      <c r="G1540" s="4">
        <v>2</v>
      </c>
    </row>
    <row r="1541" spans="1:7" x14ac:dyDescent="0.15">
      <c r="A1541" s="4">
        <v>1540</v>
      </c>
      <c r="B1541" s="4">
        <v>0</v>
      </c>
      <c r="D1541" s="5">
        <v>11.379394072345706</v>
      </c>
      <c r="E1541" s="4">
        <v>1</v>
      </c>
      <c r="F1541" s="5">
        <v>3.713572066704308</v>
      </c>
      <c r="G1541" s="4">
        <v>4</v>
      </c>
    </row>
    <row r="1542" spans="1:7" x14ac:dyDescent="0.15">
      <c r="A1542" s="4">
        <v>1541</v>
      </c>
      <c r="B1542" s="4">
        <v>0</v>
      </c>
      <c r="D1542" s="5">
        <v>11.379394072345706</v>
      </c>
      <c r="E1542" s="4">
        <v>1</v>
      </c>
      <c r="F1542" s="5">
        <v>3.5553480614894135</v>
      </c>
      <c r="G1542" s="4">
        <v>5</v>
      </c>
    </row>
    <row r="1543" spans="1:7" x14ac:dyDescent="0.15">
      <c r="A1543" s="4">
        <v>1542</v>
      </c>
      <c r="B1543" s="4">
        <v>0</v>
      </c>
      <c r="D1543" s="5">
        <v>10.768484990022733</v>
      </c>
      <c r="E1543" s="4">
        <v>1</v>
      </c>
      <c r="F1543" s="5">
        <v>2.4849066497880004</v>
      </c>
      <c r="G1543" s="4">
        <v>4</v>
      </c>
    </row>
    <row r="1544" spans="1:7" x14ac:dyDescent="0.15">
      <c r="A1544" s="4">
        <v>1543</v>
      </c>
      <c r="B1544" s="4">
        <v>0</v>
      </c>
      <c r="D1544" s="5">
        <v>11.736069016284437</v>
      </c>
      <c r="E1544" s="4">
        <v>0</v>
      </c>
      <c r="F1544" s="5">
        <v>3.784189633918261</v>
      </c>
      <c r="G1544" s="4">
        <v>6</v>
      </c>
    </row>
    <row r="1545" spans="1:7" x14ac:dyDescent="0.15">
      <c r="A1545" s="4">
        <v>1544</v>
      </c>
      <c r="B1545" s="4">
        <v>0</v>
      </c>
      <c r="D1545" s="5">
        <v>11.379394072345706</v>
      </c>
      <c r="E1545" s="4">
        <v>1</v>
      </c>
      <c r="F1545" s="5">
        <v>3.8918202981106265</v>
      </c>
      <c r="G1545" s="4">
        <v>6</v>
      </c>
    </row>
    <row r="1546" spans="1:7" x14ac:dyDescent="0.15">
      <c r="A1546" s="4">
        <v>1545</v>
      </c>
      <c r="B1546" s="4">
        <v>0</v>
      </c>
      <c r="D1546" s="5">
        <v>10.819778284410283</v>
      </c>
      <c r="E1546" s="4">
        <v>0</v>
      </c>
      <c r="F1546" s="5">
        <v>3.8066624897703196</v>
      </c>
      <c r="G1546" s="4">
        <v>3</v>
      </c>
    </row>
    <row r="1547" spans="1:7" x14ac:dyDescent="0.15">
      <c r="A1547" s="4">
        <v>1546</v>
      </c>
      <c r="B1547" s="4">
        <v>0</v>
      </c>
      <c r="D1547" s="5">
        <v>10.819778284410283</v>
      </c>
      <c r="E1547" s="4">
        <v>0</v>
      </c>
      <c r="F1547" s="5">
        <v>3.3672958299864741</v>
      </c>
      <c r="G1547" s="4">
        <v>5</v>
      </c>
    </row>
    <row r="1548" spans="1:7" x14ac:dyDescent="0.15">
      <c r="A1548" s="4">
        <v>1547</v>
      </c>
      <c r="B1548" s="4">
        <v>0</v>
      </c>
      <c r="D1548" s="5">
        <v>10.819778284410283</v>
      </c>
      <c r="E1548" s="4">
        <v>0</v>
      </c>
      <c r="F1548" s="5">
        <v>3.2958368660043291</v>
      </c>
      <c r="G1548" s="4">
        <v>6</v>
      </c>
    </row>
    <row r="1549" spans="1:7" x14ac:dyDescent="0.15">
      <c r="A1549" s="4">
        <v>1548</v>
      </c>
      <c r="B1549" s="4">
        <v>0</v>
      </c>
      <c r="D1549" s="5">
        <v>10.819778284410283</v>
      </c>
      <c r="E1549" s="4">
        <v>1</v>
      </c>
      <c r="F1549" s="5">
        <v>3.4339872044851463</v>
      </c>
      <c r="G1549" s="4">
        <v>5</v>
      </c>
    </row>
    <row r="1550" spans="1:7" x14ac:dyDescent="0.15">
      <c r="A1550" s="4">
        <v>1549</v>
      </c>
      <c r="B1550" s="4">
        <v>0</v>
      </c>
      <c r="D1550" s="5">
        <v>11.119882876860622</v>
      </c>
      <c r="E1550" s="4">
        <v>1</v>
      </c>
      <c r="F1550" s="5">
        <v>3.9318256327243257</v>
      </c>
      <c r="G1550" s="4">
        <v>4</v>
      </c>
    </row>
    <row r="1551" spans="1:7" x14ac:dyDescent="0.15">
      <c r="A1551" s="4">
        <v>1550</v>
      </c>
      <c r="B1551" s="4">
        <v>0</v>
      </c>
      <c r="D1551" s="5">
        <v>11.379394072345706</v>
      </c>
      <c r="E1551" s="4">
        <v>1</v>
      </c>
      <c r="F1551" s="5">
        <v>3.6635616461296463</v>
      </c>
      <c r="G1551" s="4">
        <v>3</v>
      </c>
    </row>
    <row r="1552" spans="1:7" x14ac:dyDescent="0.15">
      <c r="A1552" s="4">
        <v>1551</v>
      </c>
      <c r="B1552" s="4">
        <v>0</v>
      </c>
      <c r="D1552" s="5">
        <v>10.819778284410283</v>
      </c>
      <c r="E1552" s="4">
        <v>1</v>
      </c>
      <c r="F1552" s="5">
        <v>2.8332133440562162</v>
      </c>
      <c r="G1552" s="4">
        <v>5</v>
      </c>
    </row>
    <row r="1553" spans="1:7" x14ac:dyDescent="0.15">
      <c r="A1553" s="4">
        <v>1552</v>
      </c>
      <c r="B1553" s="4">
        <v>0</v>
      </c>
      <c r="D1553" s="5">
        <v>9.9034875525361272</v>
      </c>
      <c r="E1553" s="4">
        <v>1</v>
      </c>
      <c r="F1553" s="5">
        <v>4.3820266346738812</v>
      </c>
      <c r="G1553" s="4">
        <v>3</v>
      </c>
    </row>
    <row r="1554" spans="1:7" x14ac:dyDescent="0.15">
      <c r="A1554" s="4">
        <v>1553</v>
      </c>
      <c r="B1554" s="4">
        <v>0</v>
      </c>
      <c r="D1554" s="5">
        <v>11.119882876860622</v>
      </c>
      <c r="E1554" s="4">
        <v>1</v>
      </c>
      <c r="F1554" s="5">
        <v>3.5835189384561099</v>
      </c>
      <c r="G1554" s="4">
        <v>4</v>
      </c>
    </row>
    <row r="1555" spans="1:7" x14ac:dyDescent="0.15">
      <c r="A1555" s="4">
        <v>1554</v>
      </c>
      <c r="B1555" s="4">
        <v>0</v>
      </c>
      <c r="D1555" s="5">
        <v>11.918390573078392</v>
      </c>
      <c r="E1555" s="4">
        <v>1</v>
      </c>
      <c r="F1555" s="5">
        <v>3.5835189384561099</v>
      </c>
      <c r="G1555" s="4">
        <v>9</v>
      </c>
    </row>
    <row r="1556" spans="1:7" x14ac:dyDescent="0.15">
      <c r="A1556" s="4">
        <v>1555</v>
      </c>
      <c r="B1556" s="4">
        <v>0</v>
      </c>
      <c r="D1556" s="5">
        <v>11.379394072345706</v>
      </c>
      <c r="E1556" s="4">
        <v>1</v>
      </c>
      <c r="F1556" s="5">
        <v>3.713572066704308</v>
      </c>
      <c r="G1556" s="4">
        <v>4</v>
      </c>
    </row>
    <row r="1557" spans="1:7" x14ac:dyDescent="0.15">
      <c r="A1557" s="4">
        <v>1556</v>
      </c>
      <c r="B1557" s="4">
        <v>1</v>
      </c>
      <c r="D1557" s="5">
        <v>10.915088464214607</v>
      </c>
      <c r="E1557" s="4">
        <v>1</v>
      </c>
      <c r="F1557" s="5">
        <v>4.0775374439057197</v>
      </c>
      <c r="G1557" s="4">
        <v>2</v>
      </c>
    </row>
    <row r="1558" spans="1:7" x14ac:dyDescent="0.15">
      <c r="A1558" s="4">
        <v>1557</v>
      </c>
      <c r="B1558" s="4">
        <v>0</v>
      </c>
      <c r="D1558" s="5">
        <v>10.657259354912508</v>
      </c>
      <c r="E1558" s="4">
        <v>1</v>
      </c>
      <c r="F1558" s="5">
        <v>3.4011973816621555</v>
      </c>
      <c r="G1558" s="4">
        <v>2</v>
      </c>
    </row>
    <row r="1559" spans="1:7" x14ac:dyDescent="0.15">
      <c r="A1559" s="4">
        <v>1558</v>
      </c>
      <c r="B1559" s="4">
        <v>0</v>
      </c>
      <c r="D1559" s="5">
        <v>11.736069016284437</v>
      </c>
      <c r="E1559" s="4">
        <v>0</v>
      </c>
      <c r="F1559" s="5">
        <v>4.0775374439057197</v>
      </c>
      <c r="G1559" s="4">
        <v>6</v>
      </c>
    </row>
    <row r="1560" spans="1:7" x14ac:dyDescent="0.15">
      <c r="A1560" s="4">
        <v>1559</v>
      </c>
      <c r="B1560" s="4">
        <v>0</v>
      </c>
      <c r="D1560" s="5">
        <v>9.9034875525361272</v>
      </c>
      <c r="E1560" s="4">
        <v>1</v>
      </c>
      <c r="F1560" s="5">
        <v>4.1271343850450917</v>
      </c>
      <c r="G1560" s="4">
        <v>3</v>
      </c>
    </row>
    <row r="1561" spans="1:7" x14ac:dyDescent="0.15">
      <c r="A1561" s="4">
        <v>1560</v>
      </c>
      <c r="B1561" s="4">
        <v>0</v>
      </c>
      <c r="D1561" s="5">
        <v>10.308952660644293</v>
      </c>
      <c r="E1561" s="4">
        <v>0</v>
      </c>
      <c r="F1561" s="5">
        <v>4.3567088266895917</v>
      </c>
      <c r="G1561" s="4">
        <v>4</v>
      </c>
    </row>
    <row r="1562" spans="1:7" x14ac:dyDescent="0.15">
      <c r="A1562" s="4">
        <v>1561</v>
      </c>
      <c r="B1562" s="4">
        <v>0</v>
      </c>
      <c r="D1562" s="5">
        <v>10.308952660644293</v>
      </c>
      <c r="E1562" s="4">
        <v>0</v>
      </c>
      <c r="F1562" s="5">
        <v>3.5835189384561099</v>
      </c>
      <c r="G1562" s="4">
        <v>6</v>
      </c>
    </row>
    <row r="1563" spans="1:7" x14ac:dyDescent="0.15">
      <c r="A1563" s="4">
        <v>1562</v>
      </c>
      <c r="B1563" s="4">
        <v>0</v>
      </c>
      <c r="D1563" s="5">
        <v>10.308952660644293</v>
      </c>
      <c r="E1563" s="4">
        <v>0</v>
      </c>
      <c r="F1563" s="5">
        <v>4.1896547420264252</v>
      </c>
      <c r="G1563" s="4">
        <v>2</v>
      </c>
    </row>
    <row r="1564" spans="1:7" x14ac:dyDescent="0.15">
      <c r="A1564" s="4">
        <v>1563</v>
      </c>
      <c r="B1564" s="4">
        <v>4</v>
      </c>
      <c r="D1564" s="5">
        <v>10.819778284410283</v>
      </c>
      <c r="E1564" s="4">
        <v>1</v>
      </c>
      <c r="F1564" s="5">
        <v>3.5835189384561099</v>
      </c>
      <c r="G1564" s="4">
        <v>4</v>
      </c>
    </row>
    <row r="1565" spans="1:7" x14ac:dyDescent="0.15">
      <c r="A1565" s="4">
        <v>1564</v>
      </c>
      <c r="B1565" s="4">
        <v>0</v>
      </c>
      <c r="D1565" s="5">
        <v>10.819778284410283</v>
      </c>
      <c r="E1565" s="4">
        <v>1</v>
      </c>
      <c r="F1565" s="5">
        <v>3.4339872044851463</v>
      </c>
      <c r="G1565" s="4">
        <v>4</v>
      </c>
    </row>
    <row r="1566" spans="1:7" x14ac:dyDescent="0.15">
      <c r="A1566" s="4">
        <v>1565</v>
      </c>
      <c r="B1566" s="4">
        <v>1</v>
      </c>
      <c r="D1566" s="5">
        <v>11.736069016284437</v>
      </c>
      <c r="E1566" s="4">
        <v>1</v>
      </c>
      <c r="F1566" s="5">
        <v>3.4657359027997265</v>
      </c>
      <c r="G1566" s="4">
        <v>2</v>
      </c>
    </row>
    <row r="1567" spans="1:7" x14ac:dyDescent="0.15">
      <c r="A1567" s="4">
        <v>1566</v>
      </c>
      <c r="B1567" s="4">
        <v>2</v>
      </c>
      <c r="D1567" s="5">
        <v>11.736069016284437</v>
      </c>
      <c r="E1567" s="4">
        <v>0</v>
      </c>
      <c r="F1567" s="5">
        <v>4.0604430105464191</v>
      </c>
      <c r="G1567" s="4">
        <v>3</v>
      </c>
    </row>
    <row r="1568" spans="1:7" x14ac:dyDescent="0.15">
      <c r="A1568" s="4">
        <v>1567</v>
      </c>
      <c r="B1568" s="4">
        <v>0</v>
      </c>
      <c r="D1568" s="5">
        <v>9.9034875525361272</v>
      </c>
      <c r="E1568" s="4">
        <v>0</v>
      </c>
      <c r="F1568" s="5">
        <v>3.8712010109078911</v>
      </c>
      <c r="G1568" s="4">
        <v>4</v>
      </c>
    </row>
    <row r="1569" spans="1:7" x14ac:dyDescent="0.15">
      <c r="A1569" s="4">
        <v>1568</v>
      </c>
      <c r="B1569" s="4">
        <v>14</v>
      </c>
      <c r="D1569" s="5">
        <v>10.221941283654663</v>
      </c>
      <c r="E1569" s="4">
        <v>1</v>
      </c>
      <c r="F1569" s="5">
        <v>4.1896547420264252</v>
      </c>
      <c r="G1569" s="4">
        <v>3</v>
      </c>
    </row>
    <row r="1570" spans="1:7" x14ac:dyDescent="0.15">
      <c r="A1570" s="4">
        <v>1569</v>
      </c>
      <c r="B1570" s="4">
        <v>50</v>
      </c>
      <c r="D1570" s="5">
        <v>10.221941283654663</v>
      </c>
      <c r="E1570" s="4">
        <v>1</v>
      </c>
      <c r="F1570" s="5">
        <v>3.5835189384561099</v>
      </c>
      <c r="G1570" s="4">
        <v>3</v>
      </c>
    </row>
    <row r="1571" spans="1:7" x14ac:dyDescent="0.15">
      <c r="A1571" s="4">
        <v>1570</v>
      </c>
      <c r="B1571" s="4">
        <v>0</v>
      </c>
      <c r="D1571" s="5">
        <v>10.819778284410283</v>
      </c>
      <c r="E1571" s="4">
        <v>1</v>
      </c>
      <c r="F1571" s="5">
        <v>3.8501476017100584</v>
      </c>
      <c r="G1571" s="4">
        <v>4</v>
      </c>
    </row>
    <row r="1572" spans="1:7" x14ac:dyDescent="0.15">
      <c r="A1572" s="4">
        <v>1571</v>
      </c>
      <c r="B1572" s="4">
        <v>0</v>
      </c>
      <c r="D1572" s="5">
        <v>11.379394072345706</v>
      </c>
      <c r="E1572" s="4">
        <v>1</v>
      </c>
      <c r="F1572" s="5">
        <v>3.3672958299864741</v>
      </c>
      <c r="G1572" s="4">
        <v>3</v>
      </c>
    </row>
    <row r="1573" spans="1:7" x14ac:dyDescent="0.15">
      <c r="A1573" s="4">
        <v>1572</v>
      </c>
      <c r="B1573" s="4">
        <v>0</v>
      </c>
      <c r="D1573" s="5">
        <v>11.918390573078392</v>
      </c>
      <c r="E1573" s="4">
        <v>1</v>
      </c>
      <c r="F1573" s="5">
        <v>3.1780538303479458</v>
      </c>
      <c r="G1573" s="4">
        <v>3</v>
      </c>
    </row>
    <row r="1574" spans="1:7" x14ac:dyDescent="0.15">
      <c r="A1574" s="4">
        <v>1573</v>
      </c>
      <c r="B1574" s="4">
        <v>1</v>
      </c>
      <c r="D1574" s="5">
        <v>10.768484990022733</v>
      </c>
      <c r="E1574" s="4">
        <v>1</v>
      </c>
      <c r="F1574" s="5">
        <v>3.8501476017100584</v>
      </c>
      <c r="G1574" s="4">
        <v>3</v>
      </c>
    </row>
    <row r="1575" spans="1:7" x14ac:dyDescent="0.15">
      <c r="A1575" s="4">
        <v>1574</v>
      </c>
      <c r="B1575" s="4">
        <v>1</v>
      </c>
      <c r="D1575" s="5">
        <v>10.768484990022733</v>
      </c>
      <c r="E1575" s="4">
        <v>1</v>
      </c>
      <c r="F1575" s="5">
        <v>3.7612001156935624</v>
      </c>
      <c r="G1575" s="4">
        <v>3</v>
      </c>
    </row>
    <row r="1576" spans="1:7" x14ac:dyDescent="0.15">
      <c r="A1576" s="4">
        <v>1575</v>
      </c>
      <c r="B1576" s="4">
        <v>0</v>
      </c>
      <c r="D1576" s="5">
        <v>10.388995368317829</v>
      </c>
      <c r="E1576" s="4">
        <v>0</v>
      </c>
      <c r="F1576" s="5">
        <v>3.6375861597263857</v>
      </c>
      <c r="G1576" s="4">
        <v>4</v>
      </c>
    </row>
    <row r="1577" spans="1:7" x14ac:dyDescent="0.15">
      <c r="A1577" s="4">
        <v>1576</v>
      </c>
      <c r="B1577" s="4">
        <v>0</v>
      </c>
      <c r="D1577" s="5">
        <v>11.119882876860622</v>
      </c>
      <c r="E1577" s="4">
        <v>1</v>
      </c>
      <c r="F1577" s="5">
        <v>3.8918202981106265</v>
      </c>
      <c r="G1577" s="4">
        <v>6</v>
      </c>
    </row>
    <row r="1578" spans="1:7" x14ac:dyDescent="0.15">
      <c r="A1578" s="4">
        <v>1577</v>
      </c>
      <c r="B1578" s="4">
        <v>0</v>
      </c>
      <c r="D1578" s="5">
        <v>10.221941283654663</v>
      </c>
      <c r="E1578" s="4">
        <v>0</v>
      </c>
      <c r="F1578" s="5">
        <v>3.6375861597263857</v>
      </c>
      <c r="G1578" s="4">
        <v>4</v>
      </c>
    </row>
    <row r="1579" spans="1:7" x14ac:dyDescent="0.15">
      <c r="A1579" s="4">
        <v>1578</v>
      </c>
      <c r="B1579" s="4">
        <v>0</v>
      </c>
      <c r="D1579" s="5">
        <v>10.819778284410283</v>
      </c>
      <c r="E1579" s="4">
        <v>1</v>
      </c>
      <c r="F1579" s="5">
        <v>3.8066624897703196</v>
      </c>
      <c r="G1579" s="4">
        <v>3</v>
      </c>
    </row>
    <row r="1580" spans="1:7" x14ac:dyDescent="0.15">
      <c r="A1580" s="4">
        <v>1579</v>
      </c>
      <c r="B1580" s="4">
        <v>1</v>
      </c>
      <c r="D1580" s="5">
        <v>10.819778284410283</v>
      </c>
      <c r="E1580" s="4">
        <v>0</v>
      </c>
      <c r="F1580" s="5">
        <v>2.9957322735539909</v>
      </c>
      <c r="G1580" s="4">
        <v>4</v>
      </c>
    </row>
    <row r="1581" spans="1:7" x14ac:dyDescent="0.15">
      <c r="A1581" s="4">
        <v>1580</v>
      </c>
      <c r="B1581" s="4">
        <v>0</v>
      </c>
      <c r="D1581" s="5">
        <v>10.819778284410283</v>
      </c>
      <c r="E1581" s="4">
        <v>1</v>
      </c>
      <c r="F1581" s="5">
        <v>3.2580965380214821</v>
      </c>
      <c r="G1581" s="4">
        <v>3</v>
      </c>
    </row>
    <row r="1582" spans="1:7" x14ac:dyDescent="0.15">
      <c r="A1582" s="4">
        <v>1581</v>
      </c>
      <c r="B1582" s="4">
        <v>1</v>
      </c>
      <c r="D1582" s="5">
        <v>11.379394072345706</v>
      </c>
      <c r="E1582" s="4">
        <v>1</v>
      </c>
      <c r="F1582" s="5">
        <v>3.912023005428146</v>
      </c>
      <c r="G1582" s="4">
        <v>3</v>
      </c>
    </row>
    <row r="1583" spans="1:7" x14ac:dyDescent="0.15">
      <c r="A1583" s="4">
        <v>1582</v>
      </c>
      <c r="B1583" s="4">
        <v>1</v>
      </c>
      <c r="D1583" s="5">
        <v>10.308952660644293</v>
      </c>
      <c r="E1583" s="4">
        <v>0</v>
      </c>
      <c r="F1583" s="5">
        <v>3.6375861597263857</v>
      </c>
      <c r="G1583" s="4">
        <v>7</v>
      </c>
    </row>
    <row r="1584" spans="1:7" x14ac:dyDescent="0.15">
      <c r="A1584" s="4">
        <v>1583</v>
      </c>
      <c r="B1584" s="4">
        <v>0</v>
      </c>
      <c r="D1584" s="5">
        <v>11.191341840842766</v>
      </c>
      <c r="E1584" s="4">
        <v>0</v>
      </c>
      <c r="F1584" s="5">
        <v>4.1896547420264252</v>
      </c>
      <c r="G1584" s="4">
        <v>2</v>
      </c>
    </row>
    <row r="1585" spans="1:7" x14ac:dyDescent="0.15">
      <c r="A1585" s="4">
        <v>1584</v>
      </c>
      <c r="B1585" s="4">
        <v>0</v>
      </c>
      <c r="D1585" s="5">
        <v>11.379394072345706</v>
      </c>
      <c r="E1585" s="4">
        <v>1</v>
      </c>
      <c r="F1585" s="5">
        <v>4.0430512678345503</v>
      </c>
      <c r="G1585" s="4">
        <v>2</v>
      </c>
    </row>
    <row r="1586" spans="1:7" x14ac:dyDescent="0.15">
      <c r="A1586" s="4">
        <v>1585</v>
      </c>
      <c r="B1586" s="4">
        <v>0</v>
      </c>
      <c r="D1586" s="5">
        <v>10.915088464214607</v>
      </c>
      <c r="E1586" s="4">
        <v>0</v>
      </c>
      <c r="F1586" s="5">
        <v>3.5263605246161616</v>
      </c>
      <c r="G1586" s="4">
        <v>5</v>
      </c>
    </row>
    <row r="1587" spans="1:7" x14ac:dyDescent="0.15">
      <c r="A1587" s="4">
        <v>1586</v>
      </c>
      <c r="B1587" s="4">
        <v>0</v>
      </c>
      <c r="D1587" s="5">
        <v>10.819778284410283</v>
      </c>
      <c r="E1587" s="4">
        <v>1</v>
      </c>
      <c r="F1587" s="5">
        <v>3.3322045101752038</v>
      </c>
      <c r="G1587" s="4">
        <v>4</v>
      </c>
    </row>
    <row r="1588" spans="1:7" x14ac:dyDescent="0.15">
      <c r="A1588" s="4">
        <v>1587</v>
      </c>
      <c r="B1588" s="4">
        <v>0</v>
      </c>
      <c r="D1588" s="5">
        <v>9.3281234076325656</v>
      </c>
      <c r="E1588" s="4">
        <v>1</v>
      </c>
      <c r="F1588" s="5">
        <v>3.3322045101752038</v>
      </c>
      <c r="G1588" s="4">
        <v>2</v>
      </c>
    </row>
    <row r="1589" spans="1:7" x14ac:dyDescent="0.15">
      <c r="A1589" s="4">
        <v>1588</v>
      </c>
      <c r="B1589" s="4">
        <v>1</v>
      </c>
      <c r="D1589" s="5">
        <v>10.819778284410283</v>
      </c>
      <c r="E1589" s="4">
        <v>1</v>
      </c>
      <c r="F1589" s="5">
        <v>3.5553480614894135</v>
      </c>
      <c r="G1589" s="4">
        <v>6</v>
      </c>
    </row>
    <row r="1590" spans="1:7" x14ac:dyDescent="0.15">
      <c r="A1590" s="4">
        <v>1589</v>
      </c>
      <c r="B1590" s="4">
        <v>0</v>
      </c>
      <c r="D1590" s="5">
        <v>11.379394072345706</v>
      </c>
      <c r="E1590" s="4">
        <v>1</v>
      </c>
      <c r="F1590" s="5">
        <v>3.9889840465642745</v>
      </c>
      <c r="G1590" s="4">
        <v>4</v>
      </c>
    </row>
    <row r="1591" spans="1:7" x14ac:dyDescent="0.15">
      <c r="A1591" s="4">
        <v>1590</v>
      </c>
      <c r="B1591" s="4">
        <v>2</v>
      </c>
      <c r="D1591" s="5">
        <v>11.736069016284437</v>
      </c>
      <c r="E1591" s="4">
        <v>1</v>
      </c>
      <c r="F1591" s="5">
        <v>3.6109179126442243</v>
      </c>
      <c r="G1591" s="4">
        <v>4</v>
      </c>
    </row>
    <row r="1592" spans="1:7" x14ac:dyDescent="0.15">
      <c r="A1592" s="4">
        <v>1591</v>
      </c>
      <c r="B1592" s="4">
        <v>0</v>
      </c>
      <c r="D1592" s="5">
        <v>10.221941283654663</v>
      </c>
      <c r="E1592" s="4">
        <v>1</v>
      </c>
      <c r="F1592" s="5">
        <v>3.5835189384561099</v>
      </c>
      <c r="G1592" s="4">
        <v>3</v>
      </c>
    </row>
    <row r="1593" spans="1:7" x14ac:dyDescent="0.15">
      <c r="A1593" s="4">
        <v>1592</v>
      </c>
      <c r="B1593" s="4">
        <v>0</v>
      </c>
      <c r="D1593" s="5">
        <v>10.308952660644293</v>
      </c>
      <c r="E1593" s="4">
        <v>1</v>
      </c>
      <c r="F1593" s="5">
        <v>4.1108738641733114</v>
      </c>
      <c r="G1593" s="4">
        <v>3</v>
      </c>
    </row>
    <row r="1594" spans="1:7" x14ac:dyDescent="0.15">
      <c r="A1594" s="4">
        <v>1593</v>
      </c>
      <c r="B1594" s="4">
        <v>0</v>
      </c>
      <c r="D1594" s="5">
        <v>11.736069016284437</v>
      </c>
      <c r="E1594" s="4">
        <v>1</v>
      </c>
      <c r="F1594" s="5">
        <v>2.8332133440562162</v>
      </c>
      <c r="G1594" s="4">
        <v>6</v>
      </c>
    </row>
    <row r="1595" spans="1:7" x14ac:dyDescent="0.15">
      <c r="A1595" s="4">
        <v>1594</v>
      </c>
      <c r="B1595" s="4">
        <v>0</v>
      </c>
      <c r="D1595" s="5">
        <v>11.379394072345706</v>
      </c>
      <c r="E1595" s="4">
        <v>0</v>
      </c>
      <c r="F1595" s="5">
        <v>4.0943445622221004</v>
      </c>
      <c r="G1595" s="4">
        <v>2</v>
      </c>
    </row>
    <row r="1596" spans="1:7" x14ac:dyDescent="0.15">
      <c r="A1596" s="4">
        <v>1595</v>
      </c>
      <c r="B1596" s="4">
        <v>0</v>
      </c>
      <c r="D1596" s="5">
        <v>11.119882876860622</v>
      </c>
      <c r="E1596" s="4">
        <v>0</v>
      </c>
      <c r="F1596" s="5">
        <v>3.4011973816621555</v>
      </c>
      <c r="G1596" s="4">
        <v>4</v>
      </c>
    </row>
    <row r="1597" spans="1:7" x14ac:dyDescent="0.15">
      <c r="A1597" s="4">
        <v>1596</v>
      </c>
      <c r="B1597" s="4">
        <v>0</v>
      </c>
      <c r="D1597" s="5">
        <v>10.532096211958502</v>
      </c>
      <c r="E1597" s="4">
        <v>0</v>
      </c>
      <c r="F1597" s="5">
        <v>3.5263605246161616</v>
      </c>
      <c r="G1597" s="4">
        <v>1</v>
      </c>
    </row>
    <row r="1598" spans="1:7" x14ac:dyDescent="0.15">
      <c r="A1598" s="4">
        <v>1597</v>
      </c>
      <c r="B1598" s="4">
        <v>0</v>
      </c>
      <c r="D1598" s="5">
        <v>11.119882876860622</v>
      </c>
      <c r="E1598" s="4">
        <v>0</v>
      </c>
      <c r="F1598" s="5">
        <v>3.6635616461296463</v>
      </c>
      <c r="G1598" s="4">
        <v>2</v>
      </c>
    </row>
    <row r="1599" spans="1:7" x14ac:dyDescent="0.15">
      <c r="A1599" s="4">
        <v>1598</v>
      </c>
      <c r="B1599" s="4">
        <v>1</v>
      </c>
      <c r="D1599" s="5">
        <v>10.915088464214607</v>
      </c>
      <c r="E1599" s="4">
        <v>1</v>
      </c>
      <c r="F1599" s="5">
        <v>3.784189633918261</v>
      </c>
      <c r="G1599" s="4">
        <v>2</v>
      </c>
    </row>
    <row r="1600" spans="1:7" x14ac:dyDescent="0.15">
      <c r="A1600" s="4">
        <v>1599</v>
      </c>
      <c r="B1600" s="4">
        <v>0</v>
      </c>
      <c r="D1600" s="5">
        <v>10.388995368317829</v>
      </c>
      <c r="E1600" s="4">
        <v>0</v>
      </c>
      <c r="F1600" s="5">
        <v>3.2958368660043291</v>
      </c>
      <c r="G1600" s="4">
        <v>2</v>
      </c>
    </row>
    <row r="1601" spans="1:7" x14ac:dyDescent="0.15">
      <c r="A1601" s="4">
        <v>1600</v>
      </c>
      <c r="B1601" s="4">
        <v>0</v>
      </c>
      <c r="D1601" s="5">
        <v>10.657259354912508</v>
      </c>
      <c r="E1601" s="4">
        <v>1</v>
      </c>
      <c r="F1601" s="5">
        <v>3.4965075614664802</v>
      </c>
      <c r="G1601" s="4">
        <v>3</v>
      </c>
    </row>
    <row r="1602" spans="1:7" x14ac:dyDescent="0.15">
      <c r="A1602" s="4">
        <v>1601</v>
      </c>
      <c r="B1602" s="4">
        <v>0</v>
      </c>
      <c r="D1602" s="5">
        <v>10.915088464214607</v>
      </c>
      <c r="E1602" s="4">
        <v>1</v>
      </c>
      <c r="F1602" s="5">
        <v>3.2188758248682006</v>
      </c>
      <c r="G1602" s="4">
        <v>3</v>
      </c>
    </row>
    <row r="1603" spans="1:7" x14ac:dyDescent="0.15">
      <c r="A1603" s="4">
        <v>1602</v>
      </c>
      <c r="B1603" s="4">
        <v>0</v>
      </c>
      <c r="D1603" s="5">
        <v>10.657259354912508</v>
      </c>
      <c r="E1603" s="4">
        <v>1</v>
      </c>
      <c r="F1603" s="5">
        <v>3.5835189384561099</v>
      </c>
      <c r="G1603" s="4">
        <v>2</v>
      </c>
    </row>
    <row r="1604" spans="1:7" x14ac:dyDescent="0.15">
      <c r="A1604" s="4">
        <v>1603</v>
      </c>
      <c r="B1604" s="4">
        <v>0</v>
      </c>
      <c r="D1604" s="5">
        <v>9.3281234076325656</v>
      </c>
      <c r="E1604" s="4">
        <v>1</v>
      </c>
      <c r="F1604" s="5">
        <v>3.2188758248682006</v>
      </c>
      <c r="G1604" s="4">
        <v>6</v>
      </c>
    </row>
    <row r="1605" spans="1:7" x14ac:dyDescent="0.15">
      <c r="A1605" s="4">
        <v>1604</v>
      </c>
      <c r="B1605" s="4">
        <v>0</v>
      </c>
      <c r="D1605" s="5">
        <v>10.657259354912508</v>
      </c>
      <c r="E1605" s="4">
        <v>1</v>
      </c>
      <c r="F1605" s="5">
        <v>3.2188758248682006</v>
      </c>
      <c r="G1605" s="4">
        <v>2</v>
      </c>
    </row>
    <row r="1606" spans="1:7" x14ac:dyDescent="0.15">
      <c r="A1606" s="4">
        <v>1605</v>
      </c>
      <c r="B1606" s="4">
        <v>0</v>
      </c>
      <c r="D1606" s="5">
        <v>10.657259354912508</v>
      </c>
      <c r="E1606" s="4">
        <v>1</v>
      </c>
      <c r="F1606" s="5">
        <v>3.4011973816621555</v>
      </c>
      <c r="G1606" s="4">
        <v>4</v>
      </c>
    </row>
    <row r="1607" spans="1:7" x14ac:dyDescent="0.15">
      <c r="A1607" s="4">
        <v>1606</v>
      </c>
      <c r="B1607" s="4">
        <v>0</v>
      </c>
      <c r="D1607" s="5">
        <v>11.191341840842766</v>
      </c>
      <c r="E1607" s="4">
        <v>1</v>
      </c>
      <c r="F1607" s="5">
        <v>3.8286413964890951</v>
      </c>
      <c r="G1607" s="4">
        <v>4</v>
      </c>
    </row>
    <row r="1608" spans="1:7" x14ac:dyDescent="0.15">
      <c r="A1608" s="4">
        <v>1607</v>
      </c>
      <c r="B1608" s="4">
        <v>0</v>
      </c>
      <c r="D1608" s="5">
        <v>9.3281234076325656</v>
      </c>
      <c r="E1608" s="4">
        <v>1</v>
      </c>
      <c r="F1608" s="5">
        <v>3.6375861597263857</v>
      </c>
      <c r="G1608" s="4">
        <v>8</v>
      </c>
    </row>
    <row r="1609" spans="1:7" x14ac:dyDescent="0.15">
      <c r="A1609" s="4">
        <v>1608</v>
      </c>
      <c r="B1609" s="4">
        <v>0</v>
      </c>
      <c r="D1609" s="5">
        <v>10.915088464214607</v>
      </c>
      <c r="E1609" s="4">
        <v>0</v>
      </c>
      <c r="F1609" s="5">
        <v>3.5553480614894135</v>
      </c>
      <c r="G1609" s="4">
        <v>4</v>
      </c>
    </row>
    <row r="1610" spans="1:7" x14ac:dyDescent="0.15">
      <c r="A1610" s="4">
        <v>1609</v>
      </c>
      <c r="B1610" s="4">
        <v>0</v>
      </c>
      <c r="D1610" s="5">
        <v>10.308952660644293</v>
      </c>
      <c r="E1610" s="4">
        <v>1</v>
      </c>
      <c r="F1610" s="5">
        <v>4.0073331852324712</v>
      </c>
      <c r="G1610" s="4">
        <v>4</v>
      </c>
    </row>
    <row r="1611" spans="1:7" x14ac:dyDescent="0.15">
      <c r="A1611" s="4">
        <v>1610</v>
      </c>
      <c r="B1611" s="4">
        <v>0</v>
      </c>
      <c r="D1611" s="5">
        <v>10.308952660644293</v>
      </c>
      <c r="E1611" s="4">
        <v>1</v>
      </c>
      <c r="F1611" s="5">
        <v>3.970291913552122</v>
      </c>
      <c r="G1611" s="4">
        <v>5</v>
      </c>
    </row>
    <row r="1612" spans="1:7" x14ac:dyDescent="0.15">
      <c r="A1612" s="4">
        <v>1611</v>
      </c>
      <c r="B1612" s="4">
        <v>1</v>
      </c>
      <c r="D1612" s="5">
        <v>10.388995368317829</v>
      </c>
      <c r="E1612" s="4">
        <v>0</v>
      </c>
      <c r="F1612" s="5">
        <v>3.4657359027997265</v>
      </c>
      <c r="G1612" s="4">
        <v>1</v>
      </c>
    </row>
    <row r="1613" spans="1:7" x14ac:dyDescent="0.15">
      <c r="A1613" s="4">
        <v>1612</v>
      </c>
      <c r="B1613" s="4">
        <v>1</v>
      </c>
      <c r="D1613" s="5">
        <v>11.379394072345706</v>
      </c>
      <c r="E1613" s="4">
        <v>1</v>
      </c>
      <c r="F1613" s="5">
        <v>3.6375861597263857</v>
      </c>
      <c r="G1613" s="4">
        <v>5</v>
      </c>
    </row>
    <row r="1614" spans="1:7" x14ac:dyDescent="0.15">
      <c r="A1614" s="4">
        <v>1613</v>
      </c>
      <c r="B1614" s="4">
        <v>0</v>
      </c>
      <c r="D1614" s="5">
        <v>10.915088464214607</v>
      </c>
      <c r="E1614" s="4">
        <v>1</v>
      </c>
      <c r="F1614" s="5">
        <v>3.9318256327243257</v>
      </c>
      <c r="G1614" s="4">
        <v>2</v>
      </c>
    </row>
    <row r="1615" spans="1:7" x14ac:dyDescent="0.15">
      <c r="A1615" s="4">
        <v>1614</v>
      </c>
      <c r="B1615" s="4">
        <v>0</v>
      </c>
      <c r="D1615" s="5">
        <v>10.915088464214607</v>
      </c>
      <c r="E1615" s="4">
        <v>0</v>
      </c>
      <c r="F1615" s="5">
        <v>3.9512437185814275</v>
      </c>
      <c r="G1615" s="4">
        <v>2</v>
      </c>
    </row>
    <row r="1616" spans="1:7" x14ac:dyDescent="0.15">
      <c r="A1616" s="4">
        <v>1615</v>
      </c>
      <c r="B1616" s="4">
        <v>0</v>
      </c>
      <c r="D1616" s="5">
        <v>9.9034875525361272</v>
      </c>
      <c r="E1616" s="4">
        <v>1</v>
      </c>
      <c r="F1616" s="5">
        <v>4.1108738641733114</v>
      </c>
      <c r="G1616" s="4">
        <v>2</v>
      </c>
    </row>
    <row r="1617" spans="1:7" x14ac:dyDescent="0.15">
      <c r="A1617" s="4">
        <v>1616</v>
      </c>
      <c r="B1617" s="4">
        <v>3</v>
      </c>
      <c r="D1617" s="5">
        <v>10.819778284410283</v>
      </c>
      <c r="E1617" s="4">
        <v>1</v>
      </c>
      <c r="F1617" s="5">
        <v>4.2046926193909657</v>
      </c>
      <c r="G1617" s="4">
        <v>3</v>
      </c>
    </row>
    <row r="1618" spans="1:7" x14ac:dyDescent="0.15">
      <c r="A1618" s="4">
        <v>1617</v>
      </c>
      <c r="B1618" s="4">
        <v>0</v>
      </c>
      <c r="D1618" s="5">
        <v>11.379394072345706</v>
      </c>
      <c r="E1618" s="4">
        <v>0</v>
      </c>
      <c r="F1618" s="5">
        <v>3.8712010109078911</v>
      </c>
      <c r="G1618" s="4">
        <v>5</v>
      </c>
    </row>
    <row r="1619" spans="1:7" x14ac:dyDescent="0.15">
      <c r="A1619" s="4">
        <v>1618</v>
      </c>
      <c r="B1619" s="4">
        <v>0</v>
      </c>
      <c r="D1619" s="5">
        <v>10.388995368317829</v>
      </c>
      <c r="E1619" s="4">
        <v>0</v>
      </c>
      <c r="F1619" s="5">
        <v>3.3322045101752038</v>
      </c>
      <c r="G1619" s="4">
        <v>1</v>
      </c>
    </row>
    <row r="1620" spans="1:7" x14ac:dyDescent="0.15">
      <c r="A1620" s="4">
        <v>1619</v>
      </c>
      <c r="B1620" s="4">
        <v>3</v>
      </c>
      <c r="D1620" s="5">
        <v>11.918390573078392</v>
      </c>
      <c r="E1620" s="4">
        <v>1</v>
      </c>
      <c r="F1620" s="5">
        <v>3.5835189384561099</v>
      </c>
      <c r="G1620" s="4">
        <v>4</v>
      </c>
    </row>
    <row r="1621" spans="1:7" x14ac:dyDescent="0.15">
      <c r="A1621" s="4">
        <v>1620</v>
      </c>
      <c r="B1621" s="4">
        <v>0</v>
      </c>
      <c r="D1621" s="5">
        <v>11.119882876860622</v>
      </c>
      <c r="E1621" s="4">
        <v>1</v>
      </c>
      <c r="F1621" s="5">
        <v>3.4965075614664802</v>
      </c>
      <c r="G1621" s="4">
        <v>7</v>
      </c>
    </row>
    <row r="1622" spans="1:7" x14ac:dyDescent="0.15">
      <c r="A1622" s="4">
        <v>1621</v>
      </c>
      <c r="B1622" s="4">
        <v>0</v>
      </c>
      <c r="D1622" s="5">
        <v>11.119882876860622</v>
      </c>
      <c r="E1622" s="4">
        <v>1</v>
      </c>
      <c r="F1622" s="5">
        <v>3.3322045101752038</v>
      </c>
      <c r="G1622" s="4">
        <v>3</v>
      </c>
    </row>
    <row r="1623" spans="1:7" x14ac:dyDescent="0.15">
      <c r="A1623" s="4">
        <v>1622</v>
      </c>
      <c r="B1623" s="4">
        <v>0</v>
      </c>
      <c r="D1623" s="5">
        <v>11.918390573078392</v>
      </c>
      <c r="E1623" s="4">
        <v>1</v>
      </c>
      <c r="F1623" s="5">
        <v>4.0604430105464191</v>
      </c>
      <c r="G1623" s="4">
        <v>3</v>
      </c>
    </row>
    <row r="1624" spans="1:7" x14ac:dyDescent="0.15">
      <c r="A1624" s="4">
        <v>1623</v>
      </c>
      <c r="B1624" s="4">
        <v>1</v>
      </c>
      <c r="D1624" s="5">
        <v>10.819778284410283</v>
      </c>
      <c r="E1624" s="4">
        <v>1</v>
      </c>
      <c r="F1624" s="5">
        <v>3.8918202981106265</v>
      </c>
      <c r="G1624" s="4">
        <v>3</v>
      </c>
    </row>
    <row r="1625" spans="1:7" x14ac:dyDescent="0.15">
      <c r="A1625" s="4">
        <v>1624</v>
      </c>
      <c r="B1625" s="4">
        <v>0</v>
      </c>
      <c r="D1625" s="5">
        <v>10.388995368317829</v>
      </c>
      <c r="E1625" s="4">
        <v>0</v>
      </c>
      <c r="F1625" s="5">
        <v>3.5553480614894135</v>
      </c>
      <c r="G1625" s="4">
        <v>4</v>
      </c>
    </row>
    <row r="1626" spans="1:7" x14ac:dyDescent="0.15">
      <c r="A1626" s="4">
        <v>1625</v>
      </c>
      <c r="B1626" s="4">
        <v>0</v>
      </c>
      <c r="D1626" s="5">
        <v>10.819778284410283</v>
      </c>
      <c r="E1626" s="4">
        <v>1</v>
      </c>
      <c r="F1626" s="5">
        <v>3.8066624897703196</v>
      </c>
      <c r="G1626" s="4">
        <v>3</v>
      </c>
    </row>
    <row r="1627" spans="1:7" x14ac:dyDescent="0.15">
      <c r="A1627" s="4">
        <v>1626</v>
      </c>
      <c r="B1627" s="4">
        <v>0</v>
      </c>
      <c r="D1627" s="5">
        <v>11.119882876860622</v>
      </c>
      <c r="E1627" s="4">
        <v>1</v>
      </c>
      <c r="F1627" s="5">
        <v>3.4339872044851463</v>
      </c>
      <c r="G1627" s="4">
        <v>4</v>
      </c>
    </row>
    <row r="1628" spans="1:7" x14ac:dyDescent="0.15">
      <c r="A1628" s="4">
        <v>1627</v>
      </c>
      <c r="B1628" s="4">
        <v>0</v>
      </c>
      <c r="D1628" s="5">
        <v>10.819778284410283</v>
      </c>
      <c r="E1628" s="4">
        <v>1</v>
      </c>
      <c r="F1628" s="5">
        <v>2.7080502011022101</v>
      </c>
      <c r="G1628" s="4">
        <v>4</v>
      </c>
    </row>
    <row r="1629" spans="1:7" x14ac:dyDescent="0.15">
      <c r="A1629" s="4">
        <v>1628</v>
      </c>
      <c r="B1629" s="4">
        <v>0</v>
      </c>
      <c r="D1629" s="5">
        <v>9.9034875525361272</v>
      </c>
      <c r="E1629" s="4">
        <v>1</v>
      </c>
      <c r="F1629" s="5">
        <v>3.8066624897703196</v>
      </c>
      <c r="G1629" s="4">
        <v>5</v>
      </c>
    </row>
    <row r="1630" spans="1:7" x14ac:dyDescent="0.15">
      <c r="A1630" s="4">
        <v>1629</v>
      </c>
      <c r="B1630" s="4">
        <v>0</v>
      </c>
      <c r="D1630" s="5">
        <v>11.119882876860622</v>
      </c>
      <c r="E1630" s="4">
        <v>1</v>
      </c>
      <c r="F1630" s="5">
        <v>3.5263605246161616</v>
      </c>
      <c r="G1630" s="4">
        <v>3</v>
      </c>
    </row>
    <row r="1631" spans="1:7" x14ac:dyDescent="0.15">
      <c r="A1631" s="4">
        <v>1630</v>
      </c>
      <c r="B1631" s="4">
        <v>0</v>
      </c>
      <c r="D1631" s="5">
        <v>10.388995368317829</v>
      </c>
      <c r="E1631" s="4">
        <v>1</v>
      </c>
      <c r="F1631" s="5">
        <v>3.4657359027997265</v>
      </c>
      <c r="G1631" s="4">
        <v>4</v>
      </c>
    </row>
    <row r="1632" spans="1:7" x14ac:dyDescent="0.15">
      <c r="A1632" s="4">
        <v>1631</v>
      </c>
      <c r="B1632" s="4">
        <v>0</v>
      </c>
      <c r="D1632" s="5">
        <v>10.768484990022733</v>
      </c>
      <c r="E1632" s="4">
        <v>0</v>
      </c>
      <c r="F1632" s="5">
        <v>3.4011973816621555</v>
      </c>
      <c r="G1632" s="4">
        <v>2</v>
      </c>
    </row>
    <row r="1633" spans="1:7" x14ac:dyDescent="0.15">
      <c r="A1633" s="4">
        <v>1632</v>
      </c>
      <c r="B1633" s="4">
        <v>1</v>
      </c>
      <c r="D1633" s="5">
        <v>11.736069016284437</v>
      </c>
      <c r="E1633" s="4">
        <v>0</v>
      </c>
      <c r="F1633" s="5">
        <v>3.970291913552122</v>
      </c>
      <c r="G1633" s="4">
        <v>3</v>
      </c>
    </row>
    <row r="1634" spans="1:7" x14ac:dyDescent="0.15">
      <c r="A1634" s="4">
        <v>1633</v>
      </c>
      <c r="B1634" s="4">
        <v>7</v>
      </c>
      <c r="D1634" s="5">
        <v>11.736069016284437</v>
      </c>
      <c r="E1634" s="4">
        <v>0</v>
      </c>
      <c r="F1634" s="5">
        <v>4.1108738641733114</v>
      </c>
      <c r="G1634" s="4">
        <v>2</v>
      </c>
    </row>
    <row r="1635" spans="1:7" x14ac:dyDescent="0.15">
      <c r="A1635" s="4">
        <v>1634</v>
      </c>
      <c r="B1635" s="4">
        <v>0</v>
      </c>
      <c r="D1635" s="5">
        <v>10.021270588192511</v>
      </c>
      <c r="E1635" s="4">
        <v>0</v>
      </c>
      <c r="F1635" s="5">
        <v>3.5263605246161616</v>
      </c>
      <c r="G1635" s="4">
        <v>1</v>
      </c>
    </row>
    <row r="1636" spans="1:7" x14ac:dyDescent="0.15">
      <c r="A1636" s="4">
        <v>1635</v>
      </c>
      <c r="B1636" s="4">
        <v>0</v>
      </c>
      <c r="D1636" s="5">
        <v>10.819778284410283</v>
      </c>
      <c r="E1636" s="4">
        <v>1</v>
      </c>
      <c r="F1636" s="5">
        <v>2.8903717578961645</v>
      </c>
      <c r="G1636" s="4">
        <v>3</v>
      </c>
    </row>
    <row r="1637" spans="1:7" x14ac:dyDescent="0.15">
      <c r="A1637" s="4">
        <v>1636</v>
      </c>
      <c r="B1637" s="4">
        <v>0</v>
      </c>
      <c r="D1637" s="5">
        <v>11.191341840842766</v>
      </c>
      <c r="E1637" s="4">
        <v>1</v>
      </c>
      <c r="F1637" s="5">
        <v>3.784189633918261</v>
      </c>
      <c r="G1637" s="4">
        <v>2</v>
      </c>
    </row>
    <row r="1638" spans="1:7" x14ac:dyDescent="0.15">
      <c r="A1638" s="4">
        <v>1637</v>
      </c>
      <c r="B1638" s="4">
        <v>0</v>
      </c>
      <c r="D1638" s="5">
        <v>10.657259354912508</v>
      </c>
      <c r="E1638" s="4">
        <v>1</v>
      </c>
      <c r="F1638" s="5">
        <v>4.0253516907351496</v>
      </c>
      <c r="G1638" s="4">
        <v>2</v>
      </c>
    </row>
    <row r="1639" spans="1:7" x14ac:dyDescent="0.15">
      <c r="A1639" s="4">
        <v>1638</v>
      </c>
      <c r="B1639" s="4">
        <v>0</v>
      </c>
      <c r="D1639" s="5">
        <v>10.819778284410283</v>
      </c>
      <c r="E1639" s="4">
        <v>0</v>
      </c>
      <c r="F1639" s="5">
        <v>3.912023005428146</v>
      </c>
      <c r="G1639" s="4">
        <v>2</v>
      </c>
    </row>
    <row r="1640" spans="1:7" x14ac:dyDescent="0.15">
      <c r="A1640" s="4">
        <v>1639</v>
      </c>
      <c r="B1640" s="4">
        <v>0</v>
      </c>
      <c r="D1640" s="5">
        <v>11.379394072345706</v>
      </c>
      <c r="E1640" s="4">
        <v>1</v>
      </c>
      <c r="F1640" s="5">
        <v>3.970291913552122</v>
      </c>
      <c r="G1640" s="4">
        <v>2</v>
      </c>
    </row>
    <row r="1641" spans="1:7" x14ac:dyDescent="0.15">
      <c r="A1641" s="4">
        <v>1640</v>
      </c>
      <c r="B1641" s="4">
        <v>0</v>
      </c>
      <c r="D1641" s="5">
        <v>11.736069016284437</v>
      </c>
      <c r="E1641" s="4">
        <v>1</v>
      </c>
      <c r="F1641" s="5">
        <v>3.713572066704308</v>
      </c>
      <c r="G1641" s="4">
        <v>4</v>
      </c>
    </row>
    <row r="1642" spans="1:7" x14ac:dyDescent="0.15">
      <c r="A1642" s="4">
        <v>1641</v>
      </c>
      <c r="B1642" s="4">
        <v>0</v>
      </c>
      <c r="D1642" s="5">
        <v>10.915088464214607</v>
      </c>
      <c r="E1642" s="4">
        <v>0</v>
      </c>
      <c r="F1642" s="5">
        <v>4.1271343850450917</v>
      </c>
      <c r="G1642" s="4">
        <v>2</v>
      </c>
    </row>
    <row r="1643" spans="1:7" x14ac:dyDescent="0.15">
      <c r="A1643" s="4">
        <v>1642</v>
      </c>
      <c r="B1643" s="4">
        <v>0</v>
      </c>
      <c r="D1643" s="5">
        <v>11.736069016284437</v>
      </c>
      <c r="E1643" s="4">
        <v>0</v>
      </c>
      <c r="F1643" s="5">
        <v>3.3672958299864741</v>
      </c>
      <c r="G1643" s="4">
        <v>3</v>
      </c>
    </row>
    <row r="1644" spans="1:7" x14ac:dyDescent="0.15">
      <c r="A1644" s="4">
        <v>1643</v>
      </c>
      <c r="B1644" s="4">
        <v>0</v>
      </c>
      <c r="D1644" s="5">
        <v>11.736069016284437</v>
      </c>
      <c r="E1644" s="4">
        <v>1</v>
      </c>
      <c r="F1644" s="5">
        <v>3.3672958299864741</v>
      </c>
      <c r="G1644" s="4">
        <v>5</v>
      </c>
    </row>
    <row r="1645" spans="1:7" x14ac:dyDescent="0.15">
      <c r="A1645" s="4">
        <v>1644</v>
      </c>
      <c r="B1645" s="4">
        <v>1</v>
      </c>
      <c r="D1645" s="5">
        <v>10.657259354912508</v>
      </c>
      <c r="E1645" s="4">
        <v>1</v>
      </c>
      <c r="F1645" s="5">
        <v>4.1588830833596715</v>
      </c>
      <c r="G1645" s="4">
        <v>1</v>
      </c>
    </row>
    <row r="1646" spans="1:7" x14ac:dyDescent="0.15">
      <c r="A1646" s="4">
        <v>1645</v>
      </c>
      <c r="B1646" s="4">
        <v>0</v>
      </c>
      <c r="D1646" s="5">
        <v>12.206072645530174</v>
      </c>
      <c r="E1646" s="4">
        <v>1</v>
      </c>
      <c r="F1646" s="5">
        <v>3.713572066704308</v>
      </c>
      <c r="G1646" s="4">
        <v>4</v>
      </c>
    </row>
    <row r="1647" spans="1:7" x14ac:dyDescent="0.15">
      <c r="A1647" s="4">
        <v>1646</v>
      </c>
      <c r="B1647" s="4">
        <v>0</v>
      </c>
      <c r="D1647" s="5">
        <v>10.657259354912508</v>
      </c>
      <c r="E1647" s="4">
        <v>1</v>
      </c>
      <c r="F1647" s="5">
        <v>4.3174881135363101</v>
      </c>
      <c r="G1647" s="4">
        <v>2</v>
      </c>
    </row>
    <row r="1648" spans="1:7" x14ac:dyDescent="0.15">
      <c r="A1648" s="4">
        <v>1647</v>
      </c>
      <c r="B1648" s="4">
        <v>0</v>
      </c>
      <c r="D1648" s="5">
        <v>11.379394072345706</v>
      </c>
      <c r="E1648" s="4">
        <v>1</v>
      </c>
      <c r="F1648" s="5">
        <v>3.7376696182833684</v>
      </c>
      <c r="G1648" s="4">
        <v>4</v>
      </c>
    </row>
    <row r="1649" spans="1:7" x14ac:dyDescent="0.15">
      <c r="A1649" s="4">
        <v>1648</v>
      </c>
      <c r="B1649" s="4">
        <v>0</v>
      </c>
      <c r="D1649" s="5">
        <v>11.379394072345706</v>
      </c>
      <c r="E1649" s="4">
        <v>0</v>
      </c>
      <c r="F1649" s="5">
        <v>3.713572066704308</v>
      </c>
      <c r="G1649" s="4">
        <v>4</v>
      </c>
    </row>
    <row r="1650" spans="1:7" x14ac:dyDescent="0.15">
      <c r="A1650" s="4">
        <v>1649</v>
      </c>
      <c r="B1650" s="4">
        <v>0</v>
      </c>
      <c r="D1650" s="5">
        <v>11.736069016284437</v>
      </c>
      <c r="E1650" s="4">
        <v>1</v>
      </c>
      <c r="F1650" s="5">
        <v>4.1271343850450917</v>
      </c>
      <c r="G1650" s="4">
        <v>2</v>
      </c>
    </row>
    <row r="1651" spans="1:7" x14ac:dyDescent="0.15">
      <c r="A1651" s="4">
        <v>1650</v>
      </c>
      <c r="B1651" s="4">
        <v>0</v>
      </c>
      <c r="D1651" s="5">
        <v>10.768484990022733</v>
      </c>
      <c r="E1651" s="4">
        <v>0</v>
      </c>
      <c r="F1651" s="5">
        <v>3.9889840465642745</v>
      </c>
      <c r="G1651" s="4">
        <v>1</v>
      </c>
    </row>
    <row r="1652" spans="1:7" x14ac:dyDescent="0.15">
      <c r="A1652" s="4">
        <v>1651</v>
      </c>
      <c r="B1652" s="4">
        <v>0</v>
      </c>
      <c r="D1652" s="5">
        <v>11.191341840842766</v>
      </c>
      <c r="E1652" s="4">
        <v>0</v>
      </c>
      <c r="F1652" s="5">
        <v>2.7725887222397811</v>
      </c>
      <c r="G1652" s="4">
        <v>4</v>
      </c>
    </row>
    <row r="1653" spans="1:7" x14ac:dyDescent="0.15">
      <c r="A1653" s="4">
        <v>1652</v>
      </c>
      <c r="B1653" s="4">
        <v>0</v>
      </c>
      <c r="D1653" s="5">
        <v>11.736069016284437</v>
      </c>
      <c r="E1653" s="4">
        <v>1</v>
      </c>
      <c r="F1653" s="5">
        <v>4.0430512678345503</v>
      </c>
      <c r="G1653" s="4">
        <v>2</v>
      </c>
    </row>
    <row r="1654" spans="1:7" x14ac:dyDescent="0.15">
      <c r="A1654" s="4">
        <v>1653</v>
      </c>
      <c r="B1654" s="4">
        <v>1</v>
      </c>
      <c r="D1654" s="5">
        <v>10.915088464214607</v>
      </c>
      <c r="E1654" s="4">
        <v>1</v>
      </c>
      <c r="F1654" s="5">
        <v>4.0604430105464191</v>
      </c>
      <c r="G1654" s="4">
        <v>2</v>
      </c>
    </row>
    <row r="1655" spans="1:7" x14ac:dyDescent="0.15">
      <c r="A1655" s="4">
        <v>1654</v>
      </c>
      <c r="B1655" s="4">
        <v>1</v>
      </c>
      <c r="D1655" s="5">
        <v>11.379394072345706</v>
      </c>
      <c r="E1655" s="4">
        <v>0</v>
      </c>
      <c r="F1655" s="5">
        <v>4.1588830833596715</v>
      </c>
      <c r="G1655" s="4">
        <v>2</v>
      </c>
    </row>
    <row r="1656" spans="1:7" x14ac:dyDescent="0.15">
      <c r="A1656" s="4">
        <v>1655</v>
      </c>
      <c r="B1656" s="4">
        <v>0</v>
      </c>
      <c r="D1656" s="5">
        <v>11.736069016284437</v>
      </c>
      <c r="E1656" s="4">
        <v>0</v>
      </c>
      <c r="F1656" s="5">
        <v>4.3040650932041702</v>
      </c>
      <c r="G1656" s="4">
        <v>2</v>
      </c>
    </row>
    <row r="1657" spans="1:7" x14ac:dyDescent="0.15">
      <c r="A1657" s="4">
        <v>1656</v>
      </c>
      <c r="B1657" s="4">
        <v>1</v>
      </c>
      <c r="D1657" s="5">
        <v>11.379394072345706</v>
      </c>
      <c r="E1657" s="4">
        <v>0</v>
      </c>
      <c r="F1657" s="5">
        <v>4.0604430105464191</v>
      </c>
      <c r="G1657" s="4">
        <v>2</v>
      </c>
    </row>
    <row r="1658" spans="1:7" x14ac:dyDescent="0.15">
      <c r="A1658" s="4">
        <v>1657</v>
      </c>
      <c r="B1658" s="4">
        <v>0</v>
      </c>
      <c r="D1658" s="5">
        <v>10.657259354912508</v>
      </c>
      <c r="E1658" s="4">
        <v>1</v>
      </c>
      <c r="F1658" s="5">
        <v>2.8332133440562162</v>
      </c>
      <c r="G1658" s="4">
        <v>3</v>
      </c>
    </row>
    <row r="1659" spans="1:7" x14ac:dyDescent="0.15">
      <c r="A1659" s="4">
        <v>1658</v>
      </c>
      <c r="B1659" s="4">
        <v>0</v>
      </c>
      <c r="D1659" s="5">
        <v>9.7699561599116063</v>
      </c>
      <c r="E1659" s="4">
        <v>1</v>
      </c>
      <c r="F1659" s="5">
        <v>3.6109179126442243</v>
      </c>
      <c r="G1659" s="4">
        <v>3</v>
      </c>
    </row>
    <row r="1660" spans="1:7" x14ac:dyDescent="0.15">
      <c r="A1660" s="4">
        <v>1659</v>
      </c>
      <c r="B1660" s="4">
        <v>1</v>
      </c>
      <c r="D1660" s="5">
        <v>10.819778284410283</v>
      </c>
      <c r="E1660" s="4">
        <v>0</v>
      </c>
      <c r="F1660" s="5">
        <v>3.6375861597263857</v>
      </c>
      <c r="G1660" s="4">
        <v>8</v>
      </c>
    </row>
    <row r="1661" spans="1:7" x14ac:dyDescent="0.15">
      <c r="A1661" s="4">
        <v>1660</v>
      </c>
      <c r="B1661" s="4">
        <v>1</v>
      </c>
      <c r="D1661" s="5">
        <v>11.379394072345706</v>
      </c>
      <c r="E1661" s="4">
        <v>1</v>
      </c>
      <c r="F1661" s="5">
        <v>4.0073331852324712</v>
      </c>
      <c r="G1661" s="4">
        <v>2</v>
      </c>
    </row>
    <row r="1662" spans="1:7" x14ac:dyDescent="0.15">
      <c r="A1662" s="4">
        <v>1661</v>
      </c>
      <c r="B1662" s="4">
        <v>6</v>
      </c>
      <c r="D1662" s="5">
        <v>11.082142548877775</v>
      </c>
      <c r="E1662" s="4">
        <v>1</v>
      </c>
      <c r="F1662" s="5">
        <v>3.8501476017100584</v>
      </c>
      <c r="G1662" s="4">
        <v>4</v>
      </c>
    </row>
    <row r="1663" spans="1:7" x14ac:dyDescent="0.15">
      <c r="A1663" s="4">
        <v>1662</v>
      </c>
      <c r="B1663" s="4">
        <v>1</v>
      </c>
      <c r="D1663" s="5">
        <v>11.082142548877775</v>
      </c>
      <c r="E1663" s="4">
        <v>0</v>
      </c>
      <c r="F1663" s="5">
        <v>3.912023005428146</v>
      </c>
      <c r="G1663" s="4">
        <v>4</v>
      </c>
    </row>
    <row r="1664" spans="1:7" x14ac:dyDescent="0.15">
      <c r="A1664" s="4">
        <v>1663</v>
      </c>
      <c r="B1664" s="4">
        <v>0</v>
      </c>
      <c r="D1664" s="5">
        <v>11.736069016284437</v>
      </c>
      <c r="E1664" s="4">
        <v>1</v>
      </c>
      <c r="F1664" s="5">
        <v>2.3978952727983707</v>
      </c>
      <c r="G1664" s="4">
        <v>2</v>
      </c>
    </row>
    <row r="1665" spans="1:7" x14ac:dyDescent="0.15">
      <c r="A1665" s="4">
        <v>1664</v>
      </c>
      <c r="B1665" s="4">
        <v>0</v>
      </c>
      <c r="D1665" s="5">
        <v>11.379394072345706</v>
      </c>
      <c r="E1665" s="4">
        <v>1</v>
      </c>
      <c r="F1665" s="5">
        <v>2.8332133440562162</v>
      </c>
      <c r="G1665" s="4">
        <v>5</v>
      </c>
    </row>
    <row r="1666" spans="1:7" x14ac:dyDescent="0.15">
      <c r="A1666" s="4">
        <v>1665</v>
      </c>
      <c r="B1666" s="4">
        <v>0</v>
      </c>
      <c r="D1666" s="5">
        <v>11.379394072345706</v>
      </c>
      <c r="E1666" s="4">
        <v>1</v>
      </c>
      <c r="F1666" s="5">
        <v>2.6390573296152584</v>
      </c>
      <c r="G1666" s="4">
        <v>5</v>
      </c>
    </row>
    <row r="1667" spans="1:7" x14ac:dyDescent="0.15">
      <c r="A1667" s="4">
        <v>1666</v>
      </c>
      <c r="B1667" s="4">
        <v>0</v>
      </c>
      <c r="D1667" s="5">
        <v>11.379394072345706</v>
      </c>
      <c r="E1667" s="4">
        <v>0</v>
      </c>
      <c r="F1667" s="5">
        <v>3.8712010109078911</v>
      </c>
      <c r="G1667" s="4">
        <v>5</v>
      </c>
    </row>
    <row r="1668" spans="1:7" x14ac:dyDescent="0.15">
      <c r="A1668" s="4">
        <v>1667</v>
      </c>
      <c r="B1668" s="4">
        <v>0</v>
      </c>
      <c r="D1668" s="5">
        <v>11.379394072345706</v>
      </c>
      <c r="E1668" s="4">
        <v>0</v>
      </c>
      <c r="F1668" s="5">
        <v>4.1108738641733114</v>
      </c>
      <c r="G1668" s="4">
        <v>2</v>
      </c>
    </row>
    <row r="1669" spans="1:7" x14ac:dyDescent="0.15">
      <c r="A1669" s="4">
        <v>1668</v>
      </c>
      <c r="B1669" s="4">
        <v>0</v>
      </c>
      <c r="D1669" s="5">
        <v>11.918390573078392</v>
      </c>
      <c r="E1669" s="4">
        <v>0</v>
      </c>
      <c r="F1669" s="5">
        <v>3.6635616461296463</v>
      </c>
      <c r="G1669" s="4">
        <v>5</v>
      </c>
    </row>
    <row r="1670" spans="1:7" x14ac:dyDescent="0.15">
      <c r="A1670" s="4">
        <v>1669</v>
      </c>
      <c r="B1670" s="4">
        <v>0</v>
      </c>
      <c r="D1670" s="5">
        <v>10.532096211958502</v>
      </c>
      <c r="E1670" s="4">
        <v>0</v>
      </c>
      <c r="F1670" s="5">
        <v>3.8712010109078911</v>
      </c>
      <c r="G1670" s="4">
        <v>3</v>
      </c>
    </row>
    <row r="1671" spans="1:7" x14ac:dyDescent="0.15">
      <c r="A1671" s="4">
        <v>1670</v>
      </c>
      <c r="B1671" s="4">
        <v>0</v>
      </c>
      <c r="D1671" s="5">
        <v>10.915088464214607</v>
      </c>
      <c r="E1671" s="4">
        <v>1</v>
      </c>
      <c r="F1671" s="5">
        <v>3.912023005428146</v>
      </c>
      <c r="G1671" s="4">
        <v>4</v>
      </c>
    </row>
    <row r="1672" spans="1:7" x14ac:dyDescent="0.15">
      <c r="A1672" s="4">
        <v>1671</v>
      </c>
      <c r="B1672" s="4">
        <v>0</v>
      </c>
      <c r="D1672" s="5">
        <v>9.7699561599116063</v>
      </c>
      <c r="E1672" s="4">
        <v>0</v>
      </c>
      <c r="F1672" s="5">
        <v>4.1431347263915326</v>
      </c>
      <c r="G1672" s="4">
        <v>1</v>
      </c>
    </row>
    <row r="1673" spans="1:7" x14ac:dyDescent="0.15">
      <c r="A1673" s="4">
        <v>1672</v>
      </c>
      <c r="B1673" s="4">
        <v>0</v>
      </c>
      <c r="D1673" s="5">
        <v>10.021270588192511</v>
      </c>
      <c r="E1673" s="4">
        <v>1</v>
      </c>
      <c r="F1673" s="5">
        <v>3.2958368660043291</v>
      </c>
      <c r="G1673" s="4">
        <v>1</v>
      </c>
    </row>
    <row r="1674" spans="1:7" x14ac:dyDescent="0.15">
      <c r="A1674" s="4">
        <v>1673</v>
      </c>
      <c r="B1674" s="4">
        <v>0</v>
      </c>
      <c r="D1674" s="5">
        <v>11.082142548877775</v>
      </c>
      <c r="E1674" s="4">
        <v>0</v>
      </c>
      <c r="F1674" s="5">
        <v>3.6375861597263857</v>
      </c>
      <c r="G1674" s="4">
        <v>5</v>
      </c>
    </row>
    <row r="1675" spans="1:7" x14ac:dyDescent="0.15">
      <c r="A1675" s="4">
        <v>1674</v>
      </c>
      <c r="B1675" s="4">
        <v>1</v>
      </c>
      <c r="D1675" s="5">
        <v>11.082142548877775</v>
      </c>
      <c r="E1675" s="4">
        <v>0</v>
      </c>
      <c r="F1675" s="5">
        <v>2.6390573296152584</v>
      </c>
      <c r="G1675" s="4">
        <v>5</v>
      </c>
    </row>
    <row r="1676" spans="1:7" x14ac:dyDescent="0.15">
      <c r="A1676" s="4">
        <v>1675</v>
      </c>
      <c r="B1676" s="4">
        <v>0</v>
      </c>
      <c r="D1676" s="5">
        <v>9.7699561599116063</v>
      </c>
      <c r="E1676" s="4">
        <v>1</v>
      </c>
      <c r="F1676" s="5">
        <v>3.9512437185814275</v>
      </c>
      <c r="G1676" s="4">
        <v>2</v>
      </c>
    </row>
    <row r="1677" spans="1:7" x14ac:dyDescent="0.15">
      <c r="A1677" s="4">
        <v>1676</v>
      </c>
      <c r="B1677" s="4">
        <v>0</v>
      </c>
      <c r="D1677" s="5">
        <v>10.768484990022733</v>
      </c>
      <c r="E1677" s="4">
        <v>0</v>
      </c>
      <c r="F1677" s="5">
        <v>3.5263605246161616</v>
      </c>
      <c r="G1677" s="4">
        <v>2</v>
      </c>
    </row>
    <row r="1678" spans="1:7" x14ac:dyDescent="0.15">
      <c r="A1678" s="4">
        <v>1677</v>
      </c>
      <c r="B1678" s="4">
        <v>0</v>
      </c>
      <c r="D1678" s="5">
        <v>10.915088464214607</v>
      </c>
      <c r="E1678" s="4">
        <v>1</v>
      </c>
      <c r="F1678" s="5">
        <v>2.7725887222397811</v>
      </c>
      <c r="G1678" s="4">
        <v>4</v>
      </c>
    </row>
    <row r="1679" spans="1:7" x14ac:dyDescent="0.15">
      <c r="A1679" s="4">
        <v>1678</v>
      </c>
      <c r="B1679" s="4">
        <v>0</v>
      </c>
      <c r="D1679" s="5">
        <v>10.768484990022733</v>
      </c>
      <c r="E1679" s="4">
        <v>1</v>
      </c>
      <c r="F1679" s="5">
        <v>3.7376696182833684</v>
      </c>
      <c r="G1679" s="4">
        <v>4</v>
      </c>
    </row>
    <row r="1680" spans="1:7" x14ac:dyDescent="0.15">
      <c r="A1680" s="4">
        <v>1679</v>
      </c>
      <c r="B1680" s="4">
        <v>0</v>
      </c>
      <c r="D1680" s="5">
        <v>11.379394072345706</v>
      </c>
      <c r="E1680" s="4">
        <v>0</v>
      </c>
      <c r="F1680" s="5">
        <v>3.8712010109078911</v>
      </c>
      <c r="G1680" s="4">
        <v>5</v>
      </c>
    </row>
    <row r="1681" spans="1:7" x14ac:dyDescent="0.15">
      <c r="A1681" s="4">
        <v>1680</v>
      </c>
      <c r="B1681" s="4">
        <v>0</v>
      </c>
      <c r="D1681" s="5">
        <v>10.915088464214607</v>
      </c>
      <c r="E1681" s="4">
        <v>0</v>
      </c>
      <c r="F1681" s="5">
        <v>2.6390573296152584</v>
      </c>
      <c r="G1681" s="4">
        <v>3</v>
      </c>
    </row>
    <row r="1682" spans="1:7" x14ac:dyDescent="0.15">
      <c r="A1682" s="4">
        <v>1681</v>
      </c>
      <c r="B1682" s="4">
        <v>0</v>
      </c>
      <c r="D1682" s="5">
        <v>10.221941283654663</v>
      </c>
      <c r="E1682" s="4">
        <v>1</v>
      </c>
      <c r="F1682" s="5">
        <v>4.219507705176107</v>
      </c>
      <c r="G1682" s="4">
        <v>2</v>
      </c>
    </row>
    <row r="1683" spans="1:7" x14ac:dyDescent="0.15">
      <c r="A1683" s="4">
        <v>1682</v>
      </c>
      <c r="B1683" s="4">
        <v>1</v>
      </c>
      <c r="D1683" s="5">
        <v>11.736069016284437</v>
      </c>
      <c r="E1683" s="4">
        <v>1</v>
      </c>
      <c r="F1683" s="5">
        <v>3.912023005428146</v>
      </c>
      <c r="G1683" s="4">
        <v>2</v>
      </c>
    </row>
    <row r="1684" spans="1:7" x14ac:dyDescent="0.15">
      <c r="A1684" s="4">
        <v>1683</v>
      </c>
      <c r="B1684" s="4">
        <v>2</v>
      </c>
      <c r="D1684" s="5">
        <v>11.379394072345706</v>
      </c>
      <c r="E1684" s="4">
        <v>1</v>
      </c>
      <c r="F1684" s="5">
        <v>4.0253516907351496</v>
      </c>
      <c r="G1684" s="4">
        <v>2</v>
      </c>
    </row>
    <row r="1685" spans="1:7" x14ac:dyDescent="0.15">
      <c r="A1685" s="4">
        <v>1684</v>
      </c>
      <c r="B1685" s="4">
        <v>0</v>
      </c>
      <c r="D1685" s="5">
        <v>11.379394072345706</v>
      </c>
      <c r="E1685" s="4">
        <v>0</v>
      </c>
      <c r="F1685" s="5">
        <v>3.8286413964890951</v>
      </c>
      <c r="G1685" s="4">
        <v>4</v>
      </c>
    </row>
    <row r="1686" spans="1:7" x14ac:dyDescent="0.15">
      <c r="A1686" s="4">
        <v>1685</v>
      </c>
      <c r="B1686" s="4">
        <v>0</v>
      </c>
      <c r="D1686" s="5">
        <v>10.308952660644293</v>
      </c>
      <c r="E1686" s="4">
        <v>1</v>
      </c>
      <c r="F1686" s="5">
        <v>2.8332133440562162</v>
      </c>
      <c r="G1686" s="4">
        <v>5</v>
      </c>
    </row>
    <row r="1687" spans="1:7" x14ac:dyDescent="0.15">
      <c r="A1687" s="4">
        <v>1686</v>
      </c>
      <c r="B1687" s="4">
        <v>0</v>
      </c>
      <c r="D1687" s="5">
        <v>10.308952660644293</v>
      </c>
      <c r="E1687" s="4">
        <v>1</v>
      </c>
      <c r="F1687" s="5">
        <v>3.8501476017100584</v>
      </c>
      <c r="G1687" s="4">
        <v>2</v>
      </c>
    </row>
    <row r="1688" spans="1:7" x14ac:dyDescent="0.15">
      <c r="A1688" s="4">
        <v>1687</v>
      </c>
      <c r="B1688" s="4">
        <v>1</v>
      </c>
      <c r="D1688" s="5">
        <v>10.768484990022733</v>
      </c>
      <c r="E1688" s="4">
        <v>0</v>
      </c>
      <c r="F1688" s="5">
        <v>3.9889840465642745</v>
      </c>
      <c r="G1688" s="4">
        <v>1</v>
      </c>
    </row>
    <row r="1689" spans="1:7" x14ac:dyDescent="0.15">
      <c r="A1689" s="4">
        <v>1688</v>
      </c>
      <c r="B1689" s="4">
        <v>0</v>
      </c>
      <c r="D1689" s="5">
        <v>11.379394072345706</v>
      </c>
      <c r="E1689" s="4">
        <v>1</v>
      </c>
      <c r="F1689" s="5">
        <v>3.2580965380214821</v>
      </c>
      <c r="G1689" s="4">
        <v>6</v>
      </c>
    </row>
    <row r="1690" spans="1:7" x14ac:dyDescent="0.15">
      <c r="A1690" s="4">
        <v>1689</v>
      </c>
      <c r="B1690" s="4">
        <v>1</v>
      </c>
      <c r="D1690" s="5">
        <v>11.379394072345706</v>
      </c>
      <c r="E1690" s="4">
        <v>0</v>
      </c>
      <c r="F1690" s="5">
        <v>2.9957322735539909</v>
      </c>
      <c r="G1690" s="4">
        <v>6</v>
      </c>
    </row>
    <row r="1691" spans="1:7" x14ac:dyDescent="0.15">
      <c r="A1691" s="4">
        <v>1690</v>
      </c>
      <c r="B1691" s="4">
        <v>0</v>
      </c>
      <c r="D1691" s="5">
        <v>11.082142548877775</v>
      </c>
      <c r="E1691" s="4">
        <v>0</v>
      </c>
      <c r="F1691" s="5">
        <v>3.4965075614664802</v>
      </c>
      <c r="G1691" s="4">
        <v>4</v>
      </c>
    </row>
    <row r="1692" spans="1:7" x14ac:dyDescent="0.15">
      <c r="A1692" s="4">
        <v>1691</v>
      </c>
      <c r="B1692" s="4">
        <v>0</v>
      </c>
      <c r="D1692" s="5">
        <v>12.206072645530174</v>
      </c>
      <c r="E1692" s="4">
        <v>1</v>
      </c>
      <c r="F1692" s="5">
        <v>4.0073331852324712</v>
      </c>
      <c r="G1692" s="4">
        <v>2</v>
      </c>
    </row>
    <row r="1693" spans="1:7" x14ac:dyDescent="0.15">
      <c r="A1693" s="4">
        <v>1692</v>
      </c>
      <c r="B1693" s="4">
        <v>0</v>
      </c>
      <c r="D1693" s="5">
        <v>10.819778284410283</v>
      </c>
      <c r="E1693" s="4">
        <v>0</v>
      </c>
      <c r="F1693" s="5">
        <v>3.3672958299864741</v>
      </c>
      <c r="G1693" s="4">
        <v>3</v>
      </c>
    </row>
    <row r="1694" spans="1:7" x14ac:dyDescent="0.15">
      <c r="A1694" s="4">
        <v>1693</v>
      </c>
      <c r="B1694" s="4">
        <v>0</v>
      </c>
      <c r="D1694" s="5">
        <v>11.379394072345706</v>
      </c>
      <c r="E1694" s="4">
        <v>0</v>
      </c>
      <c r="F1694" s="5">
        <v>4.0073331852324712</v>
      </c>
      <c r="G1694" s="4">
        <v>4</v>
      </c>
    </row>
    <row r="1695" spans="1:7" x14ac:dyDescent="0.15">
      <c r="A1695" s="4">
        <v>1694</v>
      </c>
      <c r="B1695" s="4">
        <v>1</v>
      </c>
      <c r="D1695" s="5">
        <v>11.119882876860622</v>
      </c>
      <c r="E1695" s="4">
        <v>0</v>
      </c>
      <c r="F1695" s="5">
        <v>3.6635616461296463</v>
      </c>
      <c r="G1695" s="4">
        <v>5</v>
      </c>
    </row>
    <row r="1696" spans="1:7" x14ac:dyDescent="0.15">
      <c r="A1696" s="4">
        <v>1695</v>
      </c>
      <c r="B1696" s="4">
        <v>0</v>
      </c>
      <c r="D1696" s="5">
        <v>11.379394072345706</v>
      </c>
      <c r="E1696" s="4">
        <v>0</v>
      </c>
      <c r="F1696" s="5">
        <v>2.4849066497880004</v>
      </c>
      <c r="G1696" s="4">
        <v>5</v>
      </c>
    </row>
    <row r="1697" spans="1:7" x14ac:dyDescent="0.15">
      <c r="A1697" s="4">
        <v>1696</v>
      </c>
      <c r="B1697" s="4">
        <v>0</v>
      </c>
      <c r="D1697" s="5">
        <v>10.308952660644293</v>
      </c>
      <c r="E1697" s="4">
        <v>0</v>
      </c>
      <c r="F1697" s="5">
        <v>4.2046926193909657</v>
      </c>
      <c r="G1697" s="4">
        <v>3</v>
      </c>
    </row>
    <row r="1698" spans="1:7" x14ac:dyDescent="0.15">
      <c r="A1698" s="4">
        <v>1697</v>
      </c>
      <c r="B1698" s="4">
        <v>0</v>
      </c>
      <c r="D1698" s="5">
        <v>11.082142548877775</v>
      </c>
      <c r="E1698" s="4">
        <v>1</v>
      </c>
      <c r="F1698" s="5">
        <v>3.4657359027997265</v>
      </c>
      <c r="G1698" s="4">
        <v>4</v>
      </c>
    </row>
    <row r="1699" spans="1:7" x14ac:dyDescent="0.15">
      <c r="A1699" s="4">
        <v>1698</v>
      </c>
      <c r="B1699" s="4">
        <v>0</v>
      </c>
      <c r="D1699" s="5">
        <v>11.082142548877775</v>
      </c>
      <c r="E1699" s="4">
        <v>0</v>
      </c>
      <c r="F1699" s="5">
        <v>3.5263605246161616</v>
      </c>
      <c r="G1699" s="4">
        <v>4</v>
      </c>
    </row>
    <row r="1700" spans="1:7" x14ac:dyDescent="0.15">
      <c r="A1700" s="4">
        <v>1699</v>
      </c>
      <c r="B1700" s="4">
        <v>0</v>
      </c>
      <c r="D1700" s="5">
        <v>9.9034875525361272</v>
      </c>
      <c r="E1700" s="4">
        <v>1</v>
      </c>
      <c r="F1700" s="5">
        <v>3.8712010109078911</v>
      </c>
      <c r="G1700" s="4">
        <v>5</v>
      </c>
    </row>
    <row r="1701" spans="1:7" x14ac:dyDescent="0.15">
      <c r="A1701" s="4">
        <v>1700</v>
      </c>
      <c r="B1701" s="4">
        <v>0</v>
      </c>
      <c r="D1701" s="5">
        <v>9.9034875525361272</v>
      </c>
      <c r="E1701" s="4">
        <v>0</v>
      </c>
      <c r="F1701" s="5">
        <v>3.8918202981106265</v>
      </c>
      <c r="G1701" s="4">
        <v>5</v>
      </c>
    </row>
    <row r="1702" spans="1:7" x14ac:dyDescent="0.15">
      <c r="A1702" s="4">
        <v>1701</v>
      </c>
      <c r="B1702" s="4">
        <v>0</v>
      </c>
      <c r="D1702" s="5">
        <v>11.119882876860622</v>
      </c>
      <c r="E1702" s="4">
        <v>1</v>
      </c>
      <c r="F1702" s="5">
        <v>3.6109179126442243</v>
      </c>
      <c r="G1702" s="4">
        <v>5</v>
      </c>
    </row>
    <row r="1703" spans="1:7" x14ac:dyDescent="0.15">
      <c r="A1703" s="4">
        <v>1702</v>
      </c>
      <c r="B1703" s="4">
        <v>4</v>
      </c>
      <c r="D1703" s="5">
        <v>11.736069016284437</v>
      </c>
      <c r="E1703" s="4">
        <v>0</v>
      </c>
      <c r="F1703" s="5">
        <v>4.0073331852324712</v>
      </c>
      <c r="G1703" s="4">
        <v>2</v>
      </c>
    </row>
    <row r="1704" spans="1:7" x14ac:dyDescent="0.15">
      <c r="A1704" s="4">
        <v>1703</v>
      </c>
      <c r="B1704" s="4">
        <v>0</v>
      </c>
      <c r="D1704" s="5">
        <v>11.379394072345706</v>
      </c>
      <c r="E1704" s="4">
        <v>1</v>
      </c>
      <c r="F1704" s="5">
        <v>3.7376696182833684</v>
      </c>
      <c r="G1704" s="4">
        <v>4</v>
      </c>
    </row>
    <row r="1705" spans="1:7" x14ac:dyDescent="0.15">
      <c r="A1705" s="4">
        <v>1704</v>
      </c>
      <c r="B1705" s="4">
        <v>0</v>
      </c>
      <c r="D1705" s="5">
        <v>11.379394072345706</v>
      </c>
      <c r="E1705" s="4">
        <v>1</v>
      </c>
      <c r="F1705" s="5">
        <v>2.6390573296152584</v>
      </c>
      <c r="G1705" s="4">
        <v>4</v>
      </c>
    </row>
    <row r="1706" spans="1:7" x14ac:dyDescent="0.15">
      <c r="A1706" s="4">
        <v>1705</v>
      </c>
      <c r="B1706" s="4">
        <v>0</v>
      </c>
      <c r="D1706" s="5">
        <v>11.736069016284437</v>
      </c>
      <c r="E1706" s="4">
        <v>1</v>
      </c>
      <c r="F1706" s="5">
        <v>4.0943445622221004</v>
      </c>
      <c r="G1706" s="4">
        <v>2</v>
      </c>
    </row>
    <row r="1707" spans="1:7" x14ac:dyDescent="0.15">
      <c r="A1707" s="4">
        <v>1706</v>
      </c>
      <c r="B1707" s="4">
        <v>0</v>
      </c>
      <c r="D1707" s="5">
        <v>11.191341840842766</v>
      </c>
      <c r="E1707" s="4">
        <v>1</v>
      </c>
      <c r="F1707" s="5">
        <v>3.8918202981106265</v>
      </c>
      <c r="G1707" s="4">
        <v>3</v>
      </c>
    </row>
    <row r="1708" spans="1:7" x14ac:dyDescent="0.15">
      <c r="A1708" s="4">
        <v>1707</v>
      </c>
      <c r="B1708" s="4">
        <v>2</v>
      </c>
      <c r="D1708" s="5">
        <v>11.736069016284437</v>
      </c>
      <c r="E1708" s="4">
        <v>1</v>
      </c>
      <c r="F1708" s="5">
        <v>4.0604430105464191</v>
      </c>
      <c r="G1708" s="4">
        <v>3</v>
      </c>
    </row>
    <row r="1709" spans="1:7" x14ac:dyDescent="0.15">
      <c r="A1709" s="4">
        <v>1708</v>
      </c>
      <c r="B1709" s="4">
        <v>0</v>
      </c>
      <c r="D1709" s="5">
        <v>11.736069016284437</v>
      </c>
      <c r="E1709" s="4">
        <v>1</v>
      </c>
      <c r="F1709" s="5">
        <v>3.970291913552122</v>
      </c>
      <c r="G1709" s="4">
        <v>3</v>
      </c>
    </row>
    <row r="1710" spans="1:7" x14ac:dyDescent="0.15">
      <c r="A1710" s="4">
        <v>1709</v>
      </c>
      <c r="B1710" s="4">
        <v>0</v>
      </c>
      <c r="D1710" s="5">
        <v>11.918390573078392</v>
      </c>
      <c r="E1710" s="4">
        <v>0</v>
      </c>
      <c r="F1710" s="5">
        <v>4.1743872698956368</v>
      </c>
      <c r="G1710" s="4">
        <v>3</v>
      </c>
    </row>
    <row r="1711" spans="1:7" x14ac:dyDescent="0.15">
      <c r="A1711" s="4">
        <v>1710</v>
      </c>
      <c r="B1711" s="4">
        <v>0</v>
      </c>
      <c r="D1711" s="5">
        <v>12.072541252905651</v>
      </c>
      <c r="E1711" s="4">
        <v>1</v>
      </c>
      <c r="F1711" s="5">
        <v>3.8066624897703196</v>
      </c>
      <c r="G1711" s="4">
        <v>3</v>
      </c>
    </row>
    <row r="1712" spans="1:7" x14ac:dyDescent="0.15">
      <c r="A1712" s="4">
        <v>1711</v>
      </c>
      <c r="B1712" s="4">
        <v>0</v>
      </c>
      <c r="D1712" s="5">
        <v>12.072541252905651</v>
      </c>
      <c r="E1712" s="4">
        <v>1</v>
      </c>
      <c r="F1712" s="5">
        <v>2.8332133440562162</v>
      </c>
      <c r="G1712" s="4">
        <v>3</v>
      </c>
    </row>
    <row r="1713" spans="1:7" x14ac:dyDescent="0.15">
      <c r="A1713" s="4">
        <v>1712</v>
      </c>
      <c r="B1713" s="4">
        <v>0</v>
      </c>
      <c r="D1713" s="5">
        <v>12.072541252905651</v>
      </c>
      <c r="E1713" s="4">
        <v>0</v>
      </c>
      <c r="F1713" s="5">
        <v>3.8066624897703196</v>
      </c>
      <c r="G1713" s="4">
        <v>3</v>
      </c>
    </row>
    <row r="1714" spans="1:7" x14ac:dyDescent="0.15">
      <c r="A1714" s="4">
        <v>1713</v>
      </c>
      <c r="B1714" s="4">
        <v>1</v>
      </c>
      <c r="D1714" s="5">
        <v>11.736069016284437</v>
      </c>
      <c r="E1714" s="4">
        <v>1</v>
      </c>
      <c r="F1714" s="5">
        <v>3.8712010109078911</v>
      </c>
      <c r="G1714" s="4">
        <v>4</v>
      </c>
    </row>
    <row r="1715" spans="1:7" x14ac:dyDescent="0.15">
      <c r="A1715" s="4">
        <v>1714</v>
      </c>
      <c r="B1715" s="4">
        <v>2</v>
      </c>
      <c r="D1715" s="5">
        <v>11.736069016284437</v>
      </c>
      <c r="E1715" s="4">
        <v>1</v>
      </c>
      <c r="F1715" s="5">
        <v>2.7725887222397811</v>
      </c>
      <c r="G1715" s="4">
        <v>4</v>
      </c>
    </row>
    <row r="1716" spans="1:7" x14ac:dyDescent="0.15">
      <c r="A1716" s="4">
        <v>1715</v>
      </c>
      <c r="B1716" s="4">
        <v>0</v>
      </c>
      <c r="D1716" s="5">
        <v>10.819778284410283</v>
      </c>
      <c r="E1716" s="4">
        <v>1</v>
      </c>
      <c r="F1716" s="5">
        <v>3.8712010109078911</v>
      </c>
      <c r="G1716" s="4">
        <v>5</v>
      </c>
    </row>
    <row r="1717" spans="1:7" x14ac:dyDescent="0.15">
      <c r="A1717" s="4">
        <v>1716</v>
      </c>
      <c r="B1717" s="4">
        <v>1</v>
      </c>
      <c r="D1717" s="5">
        <v>10.819778284410283</v>
      </c>
      <c r="E1717" s="4">
        <v>0</v>
      </c>
      <c r="F1717" s="5">
        <v>2.4849066497880004</v>
      </c>
      <c r="G1717" s="4">
        <v>5</v>
      </c>
    </row>
    <row r="1718" spans="1:7" x14ac:dyDescent="0.15">
      <c r="A1718" s="4">
        <v>1717</v>
      </c>
      <c r="B1718" s="4">
        <v>0</v>
      </c>
      <c r="D1718" s="5">
        <v>11.379394072345706</v>
      </c>
      <c r="E1718" s="4">
        <v>1</v>
      </c>
      <c r="F1718" s="5">
        <v>3.2580965380214821</v>
      </c>
      <c r="G1718" s="4">
        <v>4</v>
      </c>
    </row>
    <row r="1719" spans="1:7" x14ac:dyDescent="0.15">
      <c r="A1719" s="4">
        <v>1718</v>
      </c>
      <c r="B1719" s="4">
        <v>0</v>
      </c>
      <c r="D1719" s="5">
        <v>10.819778284410283</v>
      </c>
      <c r="E1719" s="4">
        <v>1</v>
      </c>
      <c r="F1719" s="5">
        <v>3.3322045101752038</v>
      </c>
      <c r="G1719" s="4">
        <v>3</v>
      </c>
    </row>
    <row r="1720" spans="1:7" x14ac:dyDescent="0.15">
      <c r="A1720" s="4">
        <v>1719</v>
      </c>
      <c r="B1720" s="4">
        <v>0</v>
      </c>
      <c r="D1720" s="5">
        <v>9.3281234076325656</v>
      </c>
      <c r="E1720" s="4">
        <v>0</v>
      </c>
      <c r="F1720" s="5">
        <v>3.2188758248682006</v>
      </c>
      <c r="G1720" s="4">
        <v>2</v>
      </c>
    </row>
    <row r="1721" spans="1:7" x14ac:dyDescent="0.15">
      <c r="A1721" s="4">
        <v>1720</v>
      </c>
      <c r="B1721" s="4">
        <v>0</v>
      </c>
      <c r="D1721" s="5">
        <v>10.308952660644293</v>
      </c>
      <c r="E1721" s="4">
        <v>1</v>
      </c>
      <c r="F1721" s="5">
        <v>3.4339872044851463</v>
      </c>
      <c r="G1721" s="4">
        <v>4</v>
      </c>
    </row>
    <row r="1722" spans="1:7" x14ac:dyDescent="0.15">
      <c r="A1722" s="4">
        <v>1721</v>
      </c>
      <c r="B1722" s="4">
        <v>0</v>
      </c>
      <c r="D1722" s="5">
        <v>11.379394072345706</v>
      </c>
      <c r="E1722" s="4">
        <v>1</v>
      </c>
      <c r="F1722" s="5">
        <v>4.1271343850450917</v>
      </c>
      <c r="G1722" s="4">
        <v>4</v>
      </c>
    </row>
    <row r="1723" spans="1:7" x14ac:dyDescent="0.15">
      <c r="A1723" s="4">
        <v>1722</v>
      </c>
      <c r="B1723" s="4">
        <v>0</v>
      </c>
      <c r="D1723" s="5">
        <v>10.308952660644293</v>
      </c>
      <c r="E1723" s="4">
        <v>1</v>
      </c>
      <c r="F1723" s="5">
        <v>2.9444389791664403</v>
      </c>
      <c r="G1723" s="4">
        <v>5</v>
      </c>
    </row>
    <row r="1724" spans="1:7" x14ac:dyDescent="0.15">
      <c r="A1724" s="4">
        <v>1723</v>
      </c>
      <c r="B1724" s="4">
        <v>0</v>
      </c>
      <c r="D1724" s="5">
        <v>11.191341840842766</v>
      </c>
      <c r="E1724" s="4">
        <v>1</v>
      </c>
      <c r="F1724" s="5">
        <v>3.713572066704308</v>
      </c>
      <c r="G1724" s="4">
        <v>1</v>
      </c>
    </row>
    <row r="1725" spans="1:7" x14ac:dyDescent="0.15">
      <c r="A1725" s="4">
        <v>1724</v>
      </c>
      <c r="B1725" s="4">
        <v>21</v>
      </c>
      <c r="D1725" s="5">
        <v>10.657259354912508</v>
      </c>
      <c r="E1725" s="4">
        <v>1</v>
      </c>
      <c r="F1725" s="5">
        <v>3.6888794541139363</v>
      </c>
      <c r="G1725" s="4">
        <v>4</v>
      </c>
    </row>
    <row r="1726" spans="1:7" x14ac:dyDescent="0.15">
      <c r="A1726" s="4">
        <v>1725</v>
      </c>
      <c r="B1726" s="4">
        <v>0</v>
      </c>
      <c r="D1726" s="5">
        <v>11.379394072345706</v>
      </c>
      <c r="E1726" s="4">
        <v>0</v>
      </c>
      <c r="F1726" s="5">
        <v>3.1780538303479458</v>
      </c>
      <c r="G1726" s="4">
        <v>3</v>
      </c>
    </row>
    <row r="1727" spans="1:7" x14ac:dyDescent="0.15">
      <c r="A1727" s="4">
        <v>1726</v>
      </c>
      <c r="B1727" s="4">
        <v>0</v>
      </c>
      <c r="D1727" s="5">
        <v>10.308952660644293</v>
      </c>
      <c r="E1727" s="4">
        <v>1</v>
      </c>
      <c r="F1727" s="5">
        <v>3.044522437723423</v>
      </c>
      <c r="G1727" s="4">
        <v>4</v>
      </c>
    </row>
    <row r="1728" spans="1:7" x14ac:dyDescent="0.15">
      <c r="A1728" s="4">
        <v>1727</v>
      </c>
      <c r="B1728" s="4">
        <v>2</v>
      </c>
      <c r="D1728" s="5">
        <v>11.082142548877775</v>
      </c>
      <c r="E1728" s="4">
        <v>1</v>
      </c>
      <c r="F1728" s="5">
        <v>3.6109179126442243</v>
      </c>
      <c r="G1728" s="4">
        <v>2</v>
      </c>
    </row>
    <row r="1729" spans="1:7" x14ac:dyDescent="0.15">
      <c r="A1729" s="4">
        <v>1728</v>
      </c>
      <c r="B1729" s="4">
        <v>3</v>
      </c>
      <c r="D1729" s="5">
        <v>11.082142548877775</v>
      </c>
      <c r="E1729" s="4">
        <v>0</v>
      </c>
      <c r="F1729" s="5">
        <v>3.784189633918261</v>
      </c>
      <c r="G1729" s="4">
        <v>2</v>
      </c>
    </row>
    <row r="1730" spans="1:7" x14ac:dyDescent="0.15">
      <c r="A1730" s="4">
        <v>1729</v>
      </c>
      <c r="B1730" s="4">
        <v>0</v>
      </c>
      <c r="D1730" s="5">
        <v>11.379394072345706</v>
      </c>
      <c r="E1730" s="4">
        <v>0</v>
      </c>
      <c r="F1730" s="5">
        <v>3.9318256327243257</v>
      </c>
      <c r="G1730" s="4">
        <v>3</v>
      </c>
    </row>
    <row r="1731" spans="1:7" x14ac:dyDescent="0.15">
      <c r="A1731" s="4">
        <v>1730</v>
      </c>
      <c r="B1731" s="4">
        <v>0</v>
      </c>
      <c r="D1731" s="5">
        <v>11.379394072345706</v>
      </c>
      <c r="E1731" s="4">
        <v>1</v>
      </c>
      <c r="F1731" s="5">
        <v>3.9512437185814275</v>
      </c>
      <c r="G1731" s="4">
        <v>2</v>
      </c>
    </row>
    <row r="1732" spans="1:7" x14ac:dyDescent="0.15">
      <c r="A1732" s="4">
        <v>1731</v>
      </c>
      <c r="B1732" s="4">
        <v>0</v>
      </c>
      <c r="D1732" s="5">
        <v>11.379394072345706</v>
      </c>
      <c r="E1732" s="4">
        <v>1</v>
      </c>
      <c r="F1732" s="5">
        <v>3.970291913552122</v>
      </c>
      <c r="G1732" s="4">
        <v>2</v>
      </c>
    </row>
    <row r="1733" spans="1:7" x14ac:dyDescent="0.15">
      <c r="A1733" s="4">
        <v>1732</v>
      </c>
      <c r="B1733" s="4">
        <v>0</v>
      </c>
      <c r="D1733" s="5">
        <v>11.379394072345706</v>
      </c>
      <c r="E1733" s="4">
        <v>1</v>
      </c>
      <c r="F1733" s="5">
        <v>3.713572066704308</v>
      </c>
      <c r="G1733" s="4">
        <v>6</v>
      </c>
    </row>
    <row r="1734" spans="1:7" x14ac:dyDescent="0.15">
      <c r="A1734" s="4">
        <v>1733</v>
      </c>
      <c r="B1734" s="4">
        <v>0</v>
      </c>
      <c r="D1734" s="5">
        <v>10.657259354912508</v>
      </c>
      <c r="E1734" s="4">
        <v>1</v>
      </c>
      <c r="F1734" s="5">
        <v>3.3672958299864741</v>
      </c>
      <c r="G1734" s="4">
        <v>4</v>
      </c>
    </row>
    <row r="1735" spans="1:7" x14ac:dyDescent="0.15">
      <c r="A1735" s="4">
        <v>1734</v>
      </c>
      <c r="B1735" s="4">
        <v>0</v>
      </c>
      <c r="D1735" s="5">
        <v>10.308952660644293</v>
      </c>
      <c r="E1735" s="4">
        <v>0</v>
      </c>
      <c r="F1735" s="5">
        <v>4.2766661190160553</v>
      </c>
      <c r="G1735" s="4">
        <v>3</v>
      </c>
    </row>
    <row r="1736" spans="1:7" x14ac:dyDescent="0.15">
      <c r="A1736" s="4">
        <v>1735</v>
      </c>
      <c r="B1736" s="4">
        <v>3</v>
      </c>
      <c r="D1736" s="5">
        <v>10.221941283654663</v>
      </c>
      <c r="E1736" s="4">
        <v>1</v>
      </c>
      <c r="F1736" s="5">
        <v>3.4339872044851463</v>
      </c>
      <c r="G1736" s="4">
        <v>2</v>
      </c>
    </row>
    <row r="1737" spans="1:7" x14ac:dyDescent="0.15">
      <c r="A1737" s="4">
        <v>1736</v>
      </c>
      <c r="B1737" s="4">
        <v>0</v>
      </c>
      <c r="D1737" s="5">
        <v>11.379394072345706</v>
      </c>
      <c r="E1737" s="4">
        <v>1</v>
      </c>
      <c r="F1737" s="5">
        <v>3.6888794541139363</v>
      </c>
      <c r="G1737" s="4">
        <v>3</v>
      </c>
    </row>
    <row r="1738" spans="1:7" x14ac:dyDescent="0.15">
      <c r="A1738" s="4">
        <v>1737</v>
      </c>
      <c r="B1738" s="4">
        <v>0</v>
      </c>
      <c r="D1738" s="5">
        <v>11.379394072345706</v>
      </c>
      <c r="E1738" s="4">
        <v>1</v>
      </c>
      <c r="F1738" s="5">
        <v>2.8332133440562162</v>
      </c>
      <c r="G1738" s="4">
        <v>3</v>
      </c>
    </row>
    <row r="1739" spans="1:7" x14ac:dyDescent="0.15">
      <c r="A1739" s="4">
        <v>1738</v>
      </c>
      <c r="B1739" s="4">
        <v>0</v>
      </c>
      <c r="D1739" s="5">
        <v>11.379394072345706</v>
      </c>
      <c r="E1739" s="4">
        <v>0</v>
      </c>
      <c r="F1739" s="5">
        <v>3.8501476017100584</v>
      </c>
      <c r="G1739" s="4">
        <v>3</v>
      </c>
    </row>
    <row r="1740" spans="1:7" x14ac:dyDescent="0.15">
      <c r="A1740" s="4">
        <v>1739</v>
      </c>
      <c r="B1740" s="4">
        <v>0</v>
      </c>
      <c r="D1740" s="5">
        <v>10.819778284410283</v>
      </c>
      <c r="E1740" s="4">
        <v>1</v>
      </c>
      <c r="F1740" s="5">
        <v>3.1354942159291497</v>
      </c>
      <c r="G1740" s="4">
        <v>4</v>
      </c>
    </row>
    <row r="1741" spans="1:7" x14ac:dyDescent="0.15">
      <c r="A1741" s="4">
        <v>1740</v>
      </c>
      <c r="B1741" s="4">
        <v>0</v>
      </c>
      <c r="D1741" s="5">
        <v>11.379394072345706</v>
      </c>
      <c r="E1741" s="4">
        <v>1</v>
      </c>
      <c r="F1741" s="5">
        <v>3.7376696182833684</v>
      </c>
      <c r="G1741" s="4">
        <v>4</v>
      </c>
    </row>
    <row r="1742" spans="1:7" x14ac:dyDescent="0.15">
      <c r="A1742" s="4">
        <v>1741</v>
      </c>
      <c r="B1742" s="4">
        <v>0</v>
      </c>
      <c r="D1742" s="5">
        <v>11.191341840842766</v>
      </c>
      <c r="E1742" s="4">
        <v>1</v>
      </c>
      <c r="F1742" s="5">
        <v>3.7612001156935624</v>
      </c>
      <c r="G1742" s="4">
        <v>4</v>
      </c>
    </row>
    <row r="1743" spans="1:7" x14ac:dyDescent="0.15">
      <c r="A1743" s="4">
        <v>1742</v>
      </c>
      <c r="B1743" s="4">
        <v>0</v>
      </c>
      <c r="D1743" s="5">
        <v>10.657259354912508</v>
      </c>
      <c r="E1743" s="4">
        <v>1</v>
      </c>
      <c r="F1743" s="5">
        <v>3.7612001156935624</v>
      </c>
      <c r="G1743" s="4">
        <v>3</v>
      </c>
    </row>
    <row r="1744" spans="1:7" x14ac:dyDescent="0.15">
      <c r="A1744" s="4">
        <v>1743</v>
      </c>
      <c r="B1744" s="4">
        <v>0</v>
      </c>
      <c r="D1744" s="5">
        <v>11.736069016284437</v>
      </c>
      <c r="E1744" s="4">
        <v>1</v>
      </c>
      <c r="F1744" s="5">
        <v>3.6635616461296463</v>
      </c>
      <c r="G1744" s="4">
        <v>5</v>
      </c>
    </row>
    <row r="1745" spans="1:7" x14ac:dyDescent="0.15">
      <c r="A1745" s="4">
        <v>1744</v>
      </c>
      <c r="B1745" s="4">
        <v>0</v>
      </c>
      <c r="D1745" s="5">
        <v>9.3281234076325656</v>
      </c>
      <c r="E1745" s="4">
        <v>0</v>
      </c>
      <c r="F1745" s="5">
        <v>3.2958368660043291</v>
      </c>
      <c r="G1745" s="4">
        <v>4</v>
      </c>
    </row>
    <row r="1746" spans="1:7" x14ac:dyDescent="0.15">
      <c r="A1746" s="4">
        <v>1745</v>
      </c>
      <c r="B1746" s="4">
        <v>0</v>
      </c>
      <c r="D1746" s="5">
        <v>11.119882876860622</v>
      </c>
      <c r="E1746" s="4">
        <v>1</v>
      </c>
      <c r="F1746" s="5">
        <v>3.7376696182833684</v>
      </c>
      <c r="G1746" s="4">
        <v>4</v>
      </c>
    </row>
    <row r="1747" spans="1:7" x14ac:dyDescent="0.15">
      <c r="A1747" s="4">
        <v>1746</v>
      </c>
      <c r="B1747" s="4">
        <v>0</v>
      </c>
      <c r="D1747" s="5">
        <v>10.388995368317829</v>
      </c>
      <c r="E1747" s="4">
        <v>1</v>
      </c>
      <c r="F1747" s="5">
        <v>3.2958368660043291</v>
      </c>
      <c r="G1747" s="4">
        <v>1</v>
      </c>
    </row>
    <row r="1748" spans="1:7" x14ac:dyDescent="0.15">
      <c r="A1748" s="4">
        <v>1747</v>
      </c>
      <c r="B1748" s="4">
        <v>1</v>
      </c>
      <c r="D1748" s="5">
        <v>11.191341840842766</v>
      </c>
      <c r="E1748" s="4">
        <v>1</v>
      </c>
      <c r="F1748" s="5">
        <v>4.2046926193909657</v>
      </c>
      <c r="G1748" s="4">
        <v>2</v>
      </c>
    </row>
    <row r="1749" spans="1:7" x14ac:dyDescent="0.15">
      <c r="A1749" s="4">
        <v>1748</v>
      </c>
      <c r="B1749" s="4">
        <v>0</v>
      </c>
      <c r="D1749" s="5">
        <v>10.021270588192511</v>
      </c>
      <c r="E1749" s="4">
        <v>0</v>
      </c>
      <c r="F1749" s="5">
        <v>3.6109179126442243</v>
      </c>
      <c r="G1749" s="4">
        <v>2</v>
      </c>
    </row>
    <row r="1750" spans="1:7" x14ac:dyDescent="0.15">
      <c r="A1750" s="4">
        <v>1749</v>
      </c>
      <c r="B1750" s="4">
        <v>0</v>
      </c>
      <c r="D1750" s="5">
        <v>10.819778284410283</v>
      </c>
      <c r="E1750" s="4">
        <v>0</v>
      </c>
      <c r="F1750" s="5">
        <v>3.0910424533583161</v>
      </c>
      <c r="G1750" s="4">
        <v>6</v>
      </c>
    </row>
    <row r="1751" spans="1:7" x14ac:dyDescent="0.15">
      <c r="A1751" s="4">
        <v>1750</v>
      </c>
      <c r="B1751" s="4">
        <v>0</v>
      </c>
      <c r="D1751" s="5">
        <v>10.308952660644293</v>
      </c>
      <c r="E1751" s="4">
        <v>0</v>
      </c>
      <c r="F1751" s="5">
        <v>3.2580965380214821</v>
      </c>
      <c r="G1751" s="4">
        <v>5</v>
      </c>
    </row>
    <row r="1752" spans="1:7" x14ac:dyDescent="0.15">
      <c r="A1752" s="4">
        <v>1751</v>
      </c>
      <c r="B1752" s="4">
        <v>0</v>
      </c>
      <c r="D1752" s="5">
        <v>11.918390573078392</v>
      </c>
      <c r="E1752" s="4">
        <v>1</v>
      </c>
      <c r="F1752" s="5">
        <v>4.219507705176107</v>
      </c>
      <c r="G1752" s="4">
        <v>3</v>
      </c>
    </row>
    <row r="1753" spans="1:7" x14ac:dyDescent="0.15">
      <c r="A1753" s="4">
        <v>1752</v>
      </c>
      <c r="B1753" s="4">
        <v>0</v>
      </c>
      <c r="D1753" s="5">
        <v>10.819778284410283</v>
      </c>
      <c r="E1753" s="4">
        <v>1</v>
      </c>
      <c r="F1753" s="5">
        <v>2.9444389791664403</v>
      </c>
      <c r="G1753" s="4">
        <v>5</v>
      </c>
    </row>
    <row r="1754" spans="1:7" x14ac:dyDescent="0.15">
      <c r="A1754" s="4">
        <v>1753</v>
      </c>
      <c r="B1754" s="4">
        <v>0</v>
      </c>
      <c r="D1754" s="5">
        <v>11.119882876860622</v>
      </c>
      <c r="E1754" s="4">
        <v>0</v>
      </c>
      <c r="F1754" s="5">
        <v>3.3672958299864741</v>
      </c>
      <c r="G1754" s="4">
        <v>3</v>
      </c>
    </row>
    <row r="1755" spans="1:7" x14ac:dyDescent="0.15">
      <c r="A1755" s="4">
        <v>1754</v>
      </c>
      <c r="B1755" s="4">
        <v>0</v>
      </c>
      <c r="D1755" s="5">
        <v>9.9034875525361272</v>
      </c>
      <c r="E1755" s="4">
        <v>1</v>
      </c>
      <c r="F1755" s="5">
        <v>3.4011973816621555</v>
      </c>
      <c r="G1755" s="4">
        <v>3</v>
      </c>
    </row>
    <row r="1756" spans="1:7" x14ac:dyDescent="0.15">
      <c r="A1756" s="4">
        <v>1755</v>
      </c>
      <c r="B1756" s="4">
        <v>0</v>
      </c>
      <c r="D1756" s="5">
        <v>10.819778284410283</v>
      </c>
      <c r="E1756" s="4">
        <v>1</v>
      </c>
      <c r="F1756" s="5">
        <v>3.5263605246161616</v>
      </c>
      <c r="G1756" s="4">
        <v>5</v>
      </c>
    </row>
    <row r="1757" spans="1:7" x14ac:dyDescent="0.15">
      <c r="A1757" s="4">
        <v>1756</v>
      </c>
      <c r="B1757" s="4">
        <v>0</v>
      </c>
      <c r="D1757" s="5">
        <v>10.308952660644293</v>
      </c>
      <c r="E1757" s="4">
        <v>1</v>
      </c>
      <c r="F1757" s="5">
        <v>3.1780538303479458</v>
      </c>
      <c r="G1757" s="4">
        <v>3</v>
      </c>
    </row>
    <row r="1758" spans="1:7" x14ac:dyDescent="0.15">
      <c r="A1758" s="4">
        <v>1757</v>
      </c>
      <c r="B1758" s="4">
        <v>0</v>
      </c>
      <c r="D1758" s="5">
        <v>11.736069016284437</v>
      </c>
      <c r="E1758" s="4">
        <v>1</v>
      </c>
      <c r="F1758" s="5">
        <v>2.9444389791664403</v>
      </c>
      <c r="G1758" s="4">
        <v>5</v>
      </c>
    </row>
    <row r="1759" spans="1:7" x14ac:dyDescent="0.15">
      <c r="A1759" s="4">
        <v>1758</v>
      </c>
      <c r="B1759" s="4">
        <v>0</v>
      </c>
      <c r="D1759" s="5">
        <v>10.819778284410283</v>
      </c>
      <c r="E1759" s="4">
        <v>1</v>
      </c>
      <c r="F1759" s="5">
        <v>3.2580965380214821</v>
      </c>
      <c r="G1759" s="4">
        <v>3</v>
      </c>
    </row>
    <row r="1760" spans="1:7" x14ac:dyDescent="0.15">
      <c r="A1760" s="4">
        <v>1759</v>
      </c>
      <c r="B1760" s="4">
        <v>0</v>
      </c>
      <c r="D1760" s="5">
        <v>9.0768089793516609</v>
      </c>
      <c r="E1760" s="4">
        <v>1</v>
      </c>
      <c r="F1760" s="5">
        <v>4.1108738641733114</v>
      </c>
      <c r="G1760" s="4">
        <v>1</v>
      </c>
    </row>
    <row r="1761" spans="1:7" x14ac:dyDescent="0.15">
      <c r="A1761" s="4">
        <v>1760</v>
      </c>
      <c r="B1761" s="4">
        <v>0</v>
      </c>
      <c r="D1761" s="5">
        <v>9.0768089793516609</v>
      </c>
      <c r="E1761" s="4">
        <v>1</v>
      </c>
      <c r="F1761" s="5">
        <v>3.4011973816621555</v>
      </c>
      <c r="G1761" s="4">
        <v>1</v>
      </c>
    </row>
    <row r="1762" spans="1:7" x14ac:dyDescent="0.15">
      <c r="A1762" s="4">
        <v>1761</v>
      </c>
      <c r="B1762" s="4">
        <v>1</v>
      </c>
      <c r="D1762" s="5">
        <v>12.072541252905651</v>
      </c>
      <c r="E1762" s="4">
        <v>1</v>
      </c>
      <c r="F1762" s="5">
        <v>3.8501476017100584</v>
      </c>
      <c r="G1762" s="4">
        <v>4</v>
      </c>
    </row>
    <row r="1763" spans="1:7" x14ac:dyDescent="0.15">
      <c r="A1763" s="4">
        <v>1762</v>
      </c>
      <c r="B1763" s="4">
        <v>3</v>
      </c>
      <c r="D1763" s="5">
        <v>11.918390573078392</v>
      </c>
      <c r="E1763" s="4">
        <v>1</v>
      </c>
      <c r="F1763" s="5">
        <v>3.4011973816621555</v>
      </c>
      <c r="G1763" s="4">
        <v>5</v>
      </c>
    </row>
    <row r="1764" spans="1:7" x14ac:dyDescent="0.15">
      <c r="A1764" s="4">
        <v>1763</v>
      </c>
      <c r="B1764" s="4">
        <v>1</v>
      </c>
      <c r="D1764" s="5">
        <v>9.7699561599116063</v>
      </c>
      <c r="E1764" s="4">
        <v>0</v>
      </c>
      <c r="F1764" s="5">
        <v>3.713572066704308</v>
      </c>
      <c r="G1764" s="4">
        <v>4</v>
      </c>
    </row>
    <row r="1765" spans="1:7" x14ac:dyDescent="0.15">
      <c r="A1765" s="4">
        <v>1764</v>
      </c>
      <c r="B1765" s="4">
        <v>0</v>
      </c>
      <c r="D1765" s="5">
        <v>11.119882876860622</v>
      </c>
      <c r="E1765" s="4">
        <v>1</v>
      </c>
      <c r="F1765" s="5">
        <v>3.4965075614664802</v>
      </c>
      <c r="G1765" s="4">
        <v>5</v>
      </c>
    </row>
    <row r="1766" spans="1:7" x14ac:dyDescent="0.15">
      <c r="A1766" s="4">
        <v>1765</v>
      </c>
      <c r="B1766" s="4">
        <v>0</v>
      </c>
      <c r="D1766" s="5">
        <v>11.119882876860622</v>
      </c>
      <c r="E1766" s="4">
        <v>0</v>
      </c>
      <c r="F1766" s="5">
        <v>3.2580965380214821</v>
      </c>
      <c r="G1766" s="4">
        <v>3</v>
      </c>
    </row>
    <row r="1767" spans="1:7" x14ac:dyDescent="0.15">
      <c r="A1767" s="4">
        <v>1766</v>
      </c>
      <c r="B1767" s="4">
        <v>0</v>
      </c>
      <c r="D1767" s="5">
        <v>10.308952660644293</v>
      </c>
      <c r="E1767" s="4">
        <v>1</v>
      </c>
      <c r="F1767" s="5">
        <v>3.3672958299864741</v>
      </c>
      <c r="G1767" s="4">
        <v>4</v>
      </c>
    </row>
    <row r="1768" spans="1:7" x14ac:dyDescent="0.15">
      <c r="A1768" s="4">
        <v>1767</v>
      </c>
      <c r="B1768" s="4">
        <v>1</v>
      </c>
      <c r="D1768" s="5">
        <v>11.119882876860622</v>
      </c>
      <c r="E1768" s="4">
        <v>0</v>
      </c>
      <c r="F1768" s="5">
        <v>3.3672958299864741</v>
      </c>
      <c r="G1768" s="4">
        <v>8</v>
      </c>
    </row>
    <row r="1769" spans="1:7" x14ac:dyDescent="0.15">
      <c r="A1769" s="4">
        <v>1768</v>
      </c>
      <c r="B1769" s="4">
        <v>0</v>
      </c>
      <c r="D1769" s="5">
        <v>9.9034875525361272</v>
      </c>
      <c r="E1769" s="4">
        <v>1</v>
      </c>
      <c r="F1769" s="5">
        <v>2.9444389791664403</v>
      </c>
      <c r="G1769" s="4">
        <v>4</v>
      </c>
    </row>
    <row r="1770" spans="1:7" x14ac:dyDescent="0.15">
      <c r="A1770" s="4">
        <v>1769</v>
      </c>
      <c r="B1770" s="4">
        <v>0</v>
      </c>
      <c r="D1770" s="5">
        <v>10.819778284410283</v>
      </c>
      <c r="E1770" s="4">
        <v>1</v>
      </c>
      <c r="F1770" s="5">
        <v>3.4339872044851463</v>
      </c>
      <c r="G1770" s="4">
        <v>2</v>
      </c>
    </row>
    <row r="1771" spans="1:7" x14ac:dyDescent="0.15">
      <c r="A1771" s="4">
        <v>1770</v>
      </c>
      <c r="B1771" s="4">
        <v>0</v>
      </c>
      <c r="D1771" s="5">
        <v>10.308952660644293</v>
      </c>
      <c r="E1771" s="4">
        <v>1</v>
      </c>
      <c r="F1771" s="5">
        <v>3.5553480614894135</v>
      </c>
      <c r="G1771" s="4">
        <v>3</v>
      </c>
    </row>
    <row r="1772" spans="1:7" x14ac:dyDescent="0.15">
      <c r="A1772" s="4">
        <v>1771</v>
      </c>
      <c r="B1772" s="4">
        <v>0</v>
      </c>
      <c r="D1772" s="5">
        <v>11.119882876860622</v>
      </c>
      <c r="E1772" s="4">
        <v>1</v>
      </c>
      <c r="F1772" s="5">
        <v>3.8918202981106265</v>
      </c>
      <c r="G1772" s="4">
        <v>5</v>
      </c>
    </row>
    <row r="1773" spans="1:7" x14ac:dyDescent="0.15">
      <c r="A1773" s="4">
        <v>1772</v>
      </c>
      <c r="B1773" s="4">
        <v>2</v>
      </c>
      <c r="D1773" s="5">
        <v>10.657259354912508</v>
      </c>
      <c r="E1773" s="4">
        <v>1</v>
      </c>
      <c r="F1773" s="5">
        <v>4.0430512678345503</v>
      </c>
      <c r="G1773" s="4">
        <v>1</v>
      </c>
    </row>
    <row r="1774" spans="1:7" x14ac:dyDescent="0.15">
      <c r="A1774" s="4">
        <v>1773</v>
      </c>
      <c r="B1774" s="4">
        <v>2</v>
      </c>
      <c r="D1774" s="5">
        <v>11.082142548877775</v>
      </c>
      <c r="E1774" s="4">
        <v>1</v>
      </c>
      <c r="F1774" s="5">
        <v>3.7612001156935624</v>
      </c>
      <c r="G1774" s="4">
        <v>2</v>
      </c>
    </row>
    <row r="1775" spans="1:7" x14ac:dyDescent="0.15">
      <c r="A1775" s="4">
        <v>1774</v>
      </c>
      <c r="B1775" s="4">
        <v>0</v>
      </c>
      <c r="D1775" s="5">
        <v>9.3281234076325656</v>
      </c>
      <c r="E1775" s="4">
        <v>1</v>
      </c>
      <c r="F1775" s="5">
        <v>3.0910424533583161</v>
      </c>
      <c r="G1775" s="4">
        <v>3</v>
      </c>
    </row>
    <row r="1776" spans="1:7" x14ac:dyDescent="0.15">
      <c r="A1776" s="4">
        <v>1775</v>
      </c>
      <c r="B1776" s="4">
        <v>0</v>
      </c>
      <c r="D1776" s="5">
        <v>10.221941283654663</v>
      </c>
      <c r="E1776" s="4">
        <v>1</v>
      </c>
      <c r="F1776" s="5">
        <v>3.6375861597263857</v>
      </c>
      <c r="G1776" s="4">
        <v>4</v>
      </c>
    </row>
    <row r="1777" spans="1:7" x14ac:dyDescent="0.15">
      <c r="A1777" s="4">
        <v>1776</v>
      </c>
      <c r="B1777" s="4">
        <v>0</v>
      </c>
      <c r="D1777" s="5">
        <v>10.819778284410283</v>
      </c>
      <c r="E1777" s="4">
        <v>1</v>
      </c>
      <c r="F1777" s="5">
        <v>3.6888794541139363</v>
      </c>
      <c r="G1777" s="4">
        <v>6</v>
      </c>
    </row>
    <row r="1778" spans="1:7" x14ac:dyDescent="0.15">
      <c r="A1778" s="4">
        <v>1777</v>
      </c>
      <c r="B1778" s="4">
        <v>0</v>
      </c>
      <c r="D1778" s="5">
        <v>11.379394072345706</v>
      </c>
      <c r="E1778" s="4">
        <v>1</v>
      </c>
      <c r="F1778" s="5">
        <v>3.9512437185814275</v>
      </c>
      <c r="G1778" s="4">
        <v>5</v>
      </c>
    </row>
    <row r="1779" spans="1:7" x14ac:dyDescent="0.15">
      <c r="A1779" s="4">
        <v>1778</v>
      </c>
      <c r="B1779" s="4">
        <v>0</v>
      </c>
      <c r="D1779" s="5">
        <v>11.082142548877775</v>
      </c>
      <c r="E1779" s="4">
        <v>0</v>
      </c>
      <c r="F1779" s="5">
        <v>3.8286413964890951</v>
      </c>
      <c r="G1779" s="4">
        <v>1</v>
      </c>
    </row>
    <row r="1780" spans="1:7" x14ac:dyDescent="0.15">
      <c r="A1780" s="4">
        <v>1779</v>
      </c>
      <c r="B1780" s="4">
        <v>0</v>
      </c>
      <c r="D1780" s="5">
        <v>10.657259354912508</v>
      </c>
      <c r="E1780" s="4">
        <v>0</v>
      </c>
      <c r="F1780" s="5">
        <v>3.4339872044851463</v>
      </c>
      <c r="G1780" s="4">
        <v>3</v>
      </c>
    </row>
    <row r="1781" spans="1:7" x14ac:dyDescent="0.15">
      <c r="A1781" s="4">
        <v>1780</v>
      </c>
      <c r="B1781" s="4">
        <v>0</v>
      </c>
      <c r="D1781" s="5">
        <v>10.819778284410283</v>
      </c>
      <c r="E1781" s="4">
        <v>0</v>
      </c>
      <c r="F1781" s="5">
        <v>3.9512437185814275</v>
      </c>
      <c r="G1781" s="4">
        <v>4</v>
      </c>
    </row>
    <row r="1782" spans="1:7" x14ac:dyDescent="0.15">
      <c r="A1782" s="4">
        <v>1781</v>
      </c>
      <c r="B1782" s="4">
        <v>0</v>
      </c>
      <c r="D1782" s="5">
        <v>11.736069016284437</v>
      </c>
      <c r="E1782" s="4">
        <v>1</v>
      </c>
      <c r="F1782" s="5">
        <v>3.5263605246161616</v>
      </c>
      <c r="G1782" s="4">
        <v>2</v>
      </c>
    </row>
    <row r="1783" spans="1:7" x14ac:dyDescent="0.15">
      <c r="A1783" s="4">
        <v>1782</v>
      </c>
      <c r="B1783" s="4">
        <v>0</v>
      </c>
      <c r="D1783" s="5">
        <v>11.119882876860622</v>
      </c>
      <c r="E1783" s="4">
        <v>1</v>
      </c>
      <c r="F1783" s="5">
        <v>3.8501476017100584</v>
      </c>
      <c r="G1783" s="4">
        <v>4</v>
      </c>
    </row>
    <row r="1784" spans="1:7" x14ac:dyDescent="0.15">
      <c r="A1784" s="4">
        <v>1783</v>
      </c>
      <c r="B1784" s="4">
        <v>0</v>
      </c>
      <c r="D1784" s="5">
        <v>11.918390573078392</v>
      </c>
      <c r="E1784" s="4">
        <v>0</v>
      </c>
      <c r="F1784" s="5">
        <v>2.8903717578961645</v>
      </c>
      <c r="G1784" s="4">
        <v>7</v>
      </c>
    </row>
    <row r="1785" spans="1:7" x14ac:dyDescent="0.15">
      <c r="A1785" s="4">
        <v>1784</v>
      </c>
      <c r="B1785" s="4">
        <v>1</v>
      </c>
      <c r="D1785" s="5">
        <v>10.819778284410283</v>
      </c>
      <c r="E1785" s="4">
        <v>1</v>
      </c>
      <c r="F1785" s="5">
        <v>3.5553480614894135</v>
      </c>
      <c r="G1785" s="4">
        <v>7</v>
      </c>
    </row>
    <row r="1786" spans="1:7" x14ac:dyDescent="0.15">
      <c r="A1786" s="4">
        <v>1785</v>
      </c>
      <c r="B1786" s="4">
        <v>0</v>
      </c>
      <c r="D1786" s="5">
        <v>11.119882876860622</v>
      </c>
      <c r="E1786" s="4">
        <v>1</v>
      </c>
      <c r="F1786" s="5">
        <v>3.4339872044851463</v>
      </c>
      <c r="G1786" s="4">
        <v>5</v>
      </c>
    </row>
    <row r="1787" spans="1:7" x14ac:dyDescent="0.15">
      <c r="A1787" s="4">
        <v>1786</v>
      </c>
      <c r="B1787" s="4">
        <v>0</v>
      </c>
      <c r="D1787" s="5">
        <v>10.915088464214607</v>
      </c>
      <c r="E1787" s="4">
        <v>1</v>
      </c>
      <c r="F1787" s="5">
        <v>3.6109179126442243</v>
      </c>
      <c r="G1787" s="4">
        <v>5</v>
      </c>
    </row>
    <row r="1788" spans="1:7" x14ac:dyDescent="0.15">
      <c r="A1788" s="4">
        <v>1787</v>
      </c>
      <c r="B1788" s="4">
        <v>0</v>
      </c>
      <c r="D1788" s="5">
        <v>12.072541252905651</v>
      </c>
      <c r="E1788" s="4">
        <v>1</v>
      </c>
      <c r="F1788" s="5">
        <v>4.1588830833596715</v>
      </c>
      <c r="G1788" s="4">
        <v>2</v>
      </c>
    </row>
    <row r="1789" spans="1:7" x14ac:dyDescent="0.15">
      <c r="A1789" s="4">
        <v>1788</v>
      </c>
      <c r="B1789" s="4">
        <v>0</v>
      </c>
      <c r="D1789" s="5">
        <v>10.308952660644293</v>
      </c>
      <c r="E1789" s="4">
        <v>0</v>
      </c>
      <c r="F1789" s="5">
        <v>3.3672958299864741</v>
      </c>
      <c r="G1789" s="4">
        <v>4</v>
      </c>
    </row>
    <row r="1790" spans="1:7" x14ac:dyDescent="0.15">
      <c r="A1790" s="4">
        <v>1789</v>
      </c>
      <c r="B1790" s="4">
        <v>0</v>
      </c>
      <c r="D1790" s="5">
        <v>10.819778284410283</v>
      </c>
      <c r="E1790" s="4">
        <v>1</v>
      </c>
      <c r="F1790" s="5">
        <v>3.4965075614664802</v>
      </c>
      <c r="G1790" s="4">
        <v>4</v>
      </c>
    </row>
    <row r="1791" spans="1:7" x14ac:dyDescent="0.15">
      <c r="A1791" s="4">
        <v>1790</v>
      </c>
      <c r="B1791" s="4">
        <v>0</v>
      </c>
      <c r="D1791" s="5">
        <v>11.918390573078392</v>
      </c>
      <c r="E1791" s="4">
        <v>1</v>
      </c>
      <c r="F1791" s="5">
        <v>3.4339872044851463</v>
      </c>
      <c r="G1791" s="4">
        <v>4</v>
      </c>
    </row>
    <row r="1792" spans="1:7" x14ac:dyDescent="0.15">
      <c r="A1792" s="4">
        <v>1791</v>
      </c>
      <c r="B1792" s="4">
        <v>0</v>
      </c>
      <c r="D1792" s="5">
        <v>10.308952660644293</v>
      </c>
      <c r="E1792" s="4">
        <v>1</v>
      </c>
      <c r="F1792" s="5">
        <v>3.8918202981106265</v>
      </c>
      <c r="G1792" s="4">
        <v>7</v>
      </c>
    </row>
    <row r="1793" spans="1:7" x14ac:dyDescent="0.15">
      <c r="A1793" s="4">
        <v>1792</v>
      </c>
      <c r="B1793" s="4">
        <v>0</v>
      </c>
      <c r="D1793" s="5">
        <v>10.657259354912508</v>
      </c>
      <c r="E1793" s="4">
        <v>1</v>
      </c>
      <c r="F1793" s="5">
        <v>3.5553480614894135</v>
      </c>
      <c r="G1793" s="4">
        <v>4</v>
      </c>
    </row>
    <row r="1794" spans="1:7" x14ac:dyDescent="0.15">
      <c r="A1794" s="4">
        <v>1793</v>
      </c>
      <c r="B1794" s="4">
        <v>11</v>
      </c>
      <c r="D1794" s="5">
        <v>9.7699561599116063</v>
      </c>
      <c r="E1794" s="4">
        <v>1</v>
      </c>
      <c r="F1794" s="5">
        <v>3.5553480614894135</v>
      </c>
      <c r="G1794" s="4">
        <v>6</v>
      </c>
    </row>
    <row r="1795" spans="1:7" x14ac:dyDescent="0.15">
      <c r="A1795" s="4">
        <v>1794</v>
      </c>
      <c r="B1795" s="4">
        <v>0</v>
      </c>
      <c r="D1795" s="5">
        <v>11.119882876860622</v>
      </c>
      <c r="E1795" s="4">
        <v>0</v>
      </c>
      <c r="F1795" s="5">
        <v>3.6109179126442243</v>
      </c>
      <c r="G1795" s="4">
        <v>2</v>
      </c>
    </row>
    <row r="1796" spans="1:7" x14ac:dyDescent="0.15">
      <c r="A1796" s="4">
        <v>1795</v>
      </c>
      <c r="B1796" s="4">
        <v>4</v>
      </c>
      <c r="D1796" s="5">
        <v>10.915088464214607</v>
      </c>
      <c r="E1796" s="4">
        <v>1</v>
      </c>
      <c r="F1796" s="5">
        <v>3.713572066704308</v>
      </c>
      <c r="G1796" s="4">
        <v>3</v>
      </c>
    </row>
    <row r="1797" spans="1:7" x14ac:dyDescent="0.15">
      <c r="A1797" s="4">
        <v>1796</v>
      </c>
      <c r="B1797" s="4">
        <v>1</v>
      </c>
      <c r="D1797" s="5">
        <v>11.918390573078392</v>
      </c>
      <c r="E1797" s="4">
        <v>1</v>
      </c>
      <c r="F1797" s="5">
        <v>2.9444389791664403</v>
      </c>
      <c r="G1797" s="4">
        <v>5</v>
      </c>
    </row>
    <row r="1798" spans="1:7" x14ac:dyDescent="0.15">
      <c r="A1798" s="4">
        <v>1797</v>
      </c>
      <c r="B1798" s="4">
        <v>0</v>
      </c>
      <c r="D1798" s="5">
        <v>11.379394072345706</v>
      </c>
      <c r="E1798" s="4">
        <v>0</v>
      </c>
      <c r="F1798" s="5">
        <v>3.3322045101752038</v>
      </c>
      <c r="G1798" s="4">
        <v>5</v>
      </c>
    </row>
    <row r="1799" spans="1:7" x14ac:dyDescent="0.15">
      <c r="A1799" s="4">
        <v>1798</v>
      </c>
      <c r="B1799" s="4">
        <v>0</v>
      </c>
      <c r="D1799" s="5">
        <v>10.819778284410283</v>
      </c>
      <c r="E1799" s="4">
        <v>1</v>
      </c>
      <c r="F1799" s="5">
        <v>3.4339872044851463</v>
      </c>
      <c r="G1799" s="4">
        <v>5</v>
      </c>
    </row>
    <row r="1800" spans="1:7" x14ac:dyDescent="0.15">
      <c r="A1800" s="4">
        <v>1799</v>
      </c>
      <c r="B1800" s="4">
        <v>15</v>
      </c>
      <c r="D1800" s="5">
        <v>9.9034875525361272</v>
      </c>
      <c r="E1800" s="4">
        <v>1</v>
      </c>
      <c r="F1800" s="5">
        <v>3.4011973816621555</v>
      </c>
      <c r="G1800" s="4">
        <v>5</v>
      </c>
    </row>
    <row r="1801" spans="1:7" x14ac:dyDescent="0.15">
      <c r="A1801" s="4">
        <v>1800</v>
      </c>
      <c r="B1801" s="4">
        <v>0</v>
      </c>
      <c r="D1801" s="5">
        <v>10.308952660644293</v>
      </c>
      <c r="E1801" s="4">
        <v>1</v>
      </c>
      <c r="F1801" s="5">
        <v>2.7080502011022101</v>
      </c>
      <c r="G1801" s="4">
        <v>5</v>
      </c>
    </row>
    <row r="1802" spans="1:7" x14ac:dyDescent="0.15">
      <c r="A1802" s="4">
        <v>1801</v>
      </c>
      <c r="B1802" s="4">
        <v>0</v>
      </c>
      <c r="D1802" s="5">
        <v>10.308952660644293</v>
      </c>
      <c r="E1802" s="4">
        <v>0</v>
      </c>
      <c r="F1802" s="5">
        <v>3.8066624897703196</v>
      </c>
      <c r="G1802" s="4">
        <v>5</v>
      </c>
    </row>
    <row r="1803" spans="1:7" x14ac:dyDescent="0.15">
      <c r="A1803" s="4">
        <v>1802</v>
      </c>
      <c r="B1803" s="4">
        <v>4</v>
      </c>
      <c r="D1803" s="5">
        <v>11.918390573078392</v>
      </c>
      <c r="E1803" s="4">
        <v>1</v>
      </c>
      <c r="F1803" s="5">
        <v>4.1271343850450917</v>
      </c>
      <c r="G1803" s="4">
        <v>4</v>
      </c>
    </row>
    <row r="1804" spans="1:7" x14ac:dyDescent="0.15">
      <c r="A1804" s="4">
        <v>1803</v>
      </c>
      <c r="B1804" s="4">
        <v>0</v>
      </c>
      <c r="D1804" s="5">
        <v>11.379394072345706</v>
      </c>
      <c r="E1804" s="4">
        <v>1</v>
      </c>
      <c r="F1804" s="5">
        <v>3.6888794541139363</v>
      </c>
      <c r="G1804" s="4">
        <v>3</v>
      </c>
    </row>
    <row r="1805" spans="1:7" x14ac:dyDescent="0.15">
      <c r="A1805" s="4">
        <v>1804</v>
      </c>
      <c r="B1805" s="4">
        <v>9</v>
      </c>
      <c r="D1805" s="5">
        <v>11.736069016284437</v>
      </c>
      <c r="E1805" s="4">
        <v>1</v>
      </c>
      <c r="F1805" s="5">
        <v>3.4339872044851463</v>
      </c>
      <c r="G1805" s="4">
        <v>4</v>
      </c>
    </row>
    <row r="1806" spans="1:7" x14ac:dyDescent="0.15">
      <c r="A1806" s="4">
        <v>1805</v>
      </c>
      <c r="B1806" s="4">
        <v>0</v>
      </c>
      <c r="D1806" s="5">
        <v>10.532096211958502</v>
      </c>
      <c r="E1806" s="4">
        <v>0</v>
      </c>
      <c r="F1806" s="5">
        <v>2.4849066497880004</v>
      </c>
      <c r="G1806" s="4">
        <v>4</v>
      </c>
    </row>
    <row r="1807" spans="1:7" x14ac:dyDescent="0.15">
      <c r="A1807" s="4">
        <v>1806</v>
      </c>
      <c r="B1807" s="4">
        <v>9</v>
      </c>
      <c r="D1807" s="5">
        <v>11.736069016284437</v>
      </c>
      <c r="E1807" s="4">
        <v>0</v>
      </c>
      <c r="F1807" s="5">
        <v>3.8286413964890951</v>
      </c>
      <c r="G1807" s="4">
        <v>3</v>
      </c>
    </row>
    <row r="1808" spans="1:7" x14ac:dyDescent="0.15">
      <c r="A1808" s="4">
        <v>1807</v>
      </c>
      <c r="B1808" s="4">
        <v>0</v>
      </c>
      <c r="D1808" s="5">
        <v>10.915088464214607</v>
      </c>
      <c r="E1808" s="4">
        <v>1</v>
      </c>
      <c r="F1808" s="5">
        <v>3.912023005428146</v>
      </c>
      <c r="G1808" s="4">
        <v>2</v>
      </c>
    </row>
    <row r="1809" spans="1:7" x14ac:dyDescent="0.15">
      <c r="A1809" s="4">
        <v>1808</v>
      </c>
      <c r="B1809" s="4">
        <v>0</v>
      </c>
      <c r="D1809" s="5">
        <v>10.532096211958502</v>
      </c>
      <c r="E1809" s="4">
        <v>1</v>
      </c>
      <c r="F1809" s="5">
        <v>3.4011973816621555</v>
      </c>
      <c r="G1809" s="4">
        <v>3</v>
      </c>
    </row>
    <row r="1810" spans="1:7" x14ac:dyDescent="0.15">
      <c r="A1810" s="4">
        <v>1809</v>
      </c>
      <c r="B1810" s="4">
        <v>0</v>
      </c>
      <c r="D1810" s="5">
        <v>11.736069016284437</v>
      </c>
      <c r="E1810" s="4">
        <v>0</v>
      </c>
      <c r="F1810" s="5">
        <v>3.7612001156935624</v>
      </c>
      <c r="G1810" s="4">
        <v>3</v>
      </c>
    </row>
    <row r="1811" spans="1:7" x14ac:dyDescent="0.15">
      <c r="A1811" s="4">
        <v>1810</v>
      </c>
      <c r="B1811" s="4">
        <v>0</v>
      </c>
      <c r="D1811" s="5">
        <v>10.819778284410283</v>
      </c>
      <c r="E1811" s="4">
        <v>1</v>
      </c>
      <c r="F1811" s="5">
        <v>4.1431347263915326</v>
      </c>
      <c r="G1811" s="4">
        <v>2</v>
      </c>
    </row>
    <row r="1812" spans="1:7" x14ac:dyDescent="0.15">
      <c r="A1812" s="4">
        <v>1811</v>
      </c>
      <c r="B1812" s="4">
        <v>0</v>
      </c>
      <c r="D1812" s="5">
        <v>11.119882876860622</v>
      </c>
      <c r="E1812" s="4">
        <v>1</v>
      </c>
      <c r="F1812" s="5">
        <v>3.7376696182833684</v>
      </c>
      <c r="G1812" s="4">
        <v>3</v>
      </c>
    </row>
    <row r="1813" spans="1:7" x14ac:dyDescent="0.15">
      <c r="A1813" s="4">
        <v>1812</v>
      </c>
      <c r="B1813" s="4">
        <v>3</v>
      </c>
      <c r="D1813" s="5">
        <v>10.915088464214607</v>
      </c>
      <c r="E1813" s="4">
        <v>1</v>
      </c>
      <c r="F1813" s="5">
        <v>4.0775374439057197</v>
      </c>
      <c r="G1813" s="4">
        <v>1</v>
      </c>
    </row>
    <row r="1814" spans="1:7" x14ac:dyDescent="0.15">
      <c r="A1814" s="4">
        <v>1813</v>
      </c>
      <c r="B1814" s="4">
        <v>0</v>
      </c>
      <c r="D1814" s="5">
        <v>11.379394072345706</v>
      </c>
      <c r="E1814" s="4">
        <v>1</v>
      </c>
      <c r="F1814" s="5">
        <v>3.7376696182833684</v>
      </c>
      <c r="G1814" s="4">
        <v>3</v>
      </c>
    </row>
    <row r="1815" spans="1:7" x14ac:dyDescent="0.15">
      <c r="A1815" s="4">
        <v>1814</v>
      </c>
      <c r="B1815" s="4">
        <v>0</v>
      </c>
      <c r="D1815" s="5">
        <v>10.768484990022733</v>
      </c>
      <c r="E1815" s="4">
        <v>0</v>
      </c>
      <c r="F1815" s="5">
        <v>3.8501476017100584</v>
      </c>
      <c r="G1815" s="4">
        <v>1</v>
      </c>
    </row>
    <row r="1816" spans="1:7" x14ac:dyDescent="0.15">
      <c r="A1816" s="4">
        <v>1815</v>
      </c>
      <c r="B1816" s="4">
        <v>0</v>
      </c>
      <c r="D1816" s="5">
        <v>11.379394072345706</v>
      </c>
      <c r="E1816" s="4">
        <v>1</v>
      </c>
      <c r="F1816" s="5">
        <v>4.1431347263915326</v>
      </c>
      <c r="G1816" s="4">
        <v>3</v>
      </c>
    </row>
    <row r="1817" spans="1:7" x14ac:dyDescent="0.15">
      <c r="A1817" s="4">
        <v>1816</v>
      </c>
      <c r="B1817" s="4">
        <v>2</v>
      </c>
      <c r="D1817" s="5">
        <v>11.379394072345706</v>
      </c>
      <c r="E1817" s="4">
        <v>1</v>
      </c>
      <c r="F1817" s="5">
        <v>3.713572066704308</v>
      </c>
      <c r="G1817" s="4">
        <v>3</v>
      </c>
    </row>
    <row r="1818" spans="1:7" x14ac:dyDescent="0.15">
      <c r="A1818" s="4">
        <v>1817</v>
      </c>
      <c r="B1818" s="4">
        <v>0</v>
      </c>
      <c r="D1818" s="5">
        <v>9.9034875525361272</v>
      </c>
      <c r="E1818" s="4">
        <v>0</v>
      </c>
      <c r="F1818" s="5">
        <v>2.9444389791664403</v>
      </c>
      <c r="G1818" s="4">
        <v>5</v>
      </c>
    </row>
    <row r="1819" spans="1:7" x14ac:dyDescent="0.15">
      <c r="A1819" s="4">
        <v>1818</v>
      </c>
      <c r="B1819" s="4">
        <v>0</v>
      </c>
      <c r="D1819" s="5">
        <v>11.082142548877775</v>
      </c>
      <c r="E1819" s="4">
        <v>1</v>
      </c>
      <c r="F1819" s="5">
        <v>3.8066624897703196</v>
      </c>
      <c r="G1819" s="4">
        <v>2</v>
      </c>
    </row>
    <row r="1820" spans="1:7" x14ac:dyDescent="0.15">
      <c r="A1820" s="4">
        <v>1819</v>
      </c>
      <c r="B1820" s="4">
        <v>1</v>
      </c>
      <c r="D1820" s="5">
        <v>11.119882876860622</v>
      </c>
      <c r="E1820" s="4">
        <v>1</v>
      </c>
      <c r="F1820" s="5">
        <v>3.9318256327243257</v>
      </c>
      <c r="G1820" s="4">
        <v>4</v>
      </c>
    </row>
    <row r="1821" spans="1:7" x14ac:dyDescent="0.15">
      <c r="A1821" s="4">
        <v>1820</v>
      </c>
      <c r="B1821" s="4">
        <v>0</v>
      </c>
      <c r="D1821" s="5">
        <v>10.915088464214607</v>
      </c>
      <c r="E1821" s="4">
        <v>1</v>
      </c>
      <c r="F1821" s="5">
        <v>4.1896547420264252</v>
      </c>
      <c r="G1821" s="4">
        <v>2</v>
      </c>
    </row>
    <row r="1822" spans="1:7" x14ac:dyDescent="0.15">
      <c r="A1822" s="4">
        <v>1821</v>
      </c>
      <c r="B1822" s="4">
        <v>0</v>
      </c>
      <c r="D1822" s="5">
        <v>10.308952660644293</v>
      </c>
      <c r="E1822" s="4">
        <v>1</v>
      </c>
      <c r="F1822" s="5">
        <v>3.044522437723423</v>
      </c>
      <c r="G1822" s="4">
        <v>2</v>
      </c>
    </row>
    <row r="1823" spans="1:7" x14ac:dyDescent="0.15">
      <c r="A1823" s="4">
        <v>1822</v>
      </c>
      <c r="B1823" s="4">
        <v>0</v>
      </c>
      <c r="D1823" s="5">
        <v>11.736069016284437</v>
      </c>
      <c r="E1823" s="4">
        <v>1</v>
      </c>
      <c r="F1823" s="5">
        <v>3.784189633918261</v>
      </c>
      <c r="G1823" s="4">
        <v>3</v>
      </c>
    </row>
    <row r="1824" spans="1:7" x14ac:dyDescent="0.15">
      <c r="A1824" s="4">
        <v>1823</v>
      </c>
      <c r="B1824" s="4">
        <v>0</v>
      </c>
      <c r="D1824" s="5">
        <v>10.768484990022733</v>
      </c>
      <c r="E1824" s="4">
        <v>0</v>
      </c>
      <c r="F1824" s="5">
        <v>3.8286413964890951</v>
      </c>
      <c r="G1824" s="4">
        <v>2</v>
      </c>
    </row>
    <row r="1825" spans="1:7" x14ac:dyDescent="0.15">
      <c r="A1825" s="4">
        <v>1824</v>
      </c>
      <c r="B1825" s="4">
        <v>0</v>
      </c>
      <c r="D1825" s="5">
        <v>10.308952660644293</v>
      </c>
      <c r="E1825" s="4">
        <v>1</v>
      </c>
      <c r="F1825" s="5">
        <v>3.1354942159291497</v>
      </c>
      <c r="G1825" s="4">
        <v>4</v>
      </c>
    </row>
    <row r="1826" spans="1:7" x14ac:dyDescent="0.15">
      <c r="A1826" s="4">
        <v>1825</v>
      </c>
      <c r="B1826" s="4">
        <v>0</v>
      </c>
      <c r="D1826" s="5">
        <v>10.819778284410283</v>
      </c>
      <c r="E1826" s="4">
        <v>0</v>
      </c>
      <c r="F1826" s="5">
        <v>3.8066624897703196</v>
      </c>
      <c r="G1826" s="4">
        <v>6</v>
      </c>
    </row>
    <row r="1827" spans="1:7" x14ac:dyDescent="0.15">
      <c r="A1827" s="4">
        <v>1826</v>
      </c>
      <c r="B1827" s="4">
        <v>0</v>
      </c>
      <c r="D1827" s="5">
        <v>10.768484990022733</v>
      </c>
      <c r="E1827" s="4">
        <v>0</v>
      </c>
      <c r="F1827" s="5">
        <v>3.4011973816621555</v>
      </c>
      <c r="G1827" s="4">
        <v>2</v>
      </c>
    </row>
    <row r="1828" spans="1:7" x14ac:dyDescent="0.15">
      <c r="A1828" s="4">
        <v>1827</v>
      </c>
      <c r="B1828" s="4">
        <v>0</v>
      </c>
      <c r="D1828" s="5">
        <v>10.021270588192511</v>
      </c>
      <c r="E1828" s="4">
        <v>0</v>
      </c>
      <c r="F1828" s="5">
        <v>3.3322045101752038</v>
      </c>
      <c r="G1828" s="4">
        <v>1</v>
      </c>
    </row>
    <row r="1829" spans="1:7" x14ac:dyDescent="0.15">
      <c r="A1829" s="4">
        <v>1828</v>
      </c>
      <c r="B1829" s="4">
        <v>0</v>
      </c>
      <c r="D1829" s="5">
        <v>11.119882876860622</v>
      </c>
      <c r="E1829" s="4">
        <v>0</v>
      </c>
      <c r="F1829" s="5">
        <v>3.1354942159291497</v>
      </c>
      <c r="G1829" s="4">
        <v>6</v>
      </c>
    </row>
    <row r="1830" spans="1:7" x14ac:dyDescent="0.15">
      <c r="A1830" s="4">
        <v>1829</v>
      </c>
      <c r="B1830" s="4">
        <v>0</v>
      </c>
      <c r="D1830" s="5">
        <v>11.082142548877775</v>
      </c>
      <c r="E1830" s="4">
        <v>1</v>
      </c>
      <c r="F1830" s="5">
        <v>3.6375861597263857</v>
      </c>
      <c r="G1830" s="4">
        <v>3</v>
      </c>
    </row>
    <row r="1831" spans="1:7" x14ac:dyDescent="0.15">
      <c r="A1831" s="4">
        <v>1830</v>
      </c>
      <c r="B1831" s="4">
        <v>0</v>
      </c>
      <c r="D1831" s="5">
        <v>10.221941283654663</v>
      </c>
      <c r="E1831" s="4">
        <v>0</v>
      </c>
      <c r="F1831" s="5">
        <v>2.8903717578961645</v>
      </c>
      <c r="G1831" s="4">
        <v>4</v>
      </c>
    </row>
    <row r="1832" spans="1:7" x14ac:dyDescent="0.15">
      <c r="A1832" s="4">
        <v>1831</v>
      </c>
      <c r="B1832" s="4">
        <v>0</v>
      </c>
      <c r="D1832" s="5">
        <v>10.532096211958502</v>
      </c>
      <c r="E1832" s="4">
        <v>0</v>
      </c>
      <c r="F1832" s="5">
        <v>4.1271343850450917</v>
      </c>
      <c r="G1832" s="4">
        <v>2</v>
      </c>
    </row>
    <row r="1833" spans="1:7" x14ac:dyDescent="0.15">
      <c r="A1833" s="4">
        <v>1832</v>
      </c>
      <c r="B1833" s="4">
        <v>1</v>
      </c>
      <c r="D1833" s="5">
        <v>10.021270588192511</v>
      </c>
      <c r="E1833" s="4">
        <v>0</v>
      </c>
      <c r="F1833" s="5">
        <v>4.2341065045972597</v>
      </c>
      <c r="G1833" s="4">
        <v>1</v>
      </c>
    </row>
    <row r="1834" spans="1:7" x14ac:dyDescent="0.15">
      <c r="A1834" s="4">
        <v>1833</v>
      </c>
      <c r="B1834" s="4">
        <v>0</v>
      </c>
      <c r="D1834" s="5">
        <v>10.221941283654663</v>
      </c>
      <c r="E1834" s="4">
        <v>1</v>
      </c>
      <c r="F1834" s="5">
        <v>3.5553480614894135</v>
      </c>
      <c r="G1834" s="4">
        <v>2</v>
      </c>
    </row>
    <row r="1835" spans="1:7" x14ac:dyDescent="0.15">
      <c r="A1835" s="4">
        <v>1834</v>
      </c>
      <c r="B1835" s="4">
        <v>0</v>
      </c>
      <c r="D1835" s="5">
        <v>10.657259354912508</v>
      </c>
      <c r="E1835" s="4">
        <v>0</v>
      </c>
      <c r="F1835" s="5">
        <v>3.3322045101752038</v>
      </c>
      <c r="G1835" s="4">
        <v>2</v>
      </c>
    </row>
    <row r="1836" spans="1:7" x14ac:dyDescent="0.15">
      <c r="A1836" s="4">
        <v>1835</v>
      </c>
      <c r="B1836" s="4">
        <v>0</v>
      </c>
      <c r="D1836" s="5">
        <v>11.379394072345706</v>
      </c>
      <c r="E1836" s="4">
        <v>0</v>
      </c>
      <c r="F1836" s="5">
        <v>3.3672958299864741</v>
      </c>
      <c r="G1836" s="4">
        <v>2</v>
      </c>
    </row>
    <row r="1837" spans="1:7" x14ac:dyDescent="0.15">
      <c r="A1837" s="4">
        <v>1836</v>
      </c>
      <c r="B1837" s="4">
        <v>0</v>
      </c>
      <c r="D1837" s="5">
        <v>10.021270588192511</v>
      </c>
      <c r="E1837" s="4">
        <v>1</v>
      </c>
      <c r="F1837" s="5">
        <v>4.2046926193909657</v>
      </c>
      <c r="G1837" s="4">
        <v>1</v>
      </c>
    </row>
    <row r="1838" spans="1:7" x14ac:dyDescent="0.15">
      <c r="A1838" s="4">
        <v>1837</v>
      </c>
      <c r="B1838" s="4">
        <v>0</v>
      </c>
      <c r="D1838" s="5">
        <v>10.915088464214607</v>
      </c>
      <c r="E1838" s="4">
        <v>0</v>
      </c>
      <c r="F1838" s="5">
        <v>3.8918202981106265</v>
      </c>
      <c r="G1838" s="4">
        <v>2</v>
      </c>
    </row>
    <row r="1839" spans="1:7" x14ac:dyDescent="0.15">
      <c r="A1839" s="4">
        <v>1838</v>
      </c>
      <c r="B1839" s="4">
        <v>0</v>
      </c>
      <c r="D1839" s="5">
        <v>10.915088464214607</v>
      </c>
      <c r="E1839" s="4">
        <v>1</v>
      </c>
      <c r="F1839" s="5">
        <v>3.9512437185814275</v>
      </c>
      <c r="G1839" s="4">
        <v>3</v>
      </c>
    </row>
    <row r="1840" spans="1:7" x14ac:dyDescent="0.15">
      <c r="A1840" s="4">
        <v>1839</v>
      </c>
      <c r="B1840" s="4">
        <v>2</v>
      </c>
      <c r="D1840" s="5">
        <v>11.379394072345706</v>
      </c>
      <c r="E1840" s="4">
        <v>1</v>
      </c>
      <c r="F1840" s="5">
        <v>3.784189633918261</v>
      </c>
      <c r="G1840" s="4">
        <v>4</v>
      </c>
    </row>
    <row r="1841" spans="1:7" x14ac:dyDescent="0.15">
      <c r="A1841" s="4">
        <v>1840</v>
      </c>
      <c r="B1841" s="4">
        <v>0</v>
      </c>
      <c r="D1841" s="5">
        <v>11.379394072345706</v>
      </c>
      <c r="E1841" s="4">
        <v>1</v>
      </c>
      <c r="F1841" s="5">
        <v>2.5649493574615367</v>
      </c>
      <c r="G1841" s="4">
        <v>4</v>
      </c>
    </row>
    <row r="1842" spans="1:7" x14ac:dyDescent="0.15">
      <c r="A1842" s="4">
        <v>1841</v>
      </c>
      <c r="B1842" s="4">
        <v>1</v>
      </c>
      <c r="D1842" s="5">
        <v>10.657259354912508</v>
      </c>
      <c r="E1842" s="4">
        <v>1</v>
      </c>
      <c r="F1842" s="5">
        <v>3.784189633918261</v>
      </c>
      <c r="G1842" s="4">
        <v>2</v>
      </c>
    </row>
    <row r="1843" spans="1:7" x14ac:dyDescent="0.15">
      <c r="A1843" s="4">
        <v>1842</v>
      </c>
      <c r="B1843" s="4">
        <v>6</v>
      </c>
      <c r="D1843" s="5">
        <v>10.768484990022733</v>
      </c>
      <c r="E1843" s="4">
        <v>1</v>
      </c>
      <c r="F1843" s="5">
        <v>3.7376696182833684</v>
      </c>
      <c r="G1843" s="4">
        <v>3</v>
      </c>
    </row>
    <row r="1844" spans="1:7" x14ac:dyDescent="0.15">
      <c r="A1844" s="4">
        <v>1843</v>
      </c>
      <c r="B1844" s="4">
        <v>0</v>
      </c>
      <c r="D1844" s="5">
        <v>10.021270588192511</v>
      </c>
      <c r="E1844" s="4">
        <v>1</v>
      </c>
      <c r="F1844" s="5">
        <v>3.8066624897703196</v>
      </c>
      <c r="G1844" s="4">
        <v>3</v>
      </c>
    </row>
    <row r="1845" spans="1:7" x14ac:dyDescent="0.15">
      <c r="A1845" s="4">
        <v>1844</v>
      </c>
      <c r="B1845" s="4">
        <v>2</v>
      </c>
      <c r="D1845" s="5">
        <v>11.082142548877775</v>
      </c>
      <c r="E1845" s="4">
        <v>1</v>
      </c>
      <c r="F1845" s="5">
        <v>3.3322045101752038</v>
      </c>
      <c r="G1845" s="4">
        <v>3</v>
      </c>
    </row>
    <row r="1846" spans="1:7" x14ac:dyDescent="0.15">
      <c r="A1846" s="4">
        <v>1845</v>
      </c>
      <c r="B1846" s="4">
        <v>2</v>
      </c>
      <c r="D1846" s="5">
        <v>9.7699561599116063</v>
      </c>
      <c r="E1846" s="4">
        <v>1</v>
      </c>
      <c r="F1846" s="5">
        <v>3.8712010109078911</v>
      </c>
      <c r="G1846" s="4">
        <v>2</v>
      </c>
    </row>
    <row r="1847" spans="1:7" x14ac:dyDescent="0.15">
      <c r="A1847" s="4">
        <v>1846</v>
      </c>
      <c r="B1847" s="4">
        <v>0</v>
      </c>
      <c r="D1847" s="5">
        <v>10.819778284410283</v>
      </c>
      <c r="E1847" s="4">
        <v>0</v>
      </c>
      <c r="F1847" s="5">
        <v>3.8918202981106265</v>
      </c>
      <c r="G1847" s="4">
        <v>4</v>
      </c>
    </row>
    <row r="1848" spans="1:7" x14ac:dyDescent="0.15">
      <c r="A1848" s="4">
        <v>1847</v>
      </c>
      <c r="B1848" s="4">
        <v>0</v>
      </c>
      <c r="D1848" s="5">
        <v>10.021270588192511</v>
      </c>
      <c r="E1848" s="4">
        <v>0</v>
      </c>
      <c r="F1848" s="5">
        <v>3.0910424533583161</v>
      </c>
      <c r="G1848" s="4">
        <v>4</v>
      </c>
    </row>
    <row r="1849" spans="1:7" x14ac:dyDescent="0.15">
      <c r="A1849" s="4">
        <v>1848</v>
      </c>
      <c r="B1849" s="4">
        <v>0</v>
      </c>
      <c r="D1849" s="5">
        <v>11.379394072345706</v>
      </c>
      <c r="E1849" s="4">
        <v>1</v>
      </c>
      <c r="F1849" s="5">
        <v>3.8712010109078911</v>
      </c>
      <c r="G1849" s="4">
        <v>3</v>
      </c>
    </row>
    <row r="1850" spans="1:7" x14ac:dyDescent="0.15">
      <c r="A1850" s="4">
        <v>1849</v>
      </c>
      <c r="B1850" s="4">
        <v>1</v>
      </c>
      <c r="D1850" s="5">
        <v>10.819778284410283</v>
      </c>
      <c r="E1850" s="4">
        <v>1</v>
      </c>
      <c r="F1850" s="5">
        <v>3.6375861597263857</v>
      </c>
      <c r="G1850" s="4">
        <v>5</v>
      </c>
    </row>
    <row r="1851" spans="1:7" x14ac:dyDescent="0.15">
      <c r="A1851" s="4">
        <v>1850</v>
      </c>
      <c r="B1851" s="4">
        <v>0</v>
      </c>
      <c r="D1851" s="5">
        <v>11.379394072345706</v>
      </c>
      <c r="E1851" s="4">
        <v>0</v>
      </c>
      <c r="F1851" s="5">
        <v>3.3672958299864741</v>
      </c>
      <c r="G1851" s="4">
        <v>4</v>
      </c>
    </row>
    <row r="1852" spans="1:7" x14ac:dyDescent="0.15">
      <c r="A1852" s="4">
        <v>1851</v>
      </c>
      <c r="B1852" s="4">
        <v>0</v>
      </c>
      <c r="D1852" s="5">
        <v>11.736069016284437</v>
      </c>
      <c r="E1852" s="4">
        <v>1</v>
      </c>
      <c r="F1852" s="5">
        <v>3.912023005428146</v>
      </c>
      <c r="G1852" s="4">
        <v>4</v>
      </c>
    </row>
    <row r="1853" spans="1:7" x14ac:dyDescent="0.15">
      <c r="A1853" s="4">
        <v>1852</v>
      </c>
      <c r="B1853" s="4">
        <v>0</v>
      </c>
      <c r="D1853" s="5">
        <v>11.082142548877775</v>
      </c>
      <c r="E1853" s="4">
        <v>1</v>
      </c>
      <c r="F1853" s="5">
        <v>3.970291913552122</v>
      </c>
      <c r="G1853" s="4">
        <v>2</v>
      </c>
    </row>
    <row r="1854" spans="1:7" x14ac:dyDescent="0.15">
      <c r="A1854" s="4">
        <v>1853</v>
      </c>
      <c r="B1854" s="4">
        <v>0</v>
      </c>
      <c r="D1854" s="5">
        <v>10.308952660644293</v>
      </c>
      <c r="E1854" s="4">
        <v>0</v>
      </c>
      <c r="F1854" s="5">
        <v>3.2188758248682006</v>
      </c>
      <c r="G1854" s="4">
        <v>3</v>
      </c>
    </row>
    <row r="1855" spans="1:7" x14ac:dyDescent="0.15">
      <c r="A1855" s="4">
        <v>1854</v>
      </c>
      <c r="B1855" s="4">
        <v>0</v>
      </c>
      <c r="D1855" s="5">
        <v>9.7699561599116063</v>
      </c>
      <c r="E1855" s="4">
        <v>1</v>
      </c>
      <c r="F1855" s="5">
        <v>4.0430512678345503</v>
      </c>
      <c r="G1855" s="4">
        <v>1</v>
      </c>
    </row>
    <row r="1856" spans="1:7" x14ac:dyDescent="0.15">
      <c r="A1856" s="4">
        <v>1855</v>
      </c>
      <c r="B1856" s="4">
        <v>0</v>
      </c>
      <c r="D1856" s="5">
        <v>11.379394072345706</v>
      </c>
      <c r="E1856" s="4">
        <v>0</v>
      </c>
      <c r="F1856" s="5">
        <v>3.8066624897703196</v>
      </c>
      <c r="G1856" s="4">
        <v>6</v>
      </c>
    </row>
    <row r="1857" spans="1:7" x14ac:dyDescent="0.15">
      <c r="A1857" s="4">
        <v>1856</v>
      </c>
      <c r="B1857" s="4">
        <v>0</v>
      </c>
      <c r="D1857" s="5">
        <v>9.9034875525361272</v>
      </c>
      <c r="E1857" s="4">
        <v>1</v>
      </c>
      <c r="F1857" s="5">
        <v>3.8501476017100584</v>
      </c>
      <c r="G1857" s="4">
        <v>2</v>
      </c>
    </row>
    <row r="1858" spans="1:7" x14ac:dyDescent="0.15">
      <c r="A1858" s="4">
        <v>1857</v>
      </c>
      <c r="B1858" s="4">
        <v>0</v>
      </c>
      <c r="D1858" s="5">
        <v>10.388995368317829</v>
      </c>
      <c r="E1858" s="4">
        <v>0</v>
      </c>
      <c r="F1858" s="5">
        <v>3.4011973816621555</v>
      </c>
      <c r="G1858" s="4">
        <v>1</v>
      </c>
    </row>
    <row r="1859" spans="1:7" x14ac:dyDescent="0.15">
      <c r="A1859" s="4">
        <v>1858</v>
      </c>
      <c r="B1859" s="4">
        <v>0</v>
      </c>
      <c r="D1859" s="5">
        <v>11.736069016284437</v>
      </c>
      <c r="E1859" s="4">
        <v>1</v>
      </c>
      <c r="F1859" s="5">
        <v>2.9444389791664403</v>
      </c>
      <c r="G1859" s="4">
        <v>3</v>
      </c>
    </row>
    <row r="1860" spans="1:7" x14ac:dyDescent="0.15">
      <c r="A1860" s="4">
        <v>1859</v>
      </c>
      <c r="B1860" s="4">
        <v>0</v>
      </c>
      <c r="D1860" s="5">
        <v>10.657259354912508</v>
      </c>
      <c r="E1860" s="4">
        <v>1</v>
      </c>
      <c r="F1860" s="5">
        <v>3.8918202981106265</v>
      </c>
      <c r="G1860" s="4">
        <v>5</v>
      </c>
    </row>
    <row r="1861" spans="1:7" x14ac:dyDescent="0.15">
      <c r="A1861" s="4">
        <v>1860</v>
      </c>
      <c r="B1861" s="4">
        <v>0</v>
      </c>
      <c r="D1861" s="5">
        <v>11.119882876860622</v>
      </c>
      <c r="E1861" s="4">
        <v>1</v>
      </c>
      <c r="F1861" s="5">
        <v>2.3978952727983707</v>
      </c>
      <c r="G1861" s="4">
        <v>4</v>
      </c>
    </row>
    <row r="1862" spans="1:7" x14ac:dyDescent="0.15">
      <c r="A1862" s="4">
        <v>1861</v>
      </c>
      <c r="B1862" s="4">
        <v>0</v>
      </c>
      <c r="D1862" s="5">
        <v>10.915088464214607</v>
      </c>
      <c r="E1862" s="4">
        <v>1</v>
      </c>
      <c r="F1862" s="5">
        <v>3.4339872044851463</v>
      </c>
      <c r="G1862" s="4">
        <v>2</v>
      </c>
    </row>
    <row r="1863" spans="1:7" x14ac:dyDescent="0.15">
      <c r="A1863" s="4">
        <v>1862</v>
      </c>
      <c r="B1863" s="4">
        <v>1</v>
      </c>
      <c r="D1863" s="5">
        <v>11.191341840842766</v>
      </c>
      <c r="E1863" s="4">
        <v>1</v>
      </c>
      <c r="F1863" s="5">
        <v>3.784189633918261</v>
      </c>
      <c r="G1863" s="4">
        <v>4</v>
      </c>
    </row>
    <row r="1864" spans="1:7" x14ac:dyDescent="0.15">
      <c r="A1864" s="4">
        <v>1863</v>
      </c>
      <c r="B1864" s="4">
        <v>1</v>
      </c>
      <c r="D1864" s="5">
        <v>10.915088464214607</v>
      </c>
      <c r="E1864" s="4">
        <v>1</v>
      </c>
      <c r="F1864" s="5">
        <v>3.4657359027997265</v>
      </c>
      <c r="G1864" s="4">
        <v>4</v>
      </c>
    </row>
    <row r="1865" spans="1:7" x14ac:dyDescent="0.15">
      <c r="A1865" s="4">
        <v>1864</v>
      </c>
      <c r="B1865" s="4">
        <v>0</v>
      </c>
      <c r="D1865" s="5">
        <v>11.082142548877775</v>
      </c>
      <c r="E1865" s="4">
        <v>1</v>
      </c>
      <c r="F1865" s="5">
        <v>3.2580965380214821</v>
      </c>
      <c r="G1865" s="4">
        <v>2</v>
      </c>
    </row>
    <row r="1866" spans="1:7" x14ac:dyDescent="0.15">
      <c r="A1866" s="4">
        <v>1865</v>
      </c>
      <c r="B1866" s="4">
        <v>0</v>
      </c>
      <c r="D1866" s="5">
        <v>10.768484990022733</v>
      </c>
      <c r="E1866" s="4">
        <v>0</v>
      </c>
      <c r="F1866" s="5">
        <v>3.970291913552122</v>
      </c>
      <c r="G1866" s="4">
        <v>3</v>
      </c>
    </row>
    <row r="1867" spans="1:7" x14ac:dyDescent="0.15">
      <c r="A1867" s="4">
        <v>1866</v>
      </c>
      <c r="B1867" s="4">
        <v>0</v>
      </c>
      <c r="D1867" s="5">
        <v>10.308952660644293</v>
      </c>
      <c r="E1867" s="4">
        <v>0</v>
      </c>
      <c r="F1867" s="5">
        <v>4.0943445622221004</v>
      </c>
      <c r="G1867" s="4">
        <v>2</v>
      </c>
    </row>
    <row r="1868" spans="1:7" x14ac:dyDescent="0.15">
      <c r="A1868" s="4">
        <v>1867</v>
      </c>
      <c r="B1868" s="4">
        <v>0</v>
      </c>
      <c r="D1868" s="5">
        <v>10.532096211958502</v>
      </c>
      <c r="E1868" s="4">
        <v>1</v>
      </c>
      <c r="F1868" s="5">
        <v>3.8918202981106265</v>
      </c>
      <c r="G1868" s="4">
        <v>5</v>
      </c>
    </row>
    <row r="1869" spans="1:7" x14ac:dyDescent="0.15">
      <c r="A1869" s="4">
        <v>1868</v>
      </c>
      <c r="B1869" s="4">
        <v>0</v>
      </c>
      <c r="D1869" s="5">
        <v>10.221941283654663</v>
      </c>
      <c r="E1869" s="4">
        <v>0</v>
      </c>
      <c r="F1869" s="5">
        <v>4.2341065045972597</v>
      </c>
      <c r="G1869" s="4">
        <v>2</v>
      </c>
    </row>
    <row r="1870" spans="1:7" x14ac:dyDescent="0.15">
      <c r="A1870" s="4">
        <v>1869</v>
      </c>
      <c r="B1870" s="4">
        <v>0</v>
      </c>
      <c r="D1870" s="5">
        <v>10.915088464214607</v>
      </c>
      <c r="E1870" s="4">
        <v>1</v>
      </c>
      <c r="F1870" s="5">
        <v>4.1896547420264252</v>
      </c>
      <c r="G1870" s="4">
        <v>2</v>
      </c>
    </row>
    <row r="1871" spans="1:7" x14ac:dyDescent="0.15">
      <c r="A1871" s="4">
        <v>1870</v>
      </c>
      <c r="B1871" s="4">
        <v>0</v>
      </c>
      <c r="D1871" s="5">
        <v>10.768484990022733</v>
      </c>
      <c r="E1871" s="4">
        <v>1</v>
      </c>
      <c r="F1871" s="5">
        <v>3.2958368660043291</v>
      </c>
      <c r="G1871" s="4">
        <v>4</v>
      </c>
    </row>
    <row r="1872" spans="1:7" x14ac:dyDescent="0.15">
      <c r="A1872" s="4">
        <v>1871</v>
      </c>
      <c r="B1872" s="4">
        <v>0</v>
      </c>
      <c r="D1872" s="5">
        <v>10.768484990022733</v>
      </c>
      <c r="E1872" s="4">
        <v>0</v>
      </c>
      <c r="F1872" s="5">
        <v>3.2958368660043291</v>
      </c>
      <c r="G1872" s="4">
        <v>4</v>
      </c>
    </row>
    <row r="1873" spans="1:7" x14ac:dyDescent="0.15">
      <c r="A1873" s="4">
        <v>1872</v>
      </c>
      <c r="B1873" s="4">
        <v>0</v>
      </c>
      <c r="D1873" s="5">
        <v>10.819778284410283</v>
      </c>
      <c r="E1873" s="4">
        <v>0</v>
      </c>
      <c r="F1873" s="5">
        <v>2.5649493574615367</v>
      </c>
      <c r="G1873" s="4">
        <v>7</v>
      </c>
    </row>
    <row r="1874" spans="1:7" x14ac:dyDescent="0.15">
      <c r="A1874" s="4">
        <v>1873</v>
      </c>
      <c r="B1874" s="4">
        <v>2</v>
      </c>
      <c r="D1874" s="5">
        <v>10.532096211958502</v>
      </c>
      <c r="E1874" s="4">
        <v>1</v>
      </c>
      <c r="F1874" s="5">
        <v>4.1896547420264252</v>
      </c>
      <c r="G1874" s="4">
        <v>2</v>
      </c>
    </row>
    <row r="1875" spans="1:7" x14ac:dyDescent="0.15">
      <c r="A1875" s="4">
        <v>1874</v>
      </c>
      <c r="B1875" s="4">
        <v>0</v>
      </c>
      <c r="D1875" s="5">
        <v>12.072541252905651</v>
      </c>
      <c r="E1875" s="4">
        <v>0</v>
      </c>
      <c r="F1875" s="5">
        <v>3.970291913552122</v>
      </c>
      <c r="G1875" s="4">
        <v>2</v>
      </c>
    </row>
    <row r="1876" spans="1:7" x14ac:dyDescent="0.15">
      <c r="A1876" s="4">
        <v>1875</v>
      </c>
      <c r="B1876" s="4">
        <v>1</v>
      </c>
      <c r="D1876" s="5">
        <v>10.221941283654663</v>
      </c>
      <c r="E1876" s="4">
        <v>0</v>
      </c>
      <c r="F1876" s="5">
        <v>3.4657359027997265</v>
      </c>
      <c r="G1876" s="4">
        <v>2</v>
      </c>
    </row>
    <row r="1877" spans="1:7" x14ac:dyDescent="0.15">
      <c r="A1877" s="4">
        <v>1876</v>
      </c>
      <c r="B1877" s="4">
        <v>0</v>
      </c>
      <c r="D1877" s="5">
        <v>10.221941283654663</v>
      </c>
      <c r="E1877" s="4">
        <v>0</v>
      </c>
      <c r="F1877" s="5">
        <v>4.0604430105464191</v>
      </c>
      <c r="G1877" s="4">
        <v>2</v>
      </c>
    </row>
    <row r="1878" spans="1:7" x14ac:dyDescent="0.15">
      <c r="A1878" s="4">
        <v>1877</v>
      </c>
      <c r="B1878" s="4">
        <v>11</v>
      </c>
      <c r="D1878" s="5">
        <v>11.379394072345706</v>
      </c>
      <c r="E1878" s="4">
        <v>1</v>
      </c>
      <c r="F1878" s="5">
        <v>4.0943445622221004</v>
      </c>
      <c r="G1878" s="4">
        <v>2</v>
      </c>
    </row>
    <row r="1879" spans="1:7" x14ac:dyDescent="0.15">
      <c r="A1879" s="4">
        <v>1878</v>
      </c>
      <c r="B1879" s="4">
        <v>3</v>
      </c>
      <c r="D1879" s="5">
        <v>9.3281234076325656</v>
      </c>
      <c r="E1879" s="4">
        <v>1</v>
      </c>
      <c r="F1879" s="5">
        <v>3.2958368660043291</v>
      </c>
      <c r="G1879" s="4">
        <v>2</v>
      </c>
    </row>
    <row r="1880" spans="1:7" x14ac:dyDescent="0.15">
      <c r="A1880" s="4">
        <v>1879</v>
      </c>
      <c r="B1880" s="4">
        <v>0</v>
      </c>
      <c r="D1880" s="5">
        <v>10.657259354912508</v>
      </c>
      <c r="E1880" s="4">
        <v>1</v>
      </c>
      <c r="F1880" s="5">
        <v>2.0794415416798357</v>
      </c>
      <c r="G1880" s="4">
        <v>1</v>
      </c>
    </row>
    <row r="1881" spans="1:7" x14ac:dyDescent="0.15">
      <c r="A1881" s="4">
        <v>1880</v>
      </c>
      <c r="B1881" s="4">
        <v>0</v>
      </c>
      <c r="D1881" s="5">
        <v>10.308952660644293</v>
      </c>
      <c r="E1881" s="4">
        <v>1</v>
      </c>
      <c r="F1881" s="5">
        <v>3.6888794541139363</v>
      </c>
      <c r="G1881" s="4">
        <v>4</v>
      </c>
    </row>
    <row r="1882" spans="1:7" x14ac:dyDescent="0.15">
      <c r="A1882" s="4">
        <v>1881</v>
      </c>
      <c r="B1882" s="4">
        <v>1</v>
      </c>
      <c r="D1882" s="5">
        <v>10.915088464214607</v>
      </c>
      <c r="E1882" s="4">
        <v>1</v>
      </c>
      <c r="F1882" s="5">
        <v>4.1431347263915326</v>
      </c>
      <c r="G1882" s="4">
        <v>2</v>
      </c>
    </row>
    <row r="1883" spans="1:7" x14ac:dyDescent="0.15">
      <c r="A1883" s="4">
        <v>1882</v>
      </c>
      <c r="B1883" s="4">
        <v>0</v>
      </c>
      <c r="D1883" s="5">
        <v>10.915088464214607</v>
      </c>
      <c r="E1883" s="4">
        <v>1</v>
      </c>
      <c r="F1883" s="5">
        <v>4.0943445622221004</v>
      </c>
      <c r="G1883" s="4">
        <v>1</v>
      </c>
    </row>
    <row r="1884" spans="1:7" x14ac:dyDescent="0.15">
      <c r="A1884" s="4">
        <v>1883</v>
      </c>
      <c r="B1884" s="4">
        <v>0</v>
      </c>
      <c r="D1884" s="5">
        <v>10.021270588192511</v>
      </c>
      <c r="E1884" s="4">
        <v>1</v>
      </c>
      <c r="F1884" s="5">
        <v>4.2626798770413155</v>
      </c>
      <c r="G1884" s="4">
        <v>2</v>
      </c>
    </row>
    <row r="1885" spans="1:7" x14ac:dyDescent="0.15">
      <c r="A1885" s="4">
        <v>1884</v>
      </c>
      <c r="B1885" s="4">
        <v>0</v>
      </c>
      <c r="D1885" s="5">
        <v>10.819778284410283</v>
      </c>
      <c r="E1885" s="4">
        <v>1</v>
      </c>
      <c r="F1885" s="5">
        <v>2.7725887222397811</v>
      </c>
      <c r="G1885" s="4">
        <v>4</v>
      </c>
    </row>
    <row r="1886" spans="1:7" x14ac:dyDescent="0.15">
      <c r="A1886" s="4">
        <v>1885</v>
      </c>
      <c r="B1886" s="4">
        <v>0</v>
      </c>
      <c r="D1886" s="5">
        <v>10.768484990022733</v>
      </c>
      <c r="E1886" s="4">
        <v>1</v>
      </c>
      <c r="F1886" s="5">
        <v>3.4011973816621555</v>
      </c>
      <c r="G1886" s="4">
        <v>1</v>
      </c>
    </row>
    <row r="1887" spans="1:7" x14ac:dyDescent="0.15">
      <c r="A1887" s="4">
        <v>1886</v>
      </c>
      <c r="B1887" s="4">
        <v>0</v>
      </c>
      <c r="D1887" s="5">
        <v>10.532096211958502</v>
      </c>
      <c r="E1887" s="4">
        <v>0</v>
      </c>
      <c r="F1887" s="5">
        <v>3.6888794541139363</v>
      </c>
      <c r="G1887" s="4">
        <v>1</v>
      </c>
    </row>
    <row r="1888" spans="1:7" x14ac:dyDescent="0.15">
      <c r="A1888" s="4">
        <v>1887</v>
      </c>
      <c r="B1888" s="4">
        <v>0</v>
      </c>
      <c r="D1888" s="5">
        <v>10.915088464214607</v>
      </c>
      <c r="E1888" s="4">
        <v>1</v>
      </c>
      <c r="F1888" s="5">
        <v>3.970291913552122</v>
      </c>
      <c r="G1888" s="4">
        <v>2</v>
      </c>
    </row>
    <row r="1889" spans="1:7" x14ac:dyDescent="0.15">
      <c r="A1889" s="4">
        <v>1888</v>
      </c>
      <c r="B1889" s="4">
        <v>0</v>
      </c>
      <c r="D1889" s="5">
        <v>11.119882876860622</v>
      </c>
      <c r="E1889" s="4">
        <v>0</v>
      </c>
      <c r="F1889" s="5">
        <v>3.8918202981106265</v>
      </c>
      <c r="G1889" s="4">
        <v>5</v>
      </c>
    </row>
    <row r="1890" spans="1:7" x14ac:dyDescent="0.15">
      <c r="A1890" s="4">
        <v>1889</v>
      </c>
      <c r="B1890" s="4">
        <v>0</v>
      </c>
      <c r="D1890" s="5">
        <v>10.308952660644293</v>
      </c>
      <c r="E1890" s="4">
        <v>1</v>
      </c>
      <c r="F1890" s="5">
        <v>3.7612001156935624</v>
      </c>
      <c r="G1890" s="4">
        <v>5</v>
      </c>
    </row>
    <row r="1891" spans="1:7" x14ac:dyDescent="0.15">
      <c r="A1891" s="4">
        <v>1890</v>
      </c>
      <c r="B1891" s="4">
        <v>0</v>
      </c>
      <c r="D1891" s="5">
        <v>10.308952660644293</v>
      </c>
      <c r="E1891" s="4">
        <v>0</v>
      </c>
      <c r="F1891" s="5">
        <v>2.7080502011022101</v>
      </c>
      <c r="G1891" s="4">
        <v>5</v>
      </c>
    </row>
    <row r="1892" spans="1:7" x14ac:dyDescent="0.15">
      <c r="A1892" s="4">
        <v>1891</v>
      </c>
      <c r="B1892" s="4">
        <v>2</v>
      </c>
      <c r="D1892" s="5">
        <v>10.819778284410283</v>
      </c>
      <c r="E1892" s="4">
        <v>1</v>
      </c>
      <c r="F1892" s="5">
        <v>3.4339872044851463</v>
      </c>
      <c r="G1892" s="4">
        <v>5</v>
      </c>
    </row>
    <row r="1893" spans="1:7" x14ac:dyDescent="0.15">
      <c r="A1893" s="4">
        <v>1892</v>
      </c>
      <c r="B1893" s="4">
        <v>0</v>
      </c>
      <c r="D1893" s="5">
        <v>11.119882876860622</v>
      </c>
      <c r="E1893" s="4">
        <v>0</v>
      </c>
      <c r="F1893" s="5">
        <v>2.9444389791664403</v>
      </c>
      <c r="G1893" s="4">
        <v>3</v>
      </c>
    </row>
    <row r="1894" spans="1:7" x14ac:dyDescent="0.15">
      <c r="A1894" s="4">
        <v>1893</v>
      </c>
      <c r="B1894" s="4">
        <v>0</v>
      </c>
      <c r="D1894" s="5">
        <v>10.819778284410283</v>
      </c>
      <c r="E1894" s="4">
        <v>1</v>
      </c>
      <c r="F1894" s="5">
        <v>3.912023005428146</v>
      </c>
      <c r="G1894" s="4">
        <v>6</v>
      </c>
    </row>
    <row r="1895" spans="1:7" x14ac:dyDescent="0.15">
      <c r="A1895" s="4">
        <v>1894</v>
      </c>
      <c r="B1895" s="4">
        <v>0</v>
      </c>
      <c r="D1895" s="5">
        <v>11.191341840842766</v>
      </c>
      <c r="E1895" s="4">
        <v>1</v>
      </c>
      <c r="F1895" s="5">
        <v>3.8918202981106265</v>
      </c>
      <c r="G1895" s="4">
        <v>1</v>
      </c>
    </row>
    <row r="1896" spans="1:7" x14ac:dyDescent="0.15">
      <c r="A1896" s="4">
        <v>1895</v>
      </c>
      <c r="B1896" s="4">
        <v>2</v>
      </c>
      <c r="D1896" s="5">
        <v>11.191341840842766</v>
      </c>
      <c r="E1896" s="4">
        <v>1</v>
      </c>
      <c r="F1896" s="5">
        <v>3.8066624897703196</v>
      </c>
      <c r="G1896" s="4">
        <v>2</v>
      </c>
    </row>
    <row r="1897" spans="1:7" x14ac:dyDescent="0.15">
      <c r="A1897" s="4">
        <v>1896</v>
      </c>
      <c r="B1897" s="4">
        <v>1</v>
      </c>
      <c r="D1897" s="5">
        <v>10.915088464214607</v>
      </c>
      <c r="E1897" s="4">
        <v>1</v>
      </c>
      <c r="F1897" s="5">
        <v>3.8712010109078911</v>
      </c>
      <c r="G1897" s="4">
        <v>3</v>
      </c>
    </row>
    <row r="1898" spans="1:7" x14ac:dyDescent="0.15">
      <c r="A1898" s="4">
        <v>1897</v>
      </c>
      <c r="B1898" s="4">
        <v>1</v>
      </c>
      <c r="D1898" s="5">
        <v>11.191341840842766</v>
      </c>
      <c r="E1898" s="4">
        <v>1</v>
      </c>
      <c r="F1898" s="5">
        <v>3.6375861597263857</v>
      </c>
      <c r="G1898" s="4">
        <v>5</v>
      </c>
    </row>
    <row r="1899" spans="1:7" x14ac:dyDescent="0.15">
      <c r="A1899" s="4">
        <v>1898</v>
      </c>
      <c r="B1899" s="4">
        <v>6</v>
      </c>
      <c r="D1899" s="5">
        <v>10.308952660644293</v>
      </c>
      <c r="E1899" s="4">
        <v>1</v>
      </c>
      <c r="F1899" s="5">
        <v>3.8501476017100584</v>
      </c>
      <c r="G1899" s="4">
        <v>2</v>
      </c>
    </row>
    <row r="1900" spans="1:7" x14ac:dyDescent="0.15">
      <c r="A1900" s="4">
        <v>1899</v>
      </c>
      <c r="B1900" s="4">
        <v>0</v>
      </c>
      <c r="D1900" s="5">
        <v>10.819778284410283</v>
      </c>
      <c r="E1900" s="4">
        <v>1</v>
      </c>
      <c r="F1900" s="5">
        <v>3.912023005428146</v>
      </c>
      <c r="G1900" s="4">
        <v>3</v>
      </c>
    </row>
    <row r="1901" spans="1:7" x14ac:dyDescent="0.15">
      <c r="A1901" s="4">
        <v>1900</v>
      </c>
      <c r="B1901" s="4">
        <v>1</v>
      </c>
      <c r="D1901" s="5">
        <v>10.819778284410283</v>
      </c>
      <c r="E1901" s="4">
        <v>1</v>
      </c>
      <c r="F1901" s="5">
        <v>2.9957322735539909</v>
      </c>
      <c r="G1901" s="4">
        <v>5</v>
      </c>
    </row>
    <row r="1902" spans="1:7" x14ac:dyDescent="0.15">
      <c r="A1902" s="4">
        <v>1901</v>
      </c>
      <c r="B1902" s="4">
        <v>0</v>
      </c>
      <c r="D1902" s="5">
        <v>11.379394072345706</v>
      </c>
      <c r="E1902" s="4">
        <v>1</v>
      </c>
      <c r="F1902" s="5">
        <v>4.0430512678345503</v>
      </c>
      <c r="G1902" s="4">
        <v>3</v>
      </c>
    </row>
    <row r="1903" spans="1:7" x14ac:dyDescent="0.15">
      <c r="A1903" s="4">
        <v>1902</v>
      </c>
      <c r="B1903" s="4">
        <v>25</v>
      </c>
      <c r="D1903" s="5">
        <v>11.082142548877775</v>
      </c>
      <c r="E1903" s="4">
        <v>1</v>
      </c>
      <c r="F1903" s="5">
        <v>3.5263605246161616</v>
      </c>
      <c r="G1903" s="4">
        <v>4</v>
      </c>
    </row>
    <row r="1904" spans="1:7" x14ac:dyDescent="0.15">
      <c r="A1904" s="4">
        <v>1903</v>
      </c>
      <c r="B1904" s="4">
        <v>11</v>
      </c>
      <c r="D1904" s="5">
        <v>11.082142548877775</v>
      </c>
      <c r="E1904" s="4">
        <v>0</v>
      </c>
      <c r="F1904" s="5">
        <v>3.5835189384561099</v>
      </c>
      <c r="G1904" s="4">
        <v>4</v>
      </c>
    </row>
    <row r="1905" spans="1:7" x14ac:dyDescent="0.15">
      <c r="A1905" s="4">
        <v>1904</v>
      </c>
      <c r="B1905" s="4">
        <v>0</v>
      </c>
      <c r="D1905" s="5">
        <v>10.819778284410283</v>
      </c>
      <c r="E1905" s="4">
        <v>1</v>
      </c>
      <c r="F1905" s="5">
        <v>3.4339872044851463</v>
      </c>
      <c r="G1905" s="4">
        <v>4</v>
      </c>
    </row>
    <row r="1906" spans="1:7" x14ac:dyDescent="0.15">
      <c r="A1906" s="4">
        <v>1905</v>
      </c>
      <c r="B1906" s="4">
        <v>0</v>
      </c>
      <c r="D1906" s="5">
        <v>11.379394072345706</v>
      </c>
      <c r="E1906" s="4">
        <v>1</v>
      </c>
      <c r="F1906" s="5">
        <v>3.713572066704308</v>
      </c>
      <c r="G1906" s="4">
        <v>5</v>
      </c>
    </row>
    <row r="1907" spans="1:7" x14ac:dyDescent="0.15">
      <c r="A1907" s="4">
        <v>1906</v>
      </c>
      <c r="B1907" s="4">
        <v>0</v>
      </c>
      <c r="D1907" s="5">
        <v>10.819778284410283</v>
      </c>
      <c r="E1907" s="4">
        <v>1</v>
      </c>
      <c r="F1907" s="5">
        <v>3.4339872044851463</v>
      </c>
      <c r="G1907" s="4">
        <v>4</v>
      </c>
    </row>
    <row r="1908" spans="1:7" x14ac:dyDescent="0.15">
      <c r="A1908" s="4">
        <v>1907</v>
      </c>
      <c r="B1908" s="4">
        <v>0</v>
      </c>
      <c r="D1908" s="5">
        <v>10.819778284410283</v>
      </c>
      <c r="E1908" s="4">
        <v>1</v>
      </c>
      <c r="F1908" s="5">
        <v>3.713572066704308</v>
      </c>
      <c r="G1908" s="4">
        <v>5</v>
      </c>
    </row>
    <row r="1909" spans="1:7" x14ac:dyDescent="0.15">
      <c r="A1909" s="4">
        <v>1908</v>
      </c>
      <c r="B1909" s="4">
        <v>0</v>
      </c>
      <c r="D1909" s="5">
        <v>11.379394072345706</v>
      </c>
      <c r="E1909" s="4">
        <v>1</v>
      </c>
      <c r="F1909" s="5">
        <v>2.6390573296152584</v>
      </c>
      <c r="G1909" s="4">
        <v>4</v>
      </c>
    </row>
    <row r="1910" spans="1:7" x14ac:dyDescent="0.15">
      <c r="A1910" s="4">
        <v>1909</v>
      </c>
      <c r="B1910" s="4">
        <v>0</v>
      </c>
      <c r="D1910" s="5">
        <v>11.379394072345706</v>
      </c>
      <c r="E1910" s="4">
        <v>0</v>
      </c>
      <c r="F1910" s="5">
        <v>3.8066624897703196</v>
      </c>
      <c r="G1910" s="4">
        <v>4</v>
      </c>
    </row>
    <row r="1911" spans="1:7" x14ac:dyDescent="0.15">
      <c r="A1911" s="4">
        <v>1910</v>
      </c>
      <c r="B1911" s="4">
        <v>0</v>
      </c>
      <c r="D1911" s="5">
        <v>11.379394072345706</v>
      </c>
      <c r="E1911" s="4">
        <v>0</v>
      </c>
      <c r="F1911" s="5">
        <v>2.3978952727983707</v>
      </c>
      <c r="G1911" s="4">
        <v>4</v>
      </c>
    </row>
    <row r="1912" spans="1:7" x14ac:dyDescent="0.15">
      <c r="A1912" s="4">
        <v>1911</v>
      </c>
      <c r="B1912" s="4">
        <v>0</v>
      </c>
      <c r="D1912" s="5">
        <v>10.388995368317829</v>
      </c>
      <c r="E1912" s="4">
        <v>0</v>
      </c>
      <c r="F1912" s="5">
        <v>4.0775374439057197</v>
      </c>
      <c r="G1912" s="4">
        <v>1</v>
      </c>
    </row>
    <row r="1913" spans="1:7" x14ac:dyDescent="0.15">
      <c r="A1913" s="4">
        <v>1912</v>
      </c>
      <c r="B1913" s="4">
        <v>0</v>
      </c>
      <c r="D1913" s="5">
        <v>11.736069016284437</v>
      </c>
      <c r="E1913" s="4">
        <v>1</v>
      </c>
      <c r="F1913" s="5">
        <v>3.784189633918261</v>
      </c>
      <c r="G1913" s="4">
        <v>2</v>
      </c>
    </row>
    <row r="1914" spans="1:7" x14ac:dyDescent="0.15">
      <c r="A1914" s="4">
        <v>1913</v>
      </c>
      <c r="B1914" s="4">
        <v>0</v>
      </c>
      <c r="D1914" s="5">
        <v>11.736069016284437</v>
      </c>
      <c r="E1914" s="4">
        <v>1</v>
      </c>
      <c r="F1914" s="5">
        <v>3.044522437723423</v>
      </c>
      <c r="G1914" s="4">
        <v>4</v>
      </c>
    </row>
    <row r="1915" spans="1:7" x14ac:dyDescent="0.15">
      <c r="A1915" s="4">
        <v>1914</v>
      </c>
      <c r="B1915" s="4">
        <v>0</v>
      </c>
      <c r="D1915" s="5">
        <v>11.736069016284437</v>
      </c>
      <c r="E1915" s="4">
        <v>0</v>
      </c>
      <c r="F1915" s="5">
        <v>3.970291913552122</v>
      </c>
      <c r="G1915" s="4">
        <v>4</v>
      </c>
    </row>
    <row r="1916" spans="1:7" x14ac:dyDescent="0.15">
      <c r="A1916" s="4">
        <v>1915</v>
      </c>
      <c r="B1916" s="4">
        <v>0</v>
      </c>
      <c r="D1916" s="5">
        <v>10.532096211958502</v>
      </c>
      <c r="E1916" s="4">
        <v>0</v>
      </c>
      <c r="F1916" s="5">
        <v>3.9512437185814275</v>
      </c>
      <c r="G1916" s="4">
        <v>4</v>
      </c>
    </row>
    <row r="1917" spans="1:7" x14ac:dyDescent="0.15">
      <c r="A1917" s="4">
        <v>1916</v>
      </c>
      <c r="B1917" s="4">
        <v>0</v>
      </c>
      <c r="D1917" s="5">
        <v>10.532096211958502</v>
      </c>
      <c r="E1917" s="4">
        <v>0</v>
      </c>
      <c r="F1917" s="5">
        <v>2.4849066497880004</v>
      </c>
      <c r="G1917" s="4">
        <v>4</v>
      </c>
    </row>
    <row r="1918" spans="1:7" x14ac:dyDescent="0.15">
      <c r="A1918" s="4">
        <v>1917</v>
      </c>
      <c r="B1918" s="4">
        <v>3</v>
      </c>
      <c r="D1918" s="5">
        <v>10.819778284410283</v>
      </c>
      <c r="E1918" s="4">
        <v>1</v>
      </c>
      <c r="F1918" s="5">
        <v>3.1354942159291497</v>
      </c>
      <c r="G1918" s="4">
        <v>5</v>
      </c>
    </row>
    <row r="1919" spans="1:7" x14ac:dyDescent="0.15">
      <c r="A1919" s="4">
        <v>1918</v>
      </c>
      <c r="B1919" s="4">
        <v>0</v>
      </c>
      <c r="D1919" s="5">
        <v>11.119882876860622</v>
      </c>
      <c r="E1919" s="4">
        <v>1</v>
      </c>
      <c r="F1919" s="5">
        <v>2.8332133440562162</v>
      </c>
      <c r="G1919" s="4">
        <v>5</v>
      </c>
    </row>
    <row r="1920" spans="1:7" x14ac:dyDescent="0.15">
      <c r="A1920" s="4">
        <v>1919</v>
      </c>
      <c r="B1920" s="4">
        <v>0</v>
      </c>
      <c r="D1920" s="5">
        <v>9.3281234076325656</v>
      </c>
      <c r="E1920" s="4">
        <v>1</v>
      </c>
      <c r="F1920" s="5">
        <v>3.0910424533583161</v>
      </c>
      <c r="G1920" s="4">
        <v>3</v>
      </c>
    </row>
    <row r="1921" spans="1:7" x14ac:dyDescent="0.15">
      <c r="A1921" s="4">
        <v>1920</v>
      </c>
      <c r="B1921" s="4">
        <v>0</v>
      </c>
      <c r="D1921" s="5">
        <v>10.819778284410283</v>
      </c>
      <c r="E1921" s="4">
        <v>1</v>
      </c>
      <c r="F1921" s="5">
        <v>3.6635616461296463</v>
      </c>
      <c r="G1921" s="4">
        <v>6</v>
      </c>
    </row>
    <row r="1922" spans="1:7" x14ac:dyDescent="0.15">
      <c r="A1922" s="4">
        <v>1921</v>
      </c>
      <c r="B1922" s="4">
        <v>0</v>
      </c>
      <c r="D1922" s="5">
        <v>10.308952660644293</v>
      </c>
      <c r="E1922" s="4">
        <v>1</v>
      </c>
      <c r="F1922" s="5">
        <v>3.1780538303479458</v>
      </c>
      <c r="G1922" s="4">
        <v>2</v>
      </c>
    </row>
    <row r="1923" spans="1:7" x14ac:dyDescent="0.15">
      <c r="A1923" s="4">
        <v>1922</v>
      </c>
      <c r="B1923" s="4">
        <v>0</v>
      </c>
      <c r="D1923" s="5">
        <v>11.119882876860622</v>
      </c>
      <c r="E1923" s="4">
        <v>0</v>
      </c>
      <c r="F1923" s="5">
        <v>4.0253516907351496</v>
      </c>
      <c r="G1923" s="4">
        <v>3</v>
      </c>
    </row>
    <row r="1924" spans="1:7" x14ac:dyDescent="0.15">
      <c r="A1924" s="4">
        <v>1923</v>
      </c>
      <c r="B1924" s="4">
        <v>0</v>
      </c>
      <c r="D1924" s="5">
        <v>9.9034875525361272</v>
      </c>
      <c r="E1924" s="4">
        <v>1</v>
      </c>
      <c r="F1924" s="5">
        <v>3.7376696182833684</v>
      </c>
      <c r="G1924" s="4">
        <v>3</v>
      </c>
    </row>
    <row r="1925" spans="1:7" x14ac:dyDescent="0.15">
      <c r="A1925" s="4">
        <v>1924</v>
      </c>
      <c r="B1925" s="4">
        <v>0</v>
      </c>
      <c r="D1925" s="5">
        <v>9.9034875525361272</v>
      </c>
      <c r="E1925" s="4">
        <v>1</v>
      </c>
      <c r="F1925" s="5">
        <v>2.6390573296152584</v>
      </c>
      <c r="G1925" s="4">
        <v>3</v>
      </c>
    </row>
    <row r="1926" spans="1:7" x14ac:dyDescent="0.15">
      <c r="A1926" s="4">
        <v>1925</v>
      </c>
      <c r="B1926" s="4">
        <v>0</v>
      </c>
      <c r="D1926" s="5">
        <v>11.082142548877775</v>
      </c>
      <c r="E1926" s="4">
        <v>1</v>
      </c>
      <c r="F1926" s="5">
        <v>3.7612001156935624</v>
      </c>
      <c r="G1926" s="4">
        <v>4</v>
      </c>
    </row>
    <row r="1927" spans="1:7" x14ac:dyDescent="0.15">
      <c r="A1927" s="4">
        <v>1926</v>
      </c>
      <c r="B1927" s="4">
        <v>0</v>
      </c>
      <c r="D1927" s="5">
        <v>11.082142548877775</v>
      </c>
      <c r="E1927" s="4">
        <v>0</v>
      </c>
      <c r="F1927" s="5">
        <v>3.784189633918261</v>
      </c>
      <c r="G1927" s="4">
        <v>4</v>
      </c>
    </row>
    <row r="1928" spans="1:7" x14ac:dyDescent="0.15">
      <c r="A1928" s="4">
        <v>1927</v>
      </c>
      <c r="B1928" s="4">
        <v>0</v>
      </c>
      <c r="D1928" s="5">
        <v>10.308952660644293</v>
      </c>
      <c r="E1928" s="4">
        <v>1</v>
      </c>
      <c r="F1928" s="5">
        <v>3.6109179126442243</v>
      </c>
      <c r="G1928" s="4">
        <v>6</v>
      </c>
    </row>
    <row r="1929" spans="1:7" x14ac:dyDescent="0.15">
      <c r="A1929" s="4">
        <v>1928</v>
      </c>
      <c r="B1929" s="4">
        <v>0</v>
      </c>
      <c r="D1929" s="5">
        <v>11.736069016284437</v>
      </c>
      <c r="E1929" s="4">
        <v>0</v>
      </c>
      <c r="F1929" s="5">
        <v>3.970291913552122</v>
      </c>
      <c r="G1929" s="4">
        <v>5</v>
      </c>
    </row>
    <row r="1930" spans="1:7" x14ac:dyDescent="0.15">
      <c r="A1930" s="4">
        <v>1929</v>
      </c>
      <c r="B1930" s="4">
        <v>0</v>
      </c>
      <c r="D1930" s="5">
        <v>11.119882876860622</v>
      </c>
      <c r="E1930" s="4">
        <v>0</v>
      </c>
      <c r="F1930" s="5">
        <v>2.7080502011022101</v>
      </c>
      <c r="G1930" s="4">
        <v>5</v>
      </c>
    </row>
    <row r="1931" spans="1:7" x14ac:dyDescent="0.15">
      <c r="A1931" s="4">
        <v>1930</v>
      </c>
      <c r="B1931" s="4">
        <v>1</v>
      </c>
      <c r="D1931" s="5">
        <v>10.221941283654663</v>
      </c>
      <c r="E1931" s="4">
        <v>0</v>
      </c>
      <c r="F1931" s="5">
        <v>3.4011973816621555</v>
      </c>
      <c r="G1931" s="4">
        <v>1</v>
      </c>
    </row>
    <row r="1932" spans="1:7" x14ac:dyDescent="0.15">
      <c r="A1932" s="4">
        <v>1931</v>
      </c>
      <c r="B1932" s="4">
        <v>0</v>
      </c>
      <c r="D1932" s="5">
        <v>8.9226582995244019</v>
      </c>
      <c r="E1932" s="4">
        <v>1</v>
      </c>
      <c r="F1932" s="5">
        <v>3.1780538303479458</v>
      </c>
      <c r="G1932" s="4">
        <v>2</v>
      </c>
    </row>
    <row r="1933" spans="1:7" x14ac:dyDescent="0.15">
      <c r="A1933" s="4">
        <v>1932</v>
      </c>
      <c r="B1933" s="4">
        <v>0</v>
      </c>
      <c r="D1933" s="5">
        <v>11.379394072345706</v>
      </c>
      <c r="E1933" s="4">
        <v>1</v>
      </c>
      <c r="F1933" s="5">
        <v>3.9512437185814275</v>
      </c>
      <c r="G1933" s="4">
        <v>3</v>
      </c>
    </row>
    <row r="1934" spans="1:7" x14ac:dyDescent="0.15">
      <c r="A1934" s="4">
        <v>1933</v>
      </c>
      <c r="B1934" s="4">
        <v>1</v>
      </c>
      <c r="D1934" s="5">
        <v>9.9034875525361272</v>
      </c>
      <c r="E1934" s="4">
        <v>1</v>
      </c>
      <c r="F1934" s="5">
        <v>3.6635616461296463</v>
      </c>
      <c r="G1934" s="4">
        <v>5</v>
      </c>
    </row>
    <row r="1935" spans="1:7" x14ac:dyDescent="0.15">
      <c r="A1935" s="4">
        <v>1934</v>
      </c>
      <c r="B1935" s="4">
        <v>0</v>
      </c>
      <c r="D1935" s="5">
        <v>11.191341840842766</v>
      </c>
      <c r="E1935" s="4">
        <v>1</v>
      </c>
      <c r="F1935" s="5">
        <v>3.912023005428146</v>
      </c>
      <c r="G1935" s="4">
        <v>3</v>
      </c>
    </row>
    <row r="1936" spans="1:7" x14ac:dyDescent="0.15">
      <c r="A1936" s="4">
        <v>1935</v>
      </c>
      <c r="B1936" s="4">
        <v>1</v>
      </c>
      <c r="D1936" s="5">
        <v>11.191341840842766</v>
      </c>
      <c r="E1936" s="4">
        <v>1</v>
      </c>
      <c r="F1936" s="5">
        <v>3.713572066704308</v>
      </c>
      <c r="G1936" s="4">
        <v>3</v>
      </c>
    </row>
    <row r="1937" spans="1:7" x14ac:dyDescent="0.15">
      <c r="A1937" s="4">
        <v>1936</v>
      </c>
      <c r="B1937" s="4">
        <v>0</v>
      </c>
      <c r="D1937" s="5">
        <v>9.9034875525361272</v>
      </c>
      <c r="E1937" s="4">
        <v>1</v>
      </c>
      <c r="F1937" s="5">
        <v>3.5263605246161616</v>
      </c>
      <c r="G1937" s="4">
        <v>2</v>
      </c>
    </row>
    <row r="1938" spans="1:7" x14ac:dyDescent="0.15">
      <c r="A1938" s="4">
        <v>1937</v>
      </c>
      <c r="B1938" s="4">
        <v>0</v>
      </c>
      <c r="D1938" s="5">
        <v>11.736069016284437</v>
      </c>
      <c r="E1938" s="4">
        <v>1</v>
      </c>
      <c r="F1938" s="5">
        <v>3.8066624897703196</v>
      </c>
      <c r="G1938" s="4">
        <v>4</v>
      </c>
    </row>
    <row r="1939" spans="1:7" x14ac:dyDescent="0.15">
      <c r="A1939" s="4">
        <v>1938</v>
      </c>
      <c r="B1939" s="4">
        <v>0</v>
      </c>
      <c r="D1939" s="5">
        <v>9.9034875525361272</v>
      </c>
      <c r="E1939" s="4">
        <v>0</v>
      </c>
      <c r="F1939" s="5">
        <v>2.7725887222397811</v>
      </c>
      <c r="G1939" s="4">
        <v>3</v>
      </c>
    </row>
    <row r="1940" spans="1:7" x14ac:dyDescent="0.15">
      <c r="A1940" s="4">
        <v>1939</v>
      </c>
      <c r="B1940" s="4">
        <v>0</v>
      </c>
      <c r="D1940" s="5">
        <v>11.379394072345706</v>
      </c>
      <c r="E1940" s="4">
        <v>1</v>
      </c>
      <c r="F1940" s="5">
        <v>3.8066624897703196</v>
      </c>
      <c r="G1940" s="4">
        <v>5</v>
      </c>
    </row>
    <row r="1941" spans="1:7" x14ac:dyDescent="0.15">
      <c r="A1941" s="4">
        <v>1940</v>
      </c>
      <c r="B1941" s="4">
        <v>0</v>
      </c>
      <c r="D1941" s="5">
        <v>10.308952660644293</v>
      </c>
      <c r="E1941" s="4">
        <v>1</v>
      </c>
      <c r="F1941" s="5">
        <v>3.784189633918261</v>
      </c>
      <c r="G1941" s="4">
        <v>5</v>
      </c>
    </row>
    <row r="1942" spans="1:7" x14ac:dyDescent="0.15">
      <c r="A1942" s="4">
        <v>1941</v>
      </c>
      <c r="B1942" s="4">
        <v>0</v>
      </c>
      <c r="D1942" s="5">
        <v>10.657259354912508</v>
      </c>
      <c r="E1942" s="4">
        <v>1</v>
      </c>
      <c r="F1942" s="5">
        <v>3.6888794541139363</v>
      </c>
      <c r="G1942" s="4">
        <v>4</v>
      </c>
    </row>
    <row r="1943" spans="1:7" x14ac:dyDescent="0.15">
      <c r="A1943" s="4">
        <v>1942</v>
      </c>
      <c r="B1943" s="4">
        <v>1</v>
      </c>
      <c r="D1943" s="5">
        <v>10.657259354912508</v>
      </c>
      <c r="E1943" s="4">
        <v>0</v>
      </c>
      <c r="F1943" s="5">
        <v>2.3025850929940459</v>
      </c>
      <c r="G1943" s="4">
        <v>4</v>
      </c>
    </row>
    <row r="1944" spans="1:7" x14ac:dyDescent="0.15">
      <c r="A1944" s="4">
        <v>1943</v>
      </c>
      <c r="B1944" s="4">
        <v>0</v>
      </c>
      <c r="D1944" s="5">
        <v>10.308952660644293</v>
      </c>
      <c r="E1944" s="4">
        <v>1</v>
      </c>
      <c r="F1944" s="5">
        <v>3.5263605246161616</v>
      </c>
      <c r="G1944" s="4">
        <v>6</v>
      </c>
    </row>
    <row r="1945" spans="1:7" x14ac:dyDescent="0.15">
      <c r="A1945" s="4">
        <v>1944</v>
      </c>
      <c r="B1945" s="4">
        <v>0</v>
      </c>
      <c r="D1945" s="5">
        <v>10.915088464214607</v>
      </c>
      <c r="E1945" s="4">
        <v>1</v>
      </c>
      <c r="F1945" s="5">
        <v>3.4657359027997265</v>
      </c>
      <c r="G1945" s="4">
        <v>2</v>
      </c>
    </row>
    <row r="1946" spans="1:7" x14ac:dyDescent="0.15">
      <c r="A1946" s="4">
        <v>1945</v>
      </c>
      <c r="B1946" s="4">
        <v>0</v>
      </c>
      <c r="D1946" s="5">
        <v>10.915088464214607</v>
      </c>
      <c r="E1946" s="4">
        <v>0</v>
      </c>
      <c r="F1946" s="5">
        <v>3.5835189384561099</v>
      </c>
      <c r="G1946" s="4">
        <v>2</v>
      </c>
    </row>
    <row r="1947" spans="1:7" x14ac:dyDescent="0.15">
      <c r="A1947" s="4">
        <v>1946</v>
      </c>
      <c r="B1947" s="4">
        <v>0</v>
      </c>
      <c r="D1947" s="5">
        <v>10.308952660644293</v>
      </c>
      <c r="E1947" s="4">
        <v>1</v>
      </c>
      <c r="F1947" s="5">
        <v>2.4849066497880004</v>
      </c>
      <c r="G1947" s="4">
        <v>3</v>
      </c>
    </row>
    <row r="1948" spans="1:7" x14ac:dyDescent="0.15">
      <c r="A1948" s="4">
        <v>1947</v>
      </c>
      <c r="B1948" s="4">
        <v>0</v>
      </c>
      <c r="D1948" s="5">
        <v>11.191341840842766</v>
      </c>
      <c r="E1948" s="4">
        <v>1</v>
      </c>
      <c r="F1948" s="5">
        <v>3.912023005428146</v>
      </c>
      <c r="G1948" s="4">
        <v>1</v>
      </c>
    </row>
    <row r="1949" spans="1:7" x14ac:dyDescent="0.15">
      <c r="A1949" s="4">
        <v>1948</v>
      </c>
      <c r="B1949" s="4">
        <v>25</v>
      </c>
      <c r="D1949" s="5">
        <v>10.221941283654663</v>
      </c>
      <c r="E1949" s="4">
        <v>0</v>
      </c>
      <c r="F1949" s="5">
        <v>3.4011973816621555</v>
      </c>
      <c r="G1949" s="4">
        <v>1</v>
      </c>
    </row>
    <row r="1950" spans="1:7" x14ac:dyDescent="0.15">
      <c r="A1950" s="4">
        <v>1949</v>
      </c>
      <c r="B1950" s="4">
        <v>2</v>
      </c>
      <c r="D1950" s="5">
        <v>10.221941283654663</v>
      </c>
      <c r="E1950" s="4">
        <v>0</v>
      </c>
      <c r="F1950" s="5">
        <v>3.8066624897703196</v>
      </c>
      <c r="G1950" s="4">
        <v>1</v>
      </c>
    </row>
    <row r="1951" spans="1:7" x14ac:dyDescent="0.15">
      <c r="A1951" s="4">
        <v>1950</v>
      </c>
      <c r="B1951" s="4">
        <v>0</v>
      </c>
      <c r="D1951" s="5">
        <v>10.532096211958502</v>
      </c>
      <c r="E1951" s="4">
        <v>1</v>
      </c>
      <c r="F1951" s="5">
        <v>3.4965075614664802</v>
      </c>
      <c r="G1951" s="4">
        <v>4</v>
      </c>
    </row>
    <row r="1952" spans="1:7" x14ac:dyDescent="0.15">
      <c r="A1952" s="4">
        <v>1951</v>
      </c>
      <c r="B1952" s="4">
        <v>3</v>
      </c>
      <c r="D1952" s="5">
        <v>10.532096211958502</v>
      </c>
      <c r="E1952" s="4">
        <v>0</v>
      </c>
      <c r="F1952" s="5">
        <v>3.5263605246161616</v>
      </c>
      <c r="G1952" s="4">
        <v>1</v>
      </c>
    </row>
    <row r="1953" spans="1:7" x14ac:dyDescent="0.15">
      <c r="A1953" s="4">
        <v>1952</v>
      </c>
      <c r="B1953" s="4">
        <v>0</v>
      </c>
      <c r="D1953" s="5">
        <v>11.736069016284437</v>
      </c>
      <c r="E1953" s="4">
        <v>1</v>
      </c>
      <c r="F1953" s="5">
        <v>3.912023005428146</v>
      </c>
      <c r="G1953" s="4">
        <v>2</v>
      </c>
    </row>
    <row r="1954" spans="1:7" x14ac:dyDescent="0.15">
      <c r="A1954" s="4">
        <v>1953</v>
      </c>
      <c r="B1954" s="4">
        <v>0</v>
      </c>
      <c r="D1954" s="5">
        <v>11.379394072345706</v>
      </c>
      <c r="E1954" s="4">
        <v>1</v>
      </c>
      <c r="F1954" s="5">
        <v>3.784189633918261</v>
      </c>
      <c r="G1954" s="4">
        <v>2</v>
      </c>
    </row>
    <row r="1955" spans="1:7" x14ac:dyDescent="0.15">
      <c r="A1955" s="4">
        <v>1954</v>
      </c>
      <c r="B1955" s="4">
        <v>0</v>
      </c>
      <c r="D1955" s="5">
        <v>11.379394072345706</v>
      </c>
      <c r="E1955" s="4">
        <v>0</v>
      </c>
      <c r="F1955" s="5">
        <v>4.0604430105464191</v>
      </c>
      <c r="G1955" s="4">
        <v>5</v>
      </c>
    </row>
    <row r="1956" spans="1:7" x14ac:dyDescent="0.15">
      <c r="A1956" s="4">
        <v>1955</v>
      </c>
      <c r="B1956" s="4">
        <v>0</v>
      </c>
      <c r="D1956" s="5">
        <v>10.221941283654663</v>
      </c>
      <c r="E1956" s="4">
        <v>1</v>
      </c>
      <c r="F1956" s="5">
        <v>3.6888794541139363</v>
      </c>
      <c r="G1956" s="4">
        <v>2</v>
      </c>
    </row>
    <row r="1957" spans="1:7" x14ac:dyDescent="0.15">
      <c r="A1957" s="4">
        <v>1956</v>
      </c>
      <c r="B1957" s="4">
        <v>0</v>
      </c>
      <c r="D1957" s="5">
        <v>10.819778284410283</v>
      </c>
      <c r="E1957" s="4">
        <v>1</v>
      </c>
      <c r="F1957" s="5">
        <v>2.8903717578961645</v>
      </c>
      <c r="G1957" s="4">
        <v>5</v>
      </c>
    </row>
    <row r="1958" spans="1:7" x14ac:dyDescent="0.15">
      <c r="A1958" s="4">
        <v>1957</v>
      </c>
      <c r="B1958" s="4">
        <v>0</v>
      </c>
      <c r="D1958" s="5">
        <v>10.915088464214607</v>
      </c>
      <c r="E1958" s="4">
        <v>0</v>
      </c>
      <c r="F1958" s="5">
        <v>3.8066624897703196</v>
      </c>
      <c r="G1958" s="4">
        <v>1</v>
      </c>
    </row>
    <row r="1959" spans="1:7" x14ac:dyDescent="0.15">
      <c r="A1959" s="4">
        <v>1958</v>
      </c>
      <c r="B1959" s="4">
        <v>0</v>
      </c>
      <c r="D1959" s="5">
        <v>11.379394072345706</v>
      </c>
      <c r="E1959" s="4">
        <v>0</v>
      </c>
      <c r="F1959" s="5">
        <v>3.6375861597263857</v>
      </c>
      <c r="G1959" s="4">
        <v>2</v>
      </c>
    </row>
    <row r="1960" spans="1:7" x14ac:dyDescent="0.15">
      <c r="A1960" s="4">
        <v>1959</v>
      </c>
      <c r="B1960" s="4">
        <v>0</v>
      </c>
      <c r="D1960" s="5">
        <v>12.072541252905651</v>
      </c>
      <c r="E1960" s="4">
        <v>0</v>
      </c>
      <c r="F1960" s="5">
        <v>3.7612001156935624</v>
      </c>
      <c r="G1960" s="4">
        <v>4</v>
      </c>
    </row>
    <row r="1961" spans="1:7" x14ac:dyDescent="0.15">
      <c r="A1961" s="4">
        <v>1960</v>
      </c>
      <c r="B1961" s="4">
        <v>0</v>
      </c>
      <c r="D1961" s="5">
        <v>10.388995368317829</v>
      </c>
      <c r="E1961" s="4">
        <v>1</v>
      </c>
      <c r="F1961" s="5">
        <v>3.5553480614894135</v>
      </c>
      <c r="G1961" s="4">
        <v>1</v>
      </c>
    </row>
    <row r="1962" spans="1:7" x14ac:dyDescent="0.15">
      <c r="A1962" s="4">
        <v>1961</v>
      </c>
      <c r="B1962" s="4">
        <v>1</v>
      </c>
      <c r="D1962" s="5">
        <v>11.379394072345706</v>
      </c>
      <c r="E1962" s="4">
        <v>1</v>
      </c>
      <c r="F1962" s="5">
        <v>3.7612001156935624</v>
      </c>
      <c r="G1962" s="4">
        <v>2</v>
      </c>
    </row>
    <row r="1963" spans="1:7" x14ac:dyDescent="0.15">
      <c r="A1963" s="4">
        <v>1962</v>
      </c>
      <c r="B1963" s="4">
        <v>0</v>
      </c>
      <c r="D1963" s="5">
        <v>11.379394072345706</v>
      </c>
      <c r="E1963" s="4">
        <v>1</v>
      </c>
      <c r="F1963" s="5">
        <v>4.0604430105464191</v>
      </c>
      <c r="G1963" s="4">
        <v>2</v>
      </c>
    </row>
    <row r="1964" spans="1:7" x14ac:dyDescent="0.15">
      <c r="A1964" s="4">
        <v>1963</v>
      </c>
      <c r="B1964" s="4">
        <v>0</v>
      </c>
      <c r="D1964" s="5">
        <v>9.5287941030947181</v>
      </c>
      <c r="E1964" s="4">
        <v>1</v>
      </c>
      <c r="F1964" s="5">
        <v>3.8501476017100584</v>
      </c>
      <c r="G1964" s="4">
        <v>2</v>
      </c>
    </row>
    <row r="1965" spans="1:7" x14ac:dyDescent="0.15">
      <c r="A1965" s="4">
        <v>1964</v>
      </c>
      <c r="B1965" s="4">
        <v>0</v>
      </c>
      <c r="D1965" s="5">
        <v>12.206072645530174</v>
      </c>
      <c r="E1965" s="4">
        <v>1</v>
      </c>
      <c r="F1965" s="5">
        <v>3.4339872044851463</v>
      </c>
      <c r="G1965" s="4">
        <v>3</v>
      </c>
    </row>
    <row r="1966" spans="1:7" x14ac:dyDescent="0.15">
      <c r="A1966" s="4">
        <v>1965</v>
      </c>
      <c r="B1966" s="4">
        <v>0</v>
      </c>
      <c r="D1966" s="5">
        <v>11.379394072345706</v>
      </c>
      <c r="E1966" s="4">
        <v>1</v>
      </c>
      <c r="F1966" s="5">
        <v>3.4339872044851463</v>
      </c>
      <c r="G1966" s="4">
        <v>4</v>
      </c>
    </row>
    <row r="1967" spans="1:7" x14ac:dyDescent="0.15">
      <c r="A1967" s="4">
        <v>1966</v>
      </c>
      <c r="B1967" s="4">
        <v>0</v>
      </c>
      <c r="D1967" s="5">
        <v>10.819778284410283</v>
      </c>
      <c r="E1967" s="4">
        <v>1</v>
      </c>
      <c r="F1967" s="5">
        <v>3.8066624897703196</v>
      </c>
      <c r="G1967" s="4">
        <v>2</v>
      </c>
    </row>
    <row r="1968" spans="1:7" x14ac:dyDescent="0.15">
      <c r="A1968" s="4">
        <v>1967</v>
      </c>
      <c r="B1968" s="4">
        <v>0</v>
      </c>
      <c r="D1968" s="5">
        <v>10.021270588192511</v>
      </c>
      <c r="E1968" s="4">
        <v>1</v>
      </c>
      <c r="F1968" s="5">
        <v>4.0775374439057197</v>
      </c>
      <c r="G1968" s="4">
        <v>3</v>
      </c>
    </row>
    <row r="1969" spans="1:7" x14ac:dyDescent="0.15">
      <c r="A1969" s="4">
        <v>1968</v>
      </c>
      <c r="B1969" s="4">
        <v>4</v>
      </c>
      <c r="D1969" s="5">
        <v>10.819778284410283</v>
      </c>
      <c r="E1969" s="4">
        <v>1</v>
      </c>
      <c r="F1969" s="5">
        <v>3.6375861597263857</v>
      </c>
      <c r="G1969" s="4">
        <v>2</v>
      </c>
    </row>
    <row r="1970" spans="1:7" x14ac:dyDescent="0.15">
      <c r="A1970" s="4">
        <v>1969</v>
      </c>
      <c r="B1970" s="4">
        <v>4</v>
      </c>
      <c r="D1970" s="5">
        <v>11.379394072345706</v>
      </c>
      <c r="E1970" s="4">
        <v>1</v>
      </c>
      <c r="F1970" s="5">
        <v>3.6375861597263857</v>
      </c>
      <c r="G1970" s="4">
        <v>5</v>
      </c>
    </row>
    <row r="1971" spans="1:7" x14ac:dyDescent="0.15">
      <c r="A1971" s="4">
        <v>1970</v>
      </c>
      <c r="B1971" s="4">
        <v>0</v>
      </c>
      <c r="D1971" s="5">
        <v>11.379394072345706</v>
      </c>
      <c r="E1971" s="4">
        <v>0</v>
      </c>
      <c r="F1971" s="5">
        <v>3.8712010109078911</v>
      </c>
      <c r="G1971" s="4">
        <v>3</v>
      </c>
    </row>
    <row r="1972" spans="1:7" x14ac:dyDescent="0.15">
      <c r="A1972" s="4">
        <v>1971</v>
      </c>
      <c r="B1972" s="4">
        <v>0</v>
      </c>
      <c r="D1972" s="5">
        <v>11.082142548877775</v>
      </c>
      <c r="E1972" s="4">
        <v>0</v>
      </c>
      <c r="F1972" s="5">
        <v>3.970291913552122</v>
      </c>
      <c r="G1972" s="4">
        <v>3</v>
      </c>
    </row>
    <row r="1973" spans="1:7" x14ac:dyDescent="0.15">
      <c r="A1973" s="4">
        <v>1972</v>
      </c>
      <c r="B1973" s="4">
        <v>0</v>
      </c>
      <c r="D1973" s="5">
        <v>9.5287941030947181</v>
      </c>
      <c r="E1973" s="4">
        <v>1</v>
      </c>
      <c r="F1973" s="5">
        <v>3.2580965380214821</v>
      </c>
      <c r="G1973" s="4">
        <v>3</v>
      </c>
    </row>
    <row r="1974" spans="1:7" x14ac:dyDescent="0.15">
      <c r="A1974" s="4">
        <v>1973</v>
      </c>
      <c r="B1974" s="4">
        <v>0</v>
      </c>
      <c r="D1974" s="5">
        <v>11.082142548877775</v>
      </c>
      <c r="E1974" s="4">
        <v>0</v>
      </c>
      <c r="F1974" s="5">
        <v>4.2046926193909657</v>
      </c>
      <c r="G1974" s="4">
        <v>2</v>
      </c>
    </row>
    <row r="1975" spans="1:7" x14ac:dyDescent="0.15">
      <c r="A1975" s="4">
        <v>1974</v>
      </c>
      <c r="B1975" s="4">
        <v>0</v>
      </c>
      <c r="D1975" s="5">
        <v>10.657259354912508</v>
      </c>
      <c r="E1975" s="4">
        <v>0</v>
      </c>
      <c r="F1975" s="5">
        <v>3.8501476017100584</v>
      </c>
      <c r="G1975" s="4">
        <v>4</v>
      </c>
    </row>
    <row r="1976" spans="1:7" x14ac:dyDescent="0.15">
      <c r="A1976" s="4">
        <v>1975</v>
      </c>
      <c r="B1976" s="4">
        <v>0</v>
      </c>
      <c r="D1976" s="5">
        <v>10.532096211958502</v>
      </c>
      <c r="E1976" s="4">
        <v>1</v>
      </c>
      <c r="F1976" s="5">
        <v>3.4657359027997265</v>
      </c>
      <c r="G1976" s="4">
        <v>3</v>
      </c>
    </row>
    <row r="1977" spans="1:7" x14ac:dyDescent="0.15">
      <c r="A1977" s="4">
        <v>1976</v>
      </c>
      <c r="B1977" s="4">
        <v>1</v>
      </c>
      <c r="D1977" s="5">
        <v>10.915088464214607</v>
      </c>
      <c r="E1977" s="4">
        <v>0</v>
      </c>
      <c r="F1977" s="5">
        <v>3.3672958299864741</v>
      </c>
      <c r="G1977" s="4">
        <v>2</v>
      </c>
    </row>
    <row r="1978" spans="1:7" x14ac:dyDescent="0.15">
      <c r="A1978" s="4">
        <v>1977</v>
      </c>
      <c r="B1978" s="4">
        <v>0</v>
      </c>
      <c r="D1978" s="5">
        <v>11.191341840842766</v>
      </c>
      <c r="E1978" s="4">
        <v>1</v>
      </c>
      <c r="F1978" s="5">
        <v>3.6375861597263857</v>
      </c>
      <c r="G1978" s="4">
        <v>3</v>
      </c>
    </row>
    <row r="1979" spans="1:7" x14ac:dyDescent="0.15">
      <c r="A1979" s="4">
        <v>1978</v>
      </c>
      <c r="B1979" s="4">
        <v>0</v>
      </c>
      <c r="D1979" s="5">
        <v>11.191341840842766</v>
      </c>
      <c r="E1979" s="4">
        <v>1</v>
      </c>
      <c r="F1979" s="5">
        <v>2.8332133440562162</v>
      </c>
      <c r="G1979" s="4">
        <v>3</v>
      </c>
    </row>
    <row r="1980" spans="1:7" x14ac:dyDescent="0.15">
      <c r="A1980" s="4">
        <v>1979</v>
      </c>
      <c r="B1980" s="4">
        <v>2</v>
      </c>
      <c r="D1980" s="5">
        <v>12.072541252905651</v>
      </c>
      <c r="E1980" s="4">
        <v>0</v>
      </c>
      <c r="F1980" s="5">
        <v>4.0943445622221004</v>
      </c>
      <c r="G1980" s="4">
        <v>1</v>
      </c>
    </row>
    <row r="1981" spans="1:7" x14ac:dyDescent="0.15">
      <c r="A1981" s="4">
        <v>1980</v>
      </c>
      <c r="B1981" s="4">
        <v>0</v>
      </c>
      <c r="D1981" s="5">
        <v>10.768484990022733</v>
      </c>
      <c r="E1981" s="4">
        <v>0</v>
      </c>
      <c r="F1981" s="5">
        <v>3.6109179126442243</v>
      </c>
      <c r="G1981" s="4">
        <v>2</v>
      </c>
    </row>
    <row r="1982" spans="1:7" x14ac:dyDescent="0.15">
      <c r="A1982" s="4">
        <v>1981</v>
      </c>
      <c r="B1982" s="4">
        <v>0</v>
      </c>
      <c r="D1982" s="5">
        <v>11.379394072345706</v>
      </c>
      <c r="E1982" s="4">
        <v>0</v>
      </c>
      <c r="F1982" s="5">
        <v>3.1354942159291497</v>
      </c>
      <c r="G1982" s="4">
        <v>5</v>
      </c>
    </row>
    <row r="1983" spans="1:7" x14ac:dyDescent="0.15">
      <c r="A1983" s="4">
        <v>1982</v>
      </c>
      <c r="B1983" s="4">
        <v>0</v>
      </c>
      <c r="D1983" s="5">
        <v>10.915088464214607</v>
      </c>
      <c r="E1983" s="4">
        <v>1</v>
      </c>
      <c r="F1983" s="5">
        <v>4.1431347263915326</v>
      </c>
      <c r="G1983" s="4">
        <v>1</v>
      </c>
    </row>
    <row r="1984" spans="1:7" x14ac:dyDescent="0.15">
      <c r="A1984" s="4">
        <v>1983</v>
      </c>
      <c r="B1984" s="4">
        <v>2</v>
      </c>
      <c r="D1984" s="5">
        <v>11.082142548877775</v>
      </c>
      <c r="E1984" s="4">
        <v>1</v>
      </c>
      <c r="F1984" s="5">
        <v>3.6109179126442243</v>
      </c>
      <c r="G1984" s="4">
        <v>4</v>
      </c>
    </row>
    <row r="1985" spans="1:7" x14ac:dyDescent="0.15">
      <c r="A1985" s="4">
        <v>1984</v>
      </c>
      <c r="B1985" s="4">
        <v>0</v>
      </c>
      <c r="D1985" s="5">
        <v>11.736069016284437</v>
      </c>
      <c r="E1985" s="4">
        <v>0</v>
      </c>
      <c r="F1985" s="5">
        <v>3.8286413964890951</v>
      </c>
      <c r="G1985" s="4">
        <v>4</v>
      </c>
    </row>
    <row r="1986" spans="1:7" x14ac:dyDescent="0.15">
      <c r="A1986" s="4">
        <v>1985</v>
      </c>
      <c r="B1986" s="4">
        <v>14</v>
      </c>
      <c r="D1986" s="5">
        <v>10.657259354912508</v>
      </c>
      <c r="E1986" s="4">
        <v>1</v>
      </c>
      <c r="F1986" s="5">
        <v>3.5263605246161616</v>
      </c>
      <c r="G1986" s="4">
        <v>5</v>
      </c>
    </row>
    <row r="1987" spans="1:7" x14ac:dyDescent="0.15">
      <c r="A1987" s="4">
        <v>1986</v>
      </c>
      <c r="B1987" s="4">
        <v>0</v>
      </c>
      <c r="D1987" s="5">
        <v>11.191341840842766</v>
      </c>
      <c r="E1987" s="4">
        <v>1</v>
      </c>
      <c r="F1987" s="5">
        <v>2.7080502011022101</v>
      </c>
      <c r="G1987" s="4">
        <v>4</v>
      </c>
    </row>
    <row r="1988" spans="1:7" x14ac:dyDescent="0.15">
      <c r="A1988" s="4">
        <v>1987</v>
      </c>
      <c r="B1988" s="4">
        <v>1</v>
      </c>
      <c r="D1988" s="5">
        <v>10.915088464214607</v>
      </c>
      <c r="E1988" s="4">
        <v>1</v>
      </c>
      <c r="F1988" s="5">
        <v>3.5263605246161616</v>
      </c>
      <c r="G1988" s="4">
        <v>1</v>
      </c>
    </row>
    <row r="1989" spans="1:7" x14ac:dyDescent="0.15">
      <c r="A1989" s="4">
        <v>1988</v>
      </c>
      <c r="B1989" s="4">
        <v>0</v>
      </c>
      <c r="D1989" s="5">
        <v>9.9034875525361272</v>
      </c>
      <c r="E1989" s="4">
        <v>1</v>
      </c>
      <c r="F1989" s="5">
        <v>2.8332133440562162</v>
      </c>
      <c r="G1989" s="4">
        <v>2</v>
      </c>
    </row>
    <row r="1990" spans="1:7" x14ac:dyDescent="0.15">
      <c r="A1990" s="4">
        <v>1989</v>
      </c>
      <c r="B1990" s="4">
        <v>2</v>
      </c>
      <c r="D1990" s="5">
        <v>10.915088464214607</v>
      </c>
      <c r="E1990" s="4">
        <v>0</v>
      </c>
      <c r="F1990" s="5">
        <v>3.4339872044851463</v>
      </c>
      <c r="G1990" s="4">
        <v>2</v>
      </c>
    </row>
    <row r="1991" spans="1:7" x14ac:dyDescent="0.15">
      <c r="A1991" s="4">
        <v>1990</v>
      </c>
      <c r="B1991" s="4">
        <v>0</v>
      </c>
      <c r="D1991" s="5">
        <v>11.191341840842766</v>
      </c>
      <c r="E1991" s="4">
        <v>0</v>
      </c>
      <c r="F1991" s="5">
        <v>4.0073331852324712</v>
      </c>
      <c r="G1991" s="4">
        <v>3</v>
      </c>
    </row>
    <row r="1992" spans="1:7" x14ac:dyDescent="0.15">
      <c r="A1992" s="4">
        <v>1991</v>
      </c>
      <c r="B1992" s="4">
        <v>0</v>
      </c>
      <c r="D1992" s="5">
        <v>10.915088464214607</v>
      </c>
      <c r="E1992" s="4">
        <v>0</v>
      </c>
      <c r="F1992" s="5">
        <v>3.8501476017100584</v>
      </c>
      <c r="G1992" s="4">
        <v>6</v>
      </c>
    </row>
    <row r="1993" spans="1:7" x14ac:dyDescent="0.15">
      <c r="A1993" s="4">
        <v>1992</v>
      </c>
      <c r="B1993" s="4">
        <v>0</v>
      </c>
      <c r="D1993" s="5">
        <v>11.119882876860622</v>
      </c>
      <c r="E1993" s="4">
        <v>1</v>
      </c>
      <c r="F1993" s="5">
        <v>3.7376696182833684</v>
      </c>
      <c r="G1993" s="4">
        <v>3</v>
      </c>
    </row>
    <row r="1994" spans="1:7" x14ac:dyDescent="0.15">
      <c r="A1994" s="4">
        <v>1993</v>
      </c>
      <c r="B1994" s="4">
        <v>8</v>
      </c>
      <c r="D1994" s="5">
        <v>10.768484990022733</v>
      </c>
      <c r="E1994" s="4">
        <v>0</v>
      </c>
      <c r="F1994" s="5">
        <v>3.4657359027997265</v>
      </c>
      <c r="G1994" s="4">
        <v>4</v>
      </c>
    </row>
    <row r="1995" spans="1:7" x14ac:dyDescent="0.15">
      <c r="A1995" s="4">
        <v>1994</v>
      </c>
      <c r="B1995" s="4">
        <v>0</v>
      </c>
      <c r="D1995" s="5">
        <v>10.308952660644293</v>
      </c>
      <c r="E1995" s="4">
        <v>0</v>
      </c>
      <c r="F1995" s="5">
        <v>4.1108738641733114</v>
      </c>
      <c r="G1995" s="4">
        <v>3</v>
      </c>
    </row>
    <row r="1996" spans="1:7" x14ac:dyDescent="0.15">
      <c r="A1996" s="4">
        <v>1995</v>
      </c>
      <c r="B1996" s="4">
        <v>0</v>
      </c>
      <c r="D1996" s="5">
        <v>12.072541252905651</v>
      </c>
      <c r="E1996" s="4">
        <v>0</v>
      </c>
      <c r="F1996" s="5">
        <v>3.8066624897703196</v>
      </c>
      <c r="G1996" s="4">
        <v>5</v>
      </c>
    </row>
    <row r="1997" spans="1:7" x14ac:dyDescent="0.15">
      <c r="A1997" s="4">
        <v>1996</v>
      </c>
      <c r="B1997" s="4">
        <v>0</v>
      </c>
      <c r="D1997" s="5">
        <v>10.768484990022733</v>
      </c>
      <c r="E1997" s="4">
        <v>0</v>
      </c>
      <c r="F1997" s="5">
        <v>3.5553480614894135</v>
      </c>
      <c r="G1997" s="4">
        <v>3</v>
      </c>
    </row>
    <row r="1998" spans="1:7" x14ac:dyDescent="0.15">
      <c r="A1998" s="4">
        <v>1997</v>
      </c>
      <c r="B1998" s="4">
        <v>0</v>
      </c>
      <c r="D1998" s="5">
        <v>11.082142548877775</v>
      </c>
      <c r="E1998" s="4">
        <v>0</v>
      </c>
      <c r="F1998" s="5">
        <v>3.7376696182833684</v>
      </c>
      <c r="G1998" s="4">
        <v>4</v>
      </c>
    </row>
    <row r="1999" spans="1:7" x14ac:dyDescent="0.15">
      <c r="A1999" s="4">
        <v>1998</v>
      </c>
      <c r="B1999" s="4">
        <v>0</v>
      </c>
      <c r="D1999" s="5">
        <v>10.657259354912508</v>
      </c>
      <c r="E1999" s="4">
        <v>0</v>
      </c>
      <c r="F1999" s="5">
        <v>3.8712010109078911</v>
      </c>
      <c r="G1999" s="4">
        <v>1</v>
      </c>
    </row>
    <row r="2000" spans="1:7" x14ac:dyDescent="0.15">
      <c r="A2000" s="4">
        <v>1999</v>
      </c>
      <c r="B2000" s="4">
        <v>7</v>
      </c>
      <c r="D2000" s="5">
        <v>11.082142548877775</v>
      </c>
      <c r="E2000" s="4">
        <v>0</v>
      </c>
      <c r="F2000" s="5">
        <v>3.2580965380214821</v>
      </c>
      <c r="G2000" s="4">
        <v>2</v>
      </c>
    </row>
    <row r="2001" spans="1:7" x14ac:dyDescent="0.15">
      <c r="A2001" s="4">
        <v>2000</v>
      </c>
      <c r="B2001" s="4">
        <v>0</v>
      </c>
      <c r="D2001" s="5">
        <v>10.915088464214607</v>
      </c>
      <c r="E2001" s="4">
        <v>0</v>
      </c>
      <c r="F2001" s="5">
        <v>4.2046926193909657</v>
      </c>
      <c r="G2001" s="4">
        <v>2</v>
      </c>
    </row>
    <row r="2002" spans="1:7" x14ac:dyDescent="0.15">
      <c r="A2002" s="4">
        <v>2001</v>
      </c>
      <c r="B2002" s="4">
        <v>2</v>
      </c>
      <c r="D2002" s="5">
        <v>10.388995368317829</v>
      </c>
      <c r="E2002" s="4">
        <v>1</v>
      </c>
      <c r="F2002" s="5">
        <v>4.1108738641733114</v>
      </c>
      <c r="G2002" s="4">
        <v>2</v>
      </c>
    </row>
    <row r="2003" spans="1:7" x14ac:dyDescent="0.15">
      <c r="A2003" s="4">
        <v>2002</v>
      </c>
      <c r="B2003" s="4">
        <v>0</v>
      </c>
      <c r="D2003" s="5">
        <v>9.0768089793516609</v>
      </c>
      <c r="E2003" s="4">
        <v>1</v>
      </c>
      <c r="F2003" s="5">
        <v>3.8066624897703196</v>
      </c>
      <c r="G2003" s="4">
        <v>3</v>
      </c>
    </row>
    <row r="2004" spans="1:7" x14ac:dyDescent="0.15">
      <c r="A2004" s="4">
        <v>2003</v>
      </c>
      <c r="B2004" s="4">
        <v>1</v>
      </c>
      <c r="D2004" s="5">
        <v>9.7699561599116063</v>
      </c>
      <c r="E2004" s="4">
        <v>1</v>
      </c>
      <c r="F2004" s="5">
        <v>3.784189633918261</v>
      </c>
      <c r="G2004" s="4">
        <v>1</v>
      </c>
    </row>
    <row r="2005" spans="1:7" x14ac:dyDescent="0.15">
      <c r="A2005" s="4">
        <v>2004</v>
      </c>
      <c r="B2005" s="4">
        <v>0</v>
      </c>
      <c r="D2005" s="5">
        <v>10.388995368317829</v>
      </c>
      <c r="E2005" s="4">
        <v>0</v>
      </c>
      <c r="F2005" s="5">
        <v>3.8712010109078911</v>
      </c>
      <c r="G2005" s="4">
        <v>3</v>
      </c>
    </row>
    <row r="2006" spans="1:7" x14ac:dyDescent="0.15">
      <c r="A2006" s="4">
        <v>2005</v>
      </c>
      <c r="B2006" s="4">
        <v>0</v>
      </c>
      <c r="D2006" s="5">
        <v>11.379394072345706</v>
      </c>
      <c r="E2006" s="4">
        <v>1</v>
      </c>
      <c r="F2006" s="5">
        <v>3.3322045101752038</v>
      </c>
      <c r="G2006" s="4">
        <v>2</v>
      </c>
    </row>
    <row r="2007" spans="1:7" x14ac:dyDescent="0.15">
      <c r="A2007" s="4">
        <v>2006</v>
      </c>
      <c r="B2007" s="4">
        <v>1</v>
      </c>
      <c r="D2007" s="5">
        <v>12.072541252905651</v>
      </c>
      <c r="E2007" s="4">
        <v>0</v>
      </c>
      <c r="F2007" s="5">
        <v>3.8918202981106265</v>
      </c>
      <c r="G2007" s="4">
        <v>2</v>
      </c>
    </row>
    <row r="2008" spans="1:7" x14ac:dyDescent="0.15">
      <c r="A2008" s="4">
        <v>2007</v>
      </c>
      <c r="B2008" s="4">
        <v>0</v>
      </c>
      <c r="D2008" s="5">
        <v>11.082142548877775</v>
      </c>
      <c r="E2008" s="4">
        <v>1</v>
      </c>
      <c r="F2008" s="5">
        <v>3.4339872044851463</v>
      </c>
      <c r="G2008" s="4">
        <v>2</v>
      </c>
    </row>
    <row r="2009" spans="1:7" x14ac:dyDescent="0.15">
      <c r="A2009" s="4">
        <v>2008</v>
      </c>
      <c r="B2009" s="4">
        <v>0</v>
      </c>
      <c r="D2009" s="5">
        <v>11.191341840842766</v>
      </c>
      <c r="E2009" s="4">
        <v>1</v>
      </c>
      <c r="F2009" s="5">
        <v>2.7725887222397811</v>
      </c>
      <c r="G2009" s="4">
        <v>4</v>
      </c>
    </row>
    <row r="2010" spans="1:7" x14ac:dyDescent="0.15">
      <c r="A2010" s="4">
        <v>2009</v>
      </c>
      <c r="B2010" s="4">
        <v>7</v>
      </c>
      <c r="D2010" s="5">
        <v>11.736069016284437</v>
      </c>
      <c r="E2010" s="4">
        <v>1</v>
      </c>
      <c r="F2010" s="5">
        <v>3.5553480614894135</v>
      </c>
      <c r="G2010" s="4">
        <v>3</v>
      </c>
    </row>
    <row r="2011" spans="1:7" x14ac:dyDescent="0.15">
      <c r="A2011" s="4">
        <v>2010</v>
      </c>
      <c r="B2011" s="4">
        <v>34</v>
      </c>
      <c r="D2011" s="5">
        <v>11.736069016284437</v>
      </c>
      <c r="E2011" s="4">
        <v>0</v>
      </c>
      <c r="F2011" s="5">
        <v>3.5553480614894135</v>
      </c>
      <c r="G2011" s="4">
        <v>3</v>
      </c>
    </row>
    <row r="2012" spans="1:7" x14ac:dyDescent="0.15">
      <c r="A2012" s="4">
        <v>2011</v>
      </c>
      <c r="B2012" s="4">
        <v>0</v>
      </c>
      <c r="D2012" s="5">
        <v>10.819778284410283</v>
      </c>
      <c r="E2012" s="4">
        <v>1</v>
      </c>
      <c r="F2012" s="5">
        <v>3.970291913552122</v>
      </c>
      <c r="G2012" s="4">
        <v>5</v>
      </c>
    </row>
    <row r="2013" spans="1:7" x14ac:dyDescent="0.15">
      <c r="A2013" s="4">
        <v>2012</v>
      </c>
      <c r="B2013" s="4">
        <v>0</v>
      </c>
      <c r="D2013" s="5">
        <v>12.206072645530174</v>
      </c>
      <c r="E2013" s="4">
        <v>0</v>
      </c>
      <c r="F2013" s="5">
        <v>3.3672958299864741</v>
      </c>
      <c r="G2013" s="4">
        <v>2</v>
      </c>
    </row>
    <row r="2014" spans="1:7" x14ac:dyDescent="0.15">
      <c r="A2014" s="4">
        <v>2013</v>
      </c>
      <c r="B2014" s="4">
        <v>0</v>
      </c>
      <c r="D2014" s="5">
        <v>11.379394072345706</v>
      </c>
      <c r="E2014" s="4">
        <v>0</v>
      </c>
      <c r="F2014" s="5">
        <v>4.0253516907351496</v>
      </c>
      <c r="G2014" s="4">
        <v>2</v>
      </c>
    </row>
    <row r="2015" spans="1:7" x14ac:dyDescent="0.15">
      <c r="A2015" s="4">
        <v>2014</v>
      </c>
      <c r="B2015" s="4">
        <v>2</v>
      </c>
      <c r="D2015" s="5">
        <v>10.657259354912508</v>
      </c>
      <c r="E2015" s="4">
        <v>0</v>
      </c>
      <c r="F2015" s="5">
        <v>3.912023005428146</v>
      </c>
      <c r="G2015" s="4">
        <v>1</v>
      </c>
    </row>
    <row r="2016" spans="1:7" x14ac:dyDescent="0.15">
      <c r="A2016" s="4">
        <v>2015</v>
      </c>
      <c r="B2016" s="4">
        <v>0</v>
      </c>
      <c r="D2016" s="5">
        <v>10.388995368317829</v>
      </c>
      <c r="E2016" s="4">
        <v>0</v>
      </c>
      <c r="F2016" s="5">
        <v>3.2188758248682006</v>
      </c>
      <c r="G2016" s="4">
        <v>5</v>
      </c>
    </row>
    <row r="2017" spans="1:7" x14ac:dyDescent="0.15">
      <c r="A2017" s="4">
        <v>2016</v>
      </c>
      <c r="B2017" s="4">
        <v>2</v>
      </c>
      <c r="D2017" s="5">
        <v>10.021270588192511</v>
      </c>
      <c r="E2017" s="4">
        <v>0</v>
      </c>
      <c r="F2017" s="5">
        <v>3.4657359027997265</v>
      </c>
      <c r="G2017" s="4">
        <v>2</v>
      </c>
    </row>
    <row r="2018" spans="1:7" x14ac:dyDescent="0.15">
      <c r="A2018" s="4">
        <v>2017</v>
      </c>
      <c r="B2018" s="4">
        <v>0</v>
      </c>
      <c r="D2018" s="5">
        <v>11.379394072345706</v>
      </c>
      <c r="E2018" s="4">
        <v>0</v>
      </c>
      <c r="F2018" s="5">
        <v>3.5263605246161616</v>
      </c>
      <c r="G2018" s="4">
        <v>3</v>
      </c>
    </row>
    <row r="2019" spans="1:7" x14ac:dyDescent="0.15">
      <c r="A2019" s="4">
        <v>2018</v>
      </c>
      <c r="B2019" s="4">
        <v>0</v>
      </c>
      <c r="D2019" s="5">
        <v>11.082142548877775</v>
      </c>
      <c r="E2019" s="4">
        <v>1</v>
      </c>
      <c r="F2019" s="5">
        <v>3.6888794541139363</v>
      </c>
      <c r="G2019" s="4">
        <v>4</v>
      </c>
    </row>
    <row r="2020" spans="1:7" x14ac:dyDescent="0.15">
      <c r="A2020" s="4">
        <v>2019</v>
      </c>
      <c r="B2020" s="4">
        <v>0</v>
      </c>
      <c r="D2020" s="5">
        <v>11.119882876860622</v>
      </c>
      <c r="E2020" s="4">
        <v>1</v>
      </c>
      <c r="F2020" s="5">
        <v>3.9512437185814275</v>
      </c>
      <c r="G2020" s="4">
        <v>5</v>
      </c>
    </row>
    <row r="2021" spans="1:7" x14ac:dyDescent="0.15">
      <c r="A2021" s="4">
        <v>2020</v>
      </c>
      <c r="B2021" s="4">
        <v>0</v>
      </c>
      <c r="D2021" s="5">
        <v>10.915088464214607</v>
      </c>
      <c r="E2021" s="4">
        <v>1</v>
      </c>
      <c r="F2021" s="5">
        <v>3.5835189384561099</v>
      </c>
      <c r="G2021" s="4">
        <v>5</v>
      </c>
    </row>
    <row r="2022" spans="1:7" x14ac:dyDescent="0.15">
      <c r="A2022" s="4">
        <v>2021</v>
      </c>
      <c r="B2022" s="4">
        <v>0</v>
      </c>
      <c r="D2022" s="5">
        <v>11.119882876860622</v>
      </c>
      <c r="E2022" s="4">
        <v>1</v>
      </c>
      <c r="F2022" s="5">
        <v>4.0604430105464191</v>
      </c>
      <c r="G2022" s="4">
        <v>2</v>
      </c>
    </row>
    <row r="2023" spans="1:7" x14ac:dyDescent="0.15">
      <c r="A2023" s="4">
        <v>2022</v>
      </c>
      <c r="B2023" s="4">
        <v>0</v>
      </c>
      <c r="D2023" s="5">
        <v>10.915088464214607</v>
      </c>
      <c r="E2023" s="4">
        <v>1</v>
      </c>
      <c r="F2023" s="5">
        <v>3.4657359027997265</v>
      </c>
      <c r="G2023" s="4">
        <v>3</v>
      </c>
    </row>
    <row r="2024" spans="1:7" x14ac:dyDescent="0.15">
      <c r="A2024" s="4">
        <v>2023</v>
      </c>
      <c r="B2024" s="4">
        <v>0</v>
      </c>
      <c r="D2024" s="5">
        <v>11.379394072345706</v>
      </c>
      <c r="E2024" s="4">
        <v>1</v>
      </c>
      <c r="F2024" s="5">
        <v>3.713572066704308</v>
      </c>
      <c r="G2024" s="4">
        <v>6</v>
      </c>
    </row>
    <row r="2025" spans="1:7" x14ac:dyDescent="0.15">
      <c r="A2025" s="4">
        <v>2024</v>
      </c>
      <c r="B2025" s="4">
        <v>0</v>
      </c>
      <c r="D2025" s="5">
        <v>11.119882876860622</v>
      </c>
      <c r="E2025" s="4">
        <v>1</v>
      </c>
      <c r="F2025" s="5">
        <v>2.6390573296152584</v>
      </c>
      <c r="G2025" s="4">
        <v>4</v>
      </c>
    </row>
    <row r="2026" spans="1:7" x14ac:dyDescent="0.15">
      <c r="A2026" s="4">
        <v>2025</v>
      </c>
      <c r="B2026" s="4">
        <v>4</v>
      </c>
      <c r="D2026" s="5">
        <v>10.308952660644293</v>
      </c>
      <c r="E2026" s="4">
        <v>1</v>
      </c>
      <c r="F2026" s="5">
        <v>3.5263605246161616</v>
      </c>
      <c r="G2026" s="4">
        <v>2</v>
      </c>
    </row>
    <row r="2027" spans="1:7" x14ac:dyDescent="0.15">
      <c r="A2027" s="4">
        <v>2026</v>
      </c>
      <c r="B2027" s="4">
        <v>0</v>
      </c>
      <c r="D2027" s="5">
        <v>10.819778284410283</v>
      </c>
      <c r="E2027" s="4">
        <v>0</v>
      </c>
      <c r="F2027" s="5">
        <v>3.784189633918261</v>
      </c>
      <c r="G2027" s="4">
        <v>5</v>
      </c>
    </row>
    <row r="2028" spans="1:7" x14ac:dyDescent="0.15">
      <c r="A2028" s="4">
        <v>2027</v>
      </c>
      <c r="B2028" s="4">
        <v>0</v>
      </c>
      <c r="D2028" s="5">
        <v>11.379394072345706</v>
      </c>
      <c r="E2028" s="4">
        <v>1</v>
      </c>
      <c r="F2028" s="5">
        <v>3.6109179126442243</v>
      </c>
      <c r="G2028" s="4">
        <v>5</v>
      </c>
    </row>
    <row r="2029" spans="1:7" x14ac:dyDescent="0.15">
      <c r="A2029" s="4">
        <v>2028</v>
      </c>
      <c r="B2029" s="4">
        <v>0</v>
      </c>
      <c r="D2029" s="5">
        <v>10.915088464214607</v>
      </c>
      <c r="E2029" s="4">
        <v>1</v>
      </c>
      <c r="F2029" s="5">
        <v>3.4657359027997265</v>
      </c>
      <c r="G2029" s="4">
        <v>4</v>
      </c>
    </row>
    <row r="2030" spans="1:7" x14ac:dyDescent="0.15">
      <c r="A2030" s="4">
        <v>2029</v>
      </c>
      <c r="B2030" s="4">
        <v>0</v>
      </c>
      <c r="D2030" s="5">
        <v>10.915088464214607</v>
      </c>
      <c r="E2030" s="4">
        <v>0</v>
      </c>
      <c r="F2030" s="5">
        <v>3.5263605246161616</v>
      </c>
      <c r="G2030" s="4">
        <v>4</v>
      </c>
    </row>
    <row r="2031" spans="1:7" x14ac:dyDescent="0.15">
      <c r="A2031" s="4">
        <v>2030</v>
      </c>
      <c r="B2031" s="4">
        <v>0</v>
      </c>
      <c r="D2031" s="5">
        <v>10.819778284410283</v>
      </c>
      <c r="E2031" s="4">
        <v>1</v>
      </c>
      <c r="F2031" s="5">
        <v>3.8712010109078911</v>
      </c>
      <c r="G2031" s="4">
        <v>4</v>
      </c>
    </row>
    <row r="2032" spans="1:7" x14ac:dyDescent="0.15">
      <c r="A2032" s="4">
        <v>2031</v>
      </c>
      <c r="B2032" s="4">
        <v>0</v>
      </c>
      <c r="D2032" s="5">
        <v>10.532096211958502</v>
      </c>
      <c r="E2032" s="4">
        <v>1</v>
      </c>
      <c r="F2032" s="5">
        <v>3.5263605246161616</v>
      </c>
      <c r="G2032" s="4">
        <v>2</v>
      </c>
    </row>
    <row r="2033" spans="1:7" x14ac:dyDescent="0.15">
      <c r="A2033" s="4">
        <v>2032</v>
      </c>
      <c r="B2033" s="4">
        <v>0</v>
      </c>
      <c r="D2033" s="5">
        <v>10.819778284410283</v>
      </c>
      <c r="E2033" s="4">
        <v>0</v>
      </c>
      <c r="F2033" s="5">
        <v>3.0910424533583161</v>
      </c>
      <c r="G2033" s="4">
        <v>4</v>
      </c>
    </row>
    <row r="2034" spans="1:7" x14ac:dyDescent="0.15">
      <c r="A2034" s="4">
        <v>2033</v>
      </c>
      <c r="B2034" s="4">
        <v>0</v>
      </c>
      <c r="D2034" s="5">
        <v>10.819778284410283</v>
      </c>
      <c r="E2034" s="4">
        <v>1</v>
      </c>
      <c r="F2034" s="5">
        <v>2.7725887222397811</v>
      </c>
      <c r="G2034" s="4">
        <v>4</v>
      </c>
    </row>
    <row r="2035" spans="1:7" x14ac:dyDescent="0.15">
      <c r="A2035" s="4">
        <v>2034</v>
      </c>
      <c r="B2035" s="4">
        <v>0</v>
      </c>
      <c r="D2035" s="5">
        <v>10.819778284410283</v>
      </c>
      <c r="E2035" s="4">
        <v>0</v>
      </c>
      <c r="F2035" s="5">
        <v>3.713572066704308</v>
      </c>
      <c r="G2035" s="4">
        <v>4</v>
      </c>
    </row>
    <row r="2036" spans="1:7" x14ac:dyDescent="0.15">
      <c r="A2036" s="4">
        <v>2035</v>
      </c>
      <c r="B2036" s="4">
        <v>1</v>
      </c>
      <c r="D2036" s="5">
        <v>10.308952660644293</v>
      </c>
      <c r="E2036" s="4">
        <v>1</v>
      </c>
      <c r="F2036" s="5">
        <v>3.4965075614664802</v>
      </c>
      <c r="G2036" s="4">
        <v>3</v>
      </c>
    </row>
    <row r="2037" spans="1:7" x14ac:dyDescent="0.15">
      <c r="A2037" s="4">
        <v>2036</v>
      </c>
      <c r="B2037" s="4">
        <v>0</v>
      </c>
      <c r="D2037" s="5">
        <v>11.082142548877775</v>
      </c>
      <c r="E2037" s="4">
        <v>0</v>
      </c>
      <c r="F2037" s="5">
        <v>4.1588830833596715</v>
      </c>
      <c r="G2037" s="4">
        <v>3</v>
      </c>
    </row>
    <row r="2038" spans="1:7" x14ac:dyDescent="0.15">
      <c r="A2038" s="4">
        <v>2037</v>
      </c>
      <c r="B2038" s="4">
        <v>2</v>
      </c>
      <c r="D2038" s="5">
        <v>10.819778284410283</v>
      </c>
      <c r="E2038" s="4">
        <v>1</v>
      </c>
      <c r="F2038" s="5">
        <v>3.713572066704308</v>
      </c>
      <c r="G2038" s="4">
        <v>2</v>
      </c>
    </row>
    <row r="2039" spans="1:7" x14ac:dyDescent="0.15">
      <c r="A2039" s="4">
        <v>2038</v>
      </c>
      <c r="B2039" s="4">
        <v>0</v>
      </c>
      <c r="D2039" s="5">
        <v>10.308952660644293</v>
      </c>
      <c r="E2039" s="4">
        <v>0</v>
      </c>
      <c r="F2039" s="5">
        <v>3.1780538303479458</v>
      </c>
      <c r="G2039" s="4">
        <v>2</v>
      </c>
    </row>
    <row r="2040" spans="1:7" x14ac:dyDescent="0.15">
      <c r="A2040" s="4">
        <v>2039</v>
      </c>
      <c r="B2040" s="4">
        <v>0</v>
      </c>
      <c r="D2040" s="5">
        <v>10.819778284410283</v>
      </c>
      <c r="E2040" s="4">
        <v>0</v>
      </c>
      <c r="F2040" s="5">
        <v>4.0073331852324712</v>
      </c>
      <c r="G2040" s="4">
        <v>3</v>
      </c>
    </row>
    <row r="2041" spans="1:7" x14ac:dyDescent="0.15">
      <c r="A2041" s="4">
        <v>2040</v>
      </c>
      <c r="B2041" s="4">
        <v>1</v>
      </c>
      <c r="D2041" s="5">
        <v>11.082142548877775</v>
      </c>
      <c r="E2041" s="4">
        <v>1</v>
      </c>
      <c r="F2041" s="5">
        <v>3.784189633918261</v>
      </c>
      <c r="G2041" s="4">
        <v>4</v>
      </c>
    </row>
    <row r="2042" spans="1:7" x14ac:dyDescent="0.15">
      <c r="A2042" s="4">
        <v>2041</v>
      </c>
      <c r="B2042" s="4">
        <v>0</v>
      </c>
      <c r="D2042" s="5">
        <v>11.082142548877775</v>
      </c>
      <c r="E2042" s="4">
        <v>1</v>
      </c>
      <c r="F2042" s="5">
        <v>3.044522437723423</v>
      </c>
      <c r="G2042" s="4">
        <v>4</v>
      </c>
    </row>
    <row r="2043" spans="1:7" x14ac:dyDescent="0.15">
      <c r="A2043" s="4">
        <v>2042</v>
      </c>
      <c r="B2043" s="4">
        <v>1</v>
      </c>
      <c r="D2043" s="5">
        <v>10.221941283654663</v>
      </c>
      <c r="E2043" s="4">
        <v>1</v>
      </c>
      <c r="F2043" s="5">
        <v>3.784189633918261</v>
      </c>
      <c r="G2043" s="4">
        <v>3</v>
      </c>
    </row>
    <row r="2044" spans="1:7" x14ac:dyDescent="0.15">
      <c r="A2044" s="4">
        <v>2043</v>
      </c>
      <c r="B2044" s="4">
        <v>0</v>
      </c>
      <c r="D2044" s="5">
        <v>10.819778284410283</v>
      </c>
      <c r="E2044" s="4">
        <v>0</v>
      </c>
      <c r="F2044" s="5">
        <v>4.0253516907351496</v>
      </c>
      <c r="G2044" s="4">
        <v>4</v>
      </c>
    </row>
    <row r="2045" spans="1:7" x14ac:dyDescent="0.15">
      <c r="A2045" s="4">
        <v>2044</v>
      </c>
      <c r="B2045" s="4">
        <v>0</v>
      </c>
      <c r="D2045" s="5">
        <v>9.9034875525361272</v>
      </c>
      <c r="E2045" s="4">
        <v>1</v>
      </c>
      <c r="F2045" s="5">
        <v>2.9444389791664403</v>
      </c>
      <c r="G2045" s="4">
        <v>3</v>
      </c>
    </row>
    <row r="2046" spans="1:7" x14ac:dyDescent="0.15">
      <c r="A2046" s="4">
        <v>2045</v>
      </c>
      <c r="B2046" s="4">
        <v>1</v>
      </c>
      <c r="D2046" s="5">
        <v>11.379394072345706</v>
      </c>
      <c r="E2046" s="4">
        <v>0</v>
      </c>
      <c r="F2046" s="5">
        <v>3.784189633918261</v>
      </c>
      <c r="G2046" s="4">
        <v>8</v>
      </c>
    </row>
    <row r="2047" spans="1:7" x14ac:dyDescent="0.15">
      <c r="A2047" s="4">
        <v>2046</v>
      </c>
      <c r="B2047" s="4">
        <v>2</v>
      </c>
      <c r="D2047" s="5">
        <v>9.5287941030947181</v>
      </c>
      <c r="E2047" s="4">
        <v>1</v>
      </c>
      <c r="F2047" s="5">
        <v>3.6109179126442243</v>
      </c>
      <c r="G2047" s="4">
        <v>1</v>
      </c>
    </row>
    <row r="2048" spans="1:7" x14ac:dyDescent="0.15">
      <c r="A2048" s="4">
        <v>2047</v>
      </c>
      <c r="B2048" s="4">
        <v>0</v>
      </c>
      <c r="D2048" s="5">
        <v>10.308952660644293</v>
      </c>
      <c r="E2048" s="4">
        <v>1</v>
      </c>
      <c r="F2048" s="5">
        <v>3.713572066704308</v>
      </c>
      <c r="G2048" s="4">
        <v>2</v>
      </c>
    </row>
    <row r="2049" spans="1:7" x14ac:dyDescent="0.15">
      <c r="A2049" s="4">
        <v>2048</v>
      </c>
      <c r="B2049" s="4">
        <v>0</v>
      </c>
      <c r="D2049" s="5">
        <v>10.819778284410283</v>
      </c>
      <c r="E2049" s="4">
        <v>0</v>
      </c>
      <c r="F2049" s="5">
        <v>4.2484952420493594</v>
      </c>
      <c r="G2049" s="4">
        <v>3</v>
      </c>
    </row>
    <row r="2050" spans="1:7" x14ac:dyDescent="0.15">
      <c r="A2050" s="4">
        <v>2049</v>
      </c>
      <c r="B2050" s="4">
        <v>0</v>
      </c>
      <c r="D2050" s="5">
        <v>8.9226582995244019</v>
      </c>
      <c r="E2050" s="4">
        <v>0</v>
      </c>
      <c r="F2050" s="5">
        <v>4.1108738641733114</v>
      </c>
      <c r="G2050" s="4">
        <v>2</v>
      </c>
    </row>
    <row r="2051" spans="1:7" x14ac:dyDescent="0.15">
      <c r="A2051" s="4">
        <v>2050</v>
      </c>
      <c r="B2051" s="4">
        <v>0</v>
      </c>
      <c r="D2051" s="5">
        <v>9.7699561599116063</v>
      </c>
      <c r="E2051" s="4">
        <v>1</v>
      </c>
      <c r="F2051" s="5">
        <v>3.4339872044851463</v>
      </c>
      <c r="G2051" s="4">
        <v>3</v>
      </c>
    </row>
    <row r="2052" spans="1:7" x14ac:dyDescent="0.15">
      <c r="A2052" s="4">
        <v>2051</v>
      </c>
      <c r="B2052" s="4">
        <v>0</v>
      </c>
      <c r="D2052" s="5">
        <v>10.819778284410283</v>
      </c>
      <c r="E2052" s="4">
        <v>1</v>
      </c>
      <c r="F2052" s="5">
        <v>2.8332133440562162</v>
      </c>
      <c r="G2052" s="4">
        <v>4</v>
      </c>
    </row>
    <row r="2053" spans="1:7" x14ac:dyDescent="0.15">
      <c r="A2053" s="4">
        <v>2052</v>
      </c>
      <c r="B2053" s="4">
        <v>0</v>
      </c>
      <c r="D2053" s="5">
        <v>10.819778284410283</v>
      </c>
      <c r="E2053" s="4">
        <v>0</v>
      </c>
      <c r="F2053" s="5">
        <v>4.0430512678345503</v>
      </c>
      <c r="G2053" s="4">
        <v>4</v>
      </c>
    </row>
    <row r="2054" spans="1:7" x14ac:dyDescent="0.15">
      <c r="A2054" s="4">
        <v>2053</v>
      </c>
      <c r="B2054" s="4">
        <v>0</v>
      </c>
      <c r="D2054" s="5">
        <v>10.308952660644293</v>
      </c>
      <c r="E2054" s="4">
        <v>0</v>
      </c>
      <c r="F2054" s="5">
        <v>3.2188758248682006</v>
      </c>
      <c r="G2054" s="4">
        <v>2</v>
      </c>
    </row>
    <row r="2055" spans="1:7" x14ac:dyDescent="0.15">
      <c r="A2055" s="4">
        <v>2054</v>
      </c>
      <c r="B2055" s="4">
        <v>0</v>
      </c>
      <c r="D2055" s="5">
        <v>10.915088464214607</v>
      </c>
      <c r="E2055" s="4">
        <v>1</v>
      </c>
      <c r="F2055" s="5">
        <v>3.8712010109078911</v>
      </c>
      <c r="G2055" s="4">
        <v>2</v>
      </c>
    </row>
    <row r="2056" spans="1:7" x14ac:dyDescent="0.15">
      <c r="A2056" s="4">
        <v>2055</v>
      </c>
      <c r="B2056" s="4">
        <v>0</v>
      </c>
      <c r="D2056" s="5">
        <v>11.191341840842766</v>
      </c>
      <c r="E2056" s="4">
        <v>0</v>
      </c>
      <c r="F2056" s="5">
        <v>3.713572066704308</v>
      </c>
      <c r="G2056" s="4">
        <v>2</v>
      </c>
    </row>
    <row r="2057" spans="1:7" x14ac:dyDescent="0.15">
      <c r="A2057" s="4">
        <v>2056</v>
      </c>
      <c r="B2057" s="4">
        <v>0</v>
      </c>
      <c r="D2057" s="5">
        <v>10.021270588192511</v>
      </c>
      <c r="E2057" s="4">
        <v>1</v>
      </c>
      <c r="F2057" s="5">
        <v>3.8286413964890951</v>
      </c>
      <c r="G2057" s="4">
        <v>3</v>
      </c>
    </row>
    <row r="2058" spans="1:7" x14ac:dyDescent="0.15">
      <c r="A2058" s="4">
        <v>2057</v>
      </c>
      <c r="B2058" s="4">
        <v>0</v>
      </c>
      <c r="D2058" s="5">
        <v>10.768484990022733</v>
      </c>
      <c r="E2058" s="4">
        <v>1</v>
      </c>
      <c r="F2058" s="5">
        <v>2.7725887222397811</v>
      </c>
      <c r="G2058" s="4">
        <v>4</v>
      </c>
    </row>
    <row r="2059" spans="1:7" x14ac:dyDescent="0.15">
      <c r="A2059" s="4">
        <v>2058</v>
      </c>
      <c r="B2059" s="4">
        <v>0</v>
      </c>
      <c r="D2059" s="5">
        <v>11.736069016284437</v>
      </c>
      <c r="E2059" s="4">
        <v>0</v>
      </c>
      <c r="F2059" s="5">
        <v>3.784189633918261</v>
      </c>
      <c r="G2059" s="4">
        <v>5</v>
      </c>
    </row>
    <row r="2060" spans="1:7" x14ac:dyDescent="0.15">
      <c r="A2060" s="4">
        <v>2059</v>
      </c>
      <c r="B2060" s="4">
        <v>0</v>
      </c>
      <c r="D2060" s="5">
        <v>10.915088464214607</v>
      </c>
      <c r="E2060" s="4">
        <v>0</v>
      </c>
      <c r="F2060" s="5">
        <v>4.0253516907351496</v>
      </c>
      <c r="G2060" s="4">
        <v>2</v>
      </c>
    </row>
    <row r="2061" spans="1:7" x14ac:dyDescent="0.15">
      <c r="A2061" s="4">
        <v>2060</v>
      </c>
      <c r="B2061" s="4">
        <v>0</v>
      </c>
      <c r="D2061" s="5">
        <v>10.915088464214607</v>
      </c>
      <c r="E2061" s="4">
        <v>0</v>
      </c>
      <c r="F2061" s="5">
        <v>3.4965075614664802</v>
      </c>
      <c r="G2061" s="4">
        <v>2</v>
      </c>
    </row>
    <row r="2062" spans="1:7" x14ac:dyDescent="0.15">
      <c r="A2062" s="4">
        <v>2061</v>
      </c>
      <c r="B2062" s="4">
        <v>0</v>
      </c>
      <c r="D2062" s="5">
        <v>10.021270588192511</v>
      </c>
      <c r="E2062" s="4">
        <v>0</v>
      </c>
      <c r="F2062" s="5">
        <v>3.6635616461296463</v>
      </c>
      <c r="G2062" s="4">
        <v>3</v>
      </c>
    </row>
    <row r="2063" spans="1:7" x14ac:dyDescent="0.15">
      <c r="A2063" s="4">
        <v>2062</v>
      </c>
      <c r="B2063" s="4">
        <v>0</v>
      </c>
      <c r="D2063" s="5">
        <v>10.915088464214607</v>
      </c>
      <c r="E2063" s="4">
        <v>1</v>
      </c>
      <c r="F2063" s="5">
        <v>2.7080502011022101</v>
      </c>
      <c r="G2063" s="4">
        <v>4</v>
      </c>
    </row>
    <row r="2064" spans="1:7" x14ac:dyDescent="0.15">
      <c r="A2064" s="4">
        <v>2063</v>
      </c>
      <c r="B2064" s="4">
        <v>0</v>
      </c>
      <c r="D2064" s="5">
        <v>11.379394072345706</v>
      </c>
      <c r="E2064" s="4">
        <v>0</v>
      </c>
      <c r="F2064" s="5">
        <v>3.7376696182833684</v>
      </c>
      <c r="G2064" s="4">
        <v>1</v>
      </c>
    </row>
    <row r="2065" spans="1:7" x14ac:dyDescent="0.15">
      <c r="A2065" s="4">
        <v>2064</v>
      </c>
      <c r="B2065" s="4">
        <v>4</v>
      </c>
      <c r="D2065" s="5">
        <v>11.082142548877775</v>
      </c>
      <c r="E2065" s="4">
        <v>0</v>
      </c>
      <c r="F2065" s="5">
        <v>4.2484952420493594</v>
      </c>
      <c r="G2065" s="4">
        <v>2</v>
      </c>
    </row>
    <row r="2066" spans="1:7" x14ac:dyDescent="0.15">
      <c r="A2066" s="4">
        <v>2065</v>
      </c>
      <c r="B2066" s="4">
        <v>0</v>
      </c>
      <c r="D2066" s="5">
        <v>10.532096211958502</v>
      </c>
      <c r="E2066" s="4">
        <v>1</v>
      </c>
      <c r="F2066" s="5">
        <v>3.5835189384561099</v>
      </c>
      <c r="G2066" s="4">
        <v>2</v>
      </c>
    </row>
    <row r="2067" spans="1:7" x14ac:dyDescent="0.15">
      <c r="A2067" s="4">
        <v>2066</v>
      </c>
      <c r="B2067" s="4">
        <v>0</v>
      </c>
      <c r="D2067" s="5">
        <v>11.191341840842766</v>
      </c>
      <c r="E2067" s="4">
        <v>0</v>
      </c>
      <c r="F2067" s="5">
        <v>3.8286413964890951</v>
      </c>
      <c r="G2067" s="4">
        <v>2</v>
      </c>
    </row>
    <row r="2068" spans="1:7" x14ac:dyDescent="0.15">
      <c r="A2068" s="4">
        <v>2067</v>
      </c>
      <c r="B2068" s="4">
        <v>1</v>
      </c>
      <c r="D2068" s="5">
        <v>11.379394072345706</v>
      </c>
      <c r="E2068" s="4">
        <v>1</v>
      </c>
      <c r="F2068" s="5">
        <v>3.8918202981106265</v>
      </c>
      <c r="G2068" s="4">
        <v>3</v>
      </c>
    </row>
    <row r="2069" spans="1:7" x14ac:dyDescent="0.15">
      <c r="A2069" s="4">
        <v>2068</v>
      </c>
      <c r="B2069" s="4">
        <v>1</v>
      </c>
      <c r="D2069" s="5">
        <v>10.388995368317829</v>
      </c>
      <c r="E2069" s="4">
        <v>1</v>
      </c>
      <c r="F2069" s="5">
        <v>3.912023005428146</v>
      </c>
      <c r="G2069" s="4">
        <v>1</v>
      </c>
    </row>
    <row r="2070" spans="1:7" x14ac:dyDescent="0.15">
      <c r="A2070" s="4">
        <v>2069</v>
      </c>
      <c r="B2070" s="4">
        <v>2</v>
      </c>
      <c r="D2070" s="5">
        <v>10.221941283654663</v>
      </c>
      <c r="E2070" s="4">
        <v>0</v>
      </c>
      <c r="F2070" s="5">
        <v>4.2766661190160553</v>
      </c>
      <c r="G2070" s="4">
        <v>2</v>
      </c>
    </row>
    <row r="2071" spans="1:7" x14ac:dyDescent="0.15">
      <c r="A2071" s="4">
        <v>2070</v>
      </c>
      <c r="B2071" s="4">
        <v>18</v>
      </c>
      <c r="D2071" s="5">
        <v>11.082142548877775</v>
      </c>
      <c r="E2071" s="4">
        <v>1</v>
      </c>
      <c r="F2071" s="5">
        <v>3.3672958299864741</v>
      </c>
      <c r="G2071" s="4">
        <v>2</v>
      </c>
    </row>
    <row r="2072" spans="1:7" x14ac:dyDescent="0.15">
      <c r="A2072" s="4">
        <v>2071</v>
      </c>
      <c r="B2072" s="4">
        <v>0</v>
      </c>
      <c r="D2072" s="5">
        <v>10.388995368317829</v>
      </c>
      <c r="E2072" s="4">
        <v>0</v>
      </c>
      <c r="F2072" s="5">
        <v>4.2046926193909657</v>
      </c>
      <c r="G2072" s="4">
        <v>2</v>
      </c>
    </row>
    <row r="2073" spans="1:7" x14ac:dyDescent="0.15">
      <c r="A2073" s="4">
        <v>2072</v>
      </c>
      <c r="B2073" s="4">
        <v>7</v>
      </c>
      <c r="D2073" s="5">
        <v>12.072541252905651</v>
      </c>
      <c r="E2073" s="4">
        <v>0</v>
      </c>
      <c r="F2073" s="5">
        <v>3.912023005428146</v>
      </c>
      <c r="G2073" s="4">
        <v>4</v>
      </c>
    </row>
    <row r="2074" spans="1:7" x14ac:dyDescent="0.15">
      <c r="A2074" s="4">
        <v>2073</v>
      </c>
      <c r="B2074" s="4">
        <v>1</v>
      </c>
      <c r="D2074" s="5">
        <v>12.072541252905651</v>
      </c>
      <c r="E2074" s="4">
        <v>0</v>
      </c>
      <c r="F2074" s="5">
        <v>1.3862943611198906</v>
      </c>
      <c r="G2074" s="4">
        <v>4</v>
      </c>
    </row>
    <row r="2075" spans="1:7" x14ac:dyDescent="0.15">
      <c r="A2075" s="4">
        <v>2074</v>
      </c>
      <c r="B2075" s="4">
        <v>0</v>
      </c>
      <c r="D2075" s="5">
        <v>10.388995368317829</v>
      </c>
      <c r="E2075" s="4">
        <v>0</v>
      </c>
      <c r="F2075" s="5">
        <v>3.5835189384561099</v>
      </c>
      <c r="G2075" s="4">
        <v>4</v>
      </c>
    </row>
    <row r="2076" spans="1:7" x14ac:dyDescent="0.15">
      <c r="A2076" s="4">
        <v>2075</v>
      </c>
      <c r="B2076" s="4">
        <v>0</v>
      </c>
      <c r="D2076" s="5">
        <v>10.221941283654663</v>
      </c>
      <c r="E2076" s="4">
        <v>0</v>
      </c>
      <c r="F2076" s="5">
        <v>4.2484952420493594</v>
      </c>
      <c r="G2076" s="4">
        <v>3</v>
      </c>
    </row>
    <row r="2077" spans="1:7" x14ac:dyDescent="0.15">
      <c r="A2077" s="4">
        <v>2076</v>
      </c>
      <c r="B2077" s="4">
        <v>0</v>
      </c>
      <c r="D2077" s="5">
        <v>11.082142548877775</v>
      </c>
      <c r="E2077" s="4">
        <v>1</v>
      </c>
      <c r="F2077" s="5">
        <v>3.8066624897703196</v>
      </c>
      <c r="G2077" s="4">
        <v>4</v>
      </c>
    </row>
    <row r="2078" spans="1:7" x14ac:dyDescent="0.15">
      <c r="A2078" s="4">
        <v>2077</v>
      </c>
      <c r="B2078" s="4">
        <v>0</v>
      </c>
      <c r="D2078" s="5">
        <v>11.082142548877775</v>
      </c>
      <c r="E2078" s="4">
        <v>1</v>
      </c>
      <c r="F2078" s="5">
        <v>2.7080502011022101</v>
      </c>
      <c r="G2078" s="4">
        <v>4</v>
      </c>
    </row>
    <row r="2079" spans="1:7" x14ac:dyDescent="0.15">
      <c r="A2079" s="4">
        <v>2078</v>
      </c>
      <c r="B2079" s="4">
        <v>0</v>
      </c>
      <c r="D2079" s="5">
        <v>11.082142548877775</v>
      </c>
      <c r="E2079" s="4">
        <v>0</v>
      </c>
      <c r="F2079" s="5">
        <v>2.5649493574615367</v>
      </c>
      <c r="G2079" s="4">
        <v>4</v>
      </c>
    </row>
    <row r="2080" spans="1:7" x14ac:dyDescent="0.15">
      <c r="A2080" s="4">
        <v>2079</v>
      </c>
      <c r="B2080" s="4">
        <v>2</v>
      </c>
      <c r="D2080" s="5">
        <v>11.082142548877775</v>
      </c>
      <c r="E2080" s="4">
        <v>1</v>
      </c>
      <c r="F2080" s="5">
        <v>4.0073331852324712</v>
      </c>
      <c r="G2080" s="4">
        <v>2</v>
      </c>
    </row>
    <row r="2081" spans="1:7" x14ac:dyDescent="0.15">
      <c r="A2081" s="4">
        <v>2080</v>
      </c>
      <c r="B2081" s="4">
        <v>0</v>
      </c>
      <c r="D2081" s="5">
        <v>11.379394072345706</v>
      </c>
      <c r="E2081" s="4">
        <v>0</v>
      </c>
      <c r="F2081" s="5">
        <v>3.784189633918261</v>
      </c>
      <c r="G2081" s="4">
        <v>1</v>
      </c>
    </row>
    <row r="2082" spans="1:7" x14ac:dyDescent="0.15">
      <c r="A2082" s="4">
        <v>2081</v>
      </c>
      <c r="B2082" s="4">
        <v>0</v>
      </c>
      <c r="D2082" s="5">
        <v>10.915088464214607</v>
      </c>
      <c r="E2082" s="4">
        <v>0</v>
      </c>
      <c r="F2082" s="5">
        <v>3.970291913552122</v>
      </c>
      <c r="G2082" s="4">
        <v>3</v>
      </c>
    </row>
    <row r="2083" spans="1:7" x14ac:dyDescent="0.15">
      <c r="A2083" s="4">
        <v>2082</v>
      </c>
      <c r="B2083" s="4">
        <v>0</v>
      </c>
      <c r="D2083" s="5">
        <v>11.736069016284437</v>
      </c>
      <c r="E2083" s="4">
        <v>1</v>
      </c>
      <c r="F2083" s="5">
        <v>4.0430512678345503</v>
      </c>
      <c r="G2083" s="4">
        <v>2</v>
      </c>
    </row>
    <row r="2084" spans="1:7" x14ac:dyDescent="0.15">
      <c r="A2084" s="4">
        <v>2083</v>
      </c>
      <c r="B2084" s="4">
        <v>0</v>
      </c>
      <c r="D2084" s="5">
        <v>11.191341840842766</v>
      </c>
      <c r="E2084" s="4">
        <v>1</v>
      </c>
      <c r="F2084" s="5">
        <v>3.7612001156935624</v>
      </c>
      <c r="G2084" s="4">
        <v>5</v>
      </c>
    </row>
    <row r="2085" spans="1:7" x14ac:dyDescent="0.15">
      <c r="A2085" s="4">
        <v>2084</v>
      </c>
      <c r="B2085" s="4">
        <v>0</v>
      </c>
      <c r="D2085" s="5">
        <v>11.191341840842766</v>
      </c>
      <c r="E2085" s="4">
        <v>1</v>
      </c>
      <c r="F2085" s="5">
        <v>2.7725887222397811</v>
      </c>
      <c r="G2085" s="4">
        <v>5</v>
      </c>
    </row>
    <row r="2086" spans="1:7" x14ac:dyDescent="0.15">
      <c r="A2086" s="4">
        <v>2085</v>
      </c>
      <c r="B2086" s="4">
        <v>0</v>
      </c>
      <c r="D2086" s="5">
        <v>11.191341840842766</v>
      </c>
      <c r="E2086" s="4">
        <v>1</v>
      </c>
      <c r="F2086" s="5">
        <v>2.5649493574615367</v>
      </c>
      <c r="G2086" s="4">
        <v>5</v>
      </c>
    </row>
    <row r="2087" spans="1:7" x14ac:dyDescent="0.15">
      <c r="A2087" s="4">
        <v>2086</v>
      </c>
      <c r="B2087" s="4">
        <v>0</v>
      </c>
      <c r="D2087" s="5">
        <v>11.191341840842766</v>
      </c>
      <c r="E2087" s="4">
        <v>0</v>
      </c>
      <c r="F2087" s="5">
        <v>3.784189633918261</v>
      </c>
      <c r="G2087" s="4">
        <v>5</v>
      </c>
    </row>
    <row r="2088" spans="1:7" x14ac:dyDescent="0.15">
      <c r="A2088" s="4">
        <v>2087</v>
      </c>
      <c r="B2088" s="4">
        <v>0</v>
      </c>
      <c r="D2088" s="5">
        <v>11.191341840842766</v>
      </c>
      <c r="E2088" s="4">
        <v>0</v>
      </c>
      <c r="F2088" s="5">
        <v>2.3025850929940459</v>
      </c>
      <c r="G2088" s="4">
        <v>5</v>
      </c>
    </row>
    <row r="2089" spans="1:7" x14ac:dyDescent="0.15">
      <c r="A2089" s="4">
        <v>2088</v>
      </c>
      <c r="B2089" s="4">
        <v>0</v>
      </c>
      <c r="D2089" s="5">
        <v>10.388995368317829</v>
      </c>
      <c r="E2089" s="4">
        <v>0</v>
      </c>
      <c r="F2089" s="5">
        <v>4.0775374439057197</v>
      </c>
      <c r="G2089" s="4">
        <v>2</v>
      </c>
    </row>
    <row r="2090" spans="1:7" x14ac:dyDescent="0.15">
      <c r="A2090" s="4">
        <v>2089</v>
      </c>
      <c r="B2090" s="4">
        <v>2</v>
      </c>
      <c r="D2090" s="5">
        <v>10.915088464214607</v>
      </c>
      <c r="E2090" s="4">
        <v>1</v>
      </c>
      <c r="F2090" s="5">
        <v>4.2341065045972597</v>
      </c>
      <c r="G2090" s="4">
        <v>2</v>
      </c>
    </row>
    <row r="2091" spans="1:7" x14ac:dyDescent="0.15">
      <c r="A2091" s="4">
        <v>2090</v>
      </c>
      <c r="B2091" s="4">
        <v>0</v>
      </c>
      <c r="D2091" s="5">
        <v>12.072541252905651</v>
      </c>
      <c r="E2091" s="4">
        <v>1</v>
      </c>
      <c r="F2091" s="5">
        <v>3.970291913552122</v>
      </c>
      <c r="G2091" s="4">
        <v>3</v>
      </c>
    </row>
    <row r="2092" spans="1:7" x14ac:dyDescent="0.15">
      <c r="A2092" s="4">
        <v>2091</v>
      </c>
      <c r="B2092" s="4">
        <v>0</v>
      </c>
      <c r="D2092" s="5">
        <v>12.072541252905651</v>
      </c>
      <c r="E2092" s="4">
        <v>0</v>
      </c>
      <c r="F2092" s="5">
        <v>3.9318256327243257</v>
      </c>
      <c r="G2092" s="4">
        <v>3</v>
      </c>
    </row>
    <row r="2093" spans="1:7" x14ac:dyDescent="0.15">
      <c r="A2093" s="4">
        <v>2092</v>
      </c>
      <c r="B2093" s="4">
        <v>0</v>
      </c>
      <c r="D2093" s="5">
        <v>10.915088464214607</v>
      </c>
      <c r="E2093" s="4">
        <v>1</v>
      </c>
      <c r="F2093" s="5">
        <v>2.5649493574615367</v>
      </c>
      <c r="G2093" s="4">
        <v>4</v>
      </c>
    </row>
    <row r="2094" spans="1:7" x14ac:dyDescent="0.15">
      <c r="A2094" s="4">
        <v>2093</v>
      </c>
      <c r="B2094" s="4">
        <v>0</v>
      </c>
      <c r="D2094" s="5">
        <v>11.082142548877775</v>
      </c>
      <c r="E2094" s="4">
        <v>0</v>
      </c>
      <c r="F2094" s="5">
        <v>3.6635616461296463</v>
      </c>
      <c r="G2094" s="4">
        <v>3</v>
      </c>
    </row>
    <row r="2095" spans="1:7" x14ac:dyDescent="0.15">
      <c r="A2095" s="4">
        <v>2094</v>
      </c>
      <c r="B2095" s="4">
        <v>0</v>
      </c>
      <c r="D2095" s="5">
        <v>11.379394072345706</v>
      </c>
      <c r="E2095" s="4">
        <v>0</v>
      </c>
      <c r="F2095" s="5">
        <v>3.8918202981106265</v>
      </c>
      <c r="G2095" s="4">
        <v>3</v>
      </c>
    </row>
    <row r="2096" spans="1:7" x14ac:dyDescent="0.15">
      <c r="A2096" s="4">
        <v>2095</v>
      </c>
      <c r="B2096" s="4">
        <v>0</v>
      </c>
      <c r="D2096" s="5">
        <v>11.736069016284437</v>
      </c>
      <c r="E2096" s="4">
        <v>0</v>
      </c>
      <c r="F2096" s="5">
        <v>2.7080502011022101</v>
      </c>
      <c r="G2096" s="4">
        <v>2</v>
      </c>
    </row>
    <row r="2097" spans="1:7" x14ac:dyDescent="0.15">
      <c r="A2097" s="4">
        <v>2096</v>
      </c>
      <c r="B2097" s="4">
        <v>0</v>
      </c>
      <c r="D2097" s="5">
        <v>10.915088464214607</v>
      </c>
      <c r="E2097" s="4">
        <v>1</v>
      </c>
      <c r="F2097" s="5">
        <v>2.6390573296152584</v>
      </c>
      <c r="G2097" s="4">
        <v>2</v>
      </c>
    </row>
    <row r="2098" spans="1:7" x14ac:dyDescent="0.15">
      <c r="A2098" s="4">
        <v>2097</v>
      </c>
      <c r="B2098" s="4">
        <v>0</v>
      </c>
      <c r="D2098" s="5">
        <v>10.308952660644293</v>
      </c>
      <c r="E2098" s="4">
        <v>1</v>
      </c>
      <c r="F2098" s="5">
        <v>3.784189633918261</v>
      </c>
      <c r="G2098" s="4">
        <v>2</v>
      </c>
    </row>
    <row r="2099" spans="1:7" x14ac:dyDescent="0.15">
      <c r="A2099" s="4">
        <v>2098</v>
      </c>
      <c r="B2099" s="4">
        <v>1</v>
      </c>
      <c r="D2099" s="5">
        <v>10.388995368317829</v>
      </c>
      <c r="E2099" s="4">
        <v>1</v>
      </c>
      <c r="F2099" s="5">
        <v>3.7612001156935624</v>
      </c>
      <c r="G2099" s="4">
        <v>5</v>
      </c>
    </row>
    <row r="2100" spans="1:7" x14ac:dyDescent="0.15">
      <c r="A2100" s="4">
        <v>2099</v>
      </c>
      <c r="B2100" s="4">
        <v>2</v>
      </c>
      <c r="D2100" s="5">
        <v>10.657259354912508</v>
      </c>
      <c r="E2100" s="4">
        <v>0</v>
      </c>
      <c r="F2100" s="5">
        <v>4.1431347263915326</v>
      </c>
      <c r="G2100" s="4">
        <v>2</v>
      </c>
    </row>
    <row r="2101" spans="1:7" x14ac:dyDescent="0.15">
      <c r="A2101" s="4">
        <v>2100</v>
      </c>
      <c r="B2101" s="4">
        <v>1</v>
      </c>
      <c r="D2101" s="5">
        <v>11.736069016284437</v>
      </c>
      <c r="E2101" s="4">
        <v>0</v>
      </c>
      <c r="F2101" s="5">
        <v>3.9512437185814275</v>
      </c>
      <c r="G2101" s="4">
        <v>4</v>
      </c>
    </row>
    <row r="2102" spans="1:7" x14ac:dyDescent="0.15">
      <c r="A2102" s="4">
        <v>2101</v>
      </c>
      <c r="B2102" s="4">
        <v>0</v>
      </c>
      <c r="D2102" s="5">
        <v>11.736069016284437</v>
      </c>
      <c r="E2102" s="4">
        <v>0</v>
      </c>
      <c r="F2102" s="5">
        <v>2.9957322735539909</v>
      </c>
      <c r="G2102" s="4">
        <v>4</v>
      </c>
    </row>
    <row r="2103" spans="1:7" x14ac:dyDescent="0.15">
      <c r="A2103" s="4">
        <v>2102</v>
      </c>
      <c r="B2103" s="4">
        <v>0</v>
      </c>
      <c r="D2103" s="5">
        <v>11.736069016284437</v>
      </c>
      <c r="E2103" s="4">
        <v>1</v>
      </c>
      <c r="F2103" s="5">
        <v>2.8903717578961645</v>
      </c>
      <c r="G2103" s="4">
        <v>4</v>
      </c>
    </row>
    <row r="2104" spans="1:7" x14ac:dyDescent="0.15">
      <c r="A2104" s="4">
        <v>2103</v>
      </c>
      <c r="B2104" s="4">
        <v>0</v>
      </c>
      <c r="D2104" s="5">
        <v>11.736069016284437</v>
      </c>
      <c r="E2104" s="4">
        <v>1</v>
      </c>
      <c r="F2104" s="5">
        <v>2.7080502011022101</v>
      </c>
      <c r="G2104" s="4">
        <v>4</v>
      </c>
    </row>
    <row r="2105" spans="1:7" x14ac:dyDescent="0.15">
      <c r="A2105" s="4">
        <v>2104</v>
      </c>
      <c r="B2105" s="4">
        <v>0</v>
      </c>
      <c r="D2105" s="5">
        <v>11.736069016284437</v>
      </c>
      <c r="E2105" s="4">
        <v>0</v>
      </c>
      <c r="F2105" s="5">
        <v>3.784189633918261</v>
      </c>
      <c r="G2105" s="4">
        <v>4</v>
      </c>
    </row>
    <row r="2106" spans="1:7" x14ac:dyDescent="0.15">
      <c r="A2106" s="4">
        <v>2105</v>
      </c>
      <c r="B2106" s="4">
        <v>0</v>
      </c>
      <c r="D2106" s="5">
        <v>11.191341840842766</v>
      </c>
      <c r="E2106" s="4">
        <v>0</v>
      </c>
      <c r="F2106" s="5">
        <v>3.784189633918261</v>
      </c>
      <c r="G2106" s="4">
        <v>3</v>
      </c>
    </row>
    <row r="2107" spans="1:7" x14ac:dyDescent="0.15">
      <c r="A2107" s="4">
        <v>2106</v>
      </c>
      <c r="B2107" s="4">
        <v>0</v>
      </c>
      <c r="D2107" s="5">
        <v>11.082142548877775</v>
      </c>
      <c r="E2107" s="4">
        <v>1</v>
      </c>
      <c r="F2107" s="5">
        <v>3.7376696182833684</v>
      </c>
      <c r="G2107" s="4">
        <v>4</v>
      </c>
    </row>
    <row r="2108" spans="1:7" x14ac:dyDescent="0.15">
      <c r="A2108" s="4">
        <v>2107</v>
      </c>
      <c r="B2108" s="4">
        <v>0</v>
      </c>
      <c r="D2108" s="5">
        <v>8.9226582995244019</v>
      </c>
      <c r="E2108" s="4">
        <v>1</v>
      </c>
      <c r="F2108" s="5">
        <v>3.3322045101752038</v>
      </c>
      <c r="G2108" s="4">
        <v>1</v>
      </c>
    </row>
    <row r="2109" spans="1:7" x14ac:dyDescent="0.15">
      <c r="A2109" s="4">
        <v>2108</v>
      </c>
      <c r="B2109" s="4">
        <v>0</v>
      </c>
      <c r="D2109" s="5">
        <v>10.657259354912508</v>
      </c>
      <c r="E2109" s="4">
        <v>1</v>
      </c>
      <c r="F2109" s="5">
        <v>3.4011973816621555</v>
      </c>
      <c r="G2109" s="4">
        <v>1</v>
      </c>
    </row>
    <row r="2110" spans="1:7" x14ac:dyDescent="0.15">
      <c r="A2110" s="4">
        <v>2109</v>
      </c>
      <c r="B2110" s="4">
        <v>0</v>
      </c>
      <c r="D2110" s="5">
        <v>10.221941283654663</v>
      </c>
      <c r="E2110" s="4">
        <v>1</v>
      </c>
      <c r="F2110" s="5">
        <v>3.8286413964890951</v>
      </c>
      <c r="G2110" s="4">
        <v>2</v>
      </c>
    </row>
    <row r="2111" spans="1:7" x14ac:dyDescent="0.15">
      <c r="A2111" s="4">
        <v>2110</v>
      </c>
      <c r="B2111" s="4">
        <v>0</v>
      </c>
      <c r="D2111" s="5">
        <v>10.768484990022733</v>
      </c>
      <c r="E2111" s="4">
        <v>0</v>
      </c>
      <c r="F2111" s="5">
        <v>4.2341065045972597</v>
      </c>
      <c r="G2111" s="4">
        <v>2</v>
      </c>
    </row>
    <row r="2112" spans="1:7" x14ac:dyDescent="0.15">
      <c r="A2112" s="4">
        <v>2111</v>
      </c>
      <c r="B2112" s="4">
        <v>1</v>
      </c>
      <c r="D2112" s="5">
        <v>11.191341840842766</v>
      </c>
      <c r="E2112" s="4">
        <v>0</v>
      </c>
      <c r="F2112" s="5">
        <v>3.8712010109078911</v>
      </c>
      <c r="G2112" s="4">
        <v>3</v>
      </c>
    </row>
    <row r="2113" spans="1:7" x14ac:dyDescent="0.15">
      <c r="A2113" s="4">
        <v>2112</v>
      </c>
      <c r="B2113" s="4">
        <v>0</v>
      </c>
      <c r="D2113" s="5">
        <v>10.388995368317829</v>
      </c>
      <c r="E2113" s="4">
        <v>1</v>
      </c>
      <c r="F2113" s="5">
        <v>4.1108738641733114</v>
      </c>
      <c r="G2113" s="4">
        <v>2</v>
      </c>
    </row>
    <row r="2114" spans="1:7" x14ac:dyDescent="0.15">
      <c r="A2114" s="4">
        <v>2113</v>
      </c>
      <c r="B2114" s="4">
        <v>1</v>
      </c>
      <c r="D2114" s="5">
        <v>11.736069016284437</v>
      </c>
      <c r="E2114" s="4">
        <v>1</v>
      </c>
      <c r="F2114" s="5">
        <v>3.8501476017100584</v>
      </c>
      <c r="G2114" s="4">
        <v>4</v>
      </c>
    </row>
    <row r="2115" spans="1:7" x14ac:dyDescent="0.15">
      <c r="A2115" s="4">
        <v>2114</v>
      </c>
      <c r="B2115" s="4">
        <v>0</v>
      </c>
      <c r="D2115" s="5">
        <v>11.119882876860622</v>
      </c>
      <c r="E2115" s="4">
        <v>0</v>
      </c>
      <c r="F2115" s="5">
        <v>4.0943445622221004</v>
      </c>
      <c r="G2115" s="4">
        <v>3</v>
      </c>
    </row>
    <row r="2116" spans="1:7" x14ac:dyDescent="0.15">
      <c r="A2116" s="4">
        <v>2115</v>
      </c>
      <c r="B2116" s="4">
        <v>0</v>
      </c>
      <c r="D2116" s="5">
        <v>12.072541252905651</v>
      </c>
      <c r="E2116" s="4">
        <v>1</v>
      </c>
      <c r="F2116" s="5">
        <v>3.912023005428146</v>
      </c>
      <c r="G2116" s="4">
        <v>3</v>
      </c>
    </row>
    <row r="2117" spans="1:7" x14ac:dyDescent="0.15">
      <c r="A2117" s="4">
        <v>2116</v>
      </c>
      <c r="B2117" s="4">
        <v>0</v>
      </c>
      <c r="D2117" s="5">
        <v>12.072541252905651</v>
      </c>
      <c r="E2117" s="4">
        <v>0</v>
      </c>
      <c r="F2117" s="5">
        <v>2.7725887222397811</v>
      </c>
      <c r="G2117" s="4">
        <v>3</v>
      </c>
    </row>
    <row r="2118" spans="1:7" x14ac:dyDescent="0.15">
      <c r="A2118" s="4">
        <v>2117</v>
      </c>
      <c r="B2118" s="4">
        <v>3</v>
      </c>
      <c r="D2118" s="5">
        <v>11.379394072345706</v>
      </c>
      <c r="E2118" s="4">
        <v>0</v>
      </c>
      <c r="F2118" s="5">
        <v>4.0943445622221004</v>
      </c>
      <c r="G2118" s="4">
        <v>3</v>
      </c>
    </row>
    <row r="2119" spans="1:7" x14ac:dyDescent="0.15">
      <c r="A2119" s="4">
        <v>2118</v>
      </c>
      <c r="B2119" s="4">
        <v>0</v>
      </c>
      <c r="D2119" s="5">
        <v>9.9034875525361272</v>
      </c>
      <c r="E2119" s="4">
        <v>1</v>
      </c>
      <c r="F2119" s="5">
        <v>3.0910424533583161</v>
      </c>
      <c r="G2119" s="4">
        <v>2</v>
      </c>
    </row>
    <row r="2120" spans="1:7" x14ac:dyDescent="0.15">
      <c r="A2120" s="4">
        <v>2119</v>
      </c>
      <c r="B2120" s="4">
        <v>1</v>
      </c>
      <c r="D2120" s="5">
        <v>11.379394072345706</v>
      </c>
      <c r="E2120" s="4">
        <v>1</v>
      </c>
      <c r="F2120" s="5">
        <v>3.4965075614664802</v>
      </c>
      <c r="G2120" s="4">
        <v>2</v>
      </c>
    </row>
    <row r="2121" spans="1:7" x14ac:dyDescent="0.15">
      <c r="A2121" s="4">
        <v>2120</v>
      </c>
      <c r="B2121" s="4">
        <v>0</v>
      </c>
      <c r="D2121" s="5">
        <v>11.736069016284437</v>
      </c>
      <c r="E2121" s="4">
        <v>1</v>
      </c>
      <c r="F2121" s="5">
        <v>3.4339872044851463</v>
      </c>
      <c r="G2121" s="4">
        <v>3</v>
      </c>
    </row>
    <row r="2122" spans="1:7" x14ac:dyDescent="0.15">
      <c r="A2122" s="4">
        <v>2121</v>
      </c>
      <c r="B2122" s="4">
        <v>0</v>
      </c>
      <c r="D2122" s="5">
        <v>10.768484990022733</v>
      </c>
      <c r="E2122" s="4">
        <v>1</v>
      </c>
      <c r="F2122" s="5">
        <v>3.9512437185814275</v>
      </c>
      <c r="G2122" s="4">
        <v>3</v>
      </c>
    </row>
    <row r="2123" spans="1:7" x14ac:dyDescent="0.15">
      <c r="A2123" s="4">
        <v>2122</v>
      </c>
      <c r="B2123" s="4">
        <v>0</v>
      </c>
      <c r="D2123" s="5">
        <v>10.819778284410283</v>
      </c>
      <c r="E2123" s="4">
        <v>1</v>
      </c>
      <c r="F2123" s="5">
        <v>3.1780538303479458</v>
      </c>
      <c r="G2123" s="4">
        <v>3</v>
      </c>
    </row>
    <row r="2124" spans="1:7" x14ac:dyDescent="0.15">
      <c r="A2124" s="4">
        <v>2123</v>
      </c>
      <c r="B2124" s="4">
        <v>0</v>
      </c>
      <c r="D2124" s="5">
        <v>10.221941283654663</v>
      </c>
      <c r="E2124" s="4">
        <v>0</v>
      </c>
      <c r="F2124" s="5">
        <v>3.8286413964890951</v>
      </c>
      <c r="G2124" s="4">
        <v>3</v>
      </c>
    </row>
    <row r="2125" spans="1:7" x14ac:dyDescent="0.15">
      <c r="A2125" s="4">
        <v>2124</v>
      </c>
      <c r="B2125" s="4">
        <v>0</v>
      </c>
      <c r="D2125" s="5">
        <v>11.379394072345706</v>
      </c>
      <c r="E2125" s="4">
        <v>1</v>
      </c>
      <c r="F2125" s="5">
        <v>3.6109179126442243</v>
      </c>
      <c r="G2125" s="4">
        <v>6</v>
      </c>
    </row>
    <row r="2126" spans="1:7" x14ac:dyDescent="0.15">
      <c r="A2126" s="4">
        <v>2125</v>
      </c>
      <c r="B2126" s="4">
        <v>0</v>
      </c>
      <c r="D2126" s="5">
        <v>11.379394072345706</v>
      </c>
      <c r="E2126" s="4">
        <v>1</v>
      </c>
      <c r="F2126" s="5">
        <v>3.784189633918261</v>
      </c>
      <c r="G2126" s="4">
        <v>4</v>
      </c>
    </row>
    <row r="2127" spans="1:7" x14ac:dyDescent="0.15">
      <c r="A2127" s="4">
        <v>2126</v>
      </c>
      <c r="B2127" s="4">
        <v>0</v>
      </c>
      <c r="D2127" s="5">
        <v>10.915088464214607</v>
      </c>
      <c r="E2127" s="4">
        <v>0</v>
      </c>
      <c r="F2127" s="5">
        <v>3.9512437185814275</v>
      </c>
      <c r="G2127" s="4">
        <v>4</v>
      </c>
    </row>
    <row r="2128" spans="1:7" x14ac:dyDescent="0.15">
      <c r="A2128" s="4">
        <v>2127</v>
      </c>
      <c r="B2128" s="4">
        <v>0</v>
      </c>
      <c r="D2128" s="5">
        <v>10.915088464214607</v>
      </c>
      <c r="E2128" s="4">
        <v>0</v>
      </c>
      <c r="F2128" s="5">
        <v>3.0910424533583161</v>
      </c>
      <c r="G2128" s="4">
        <v>4</v>
      </c>
    </row>
    <row r="2129" spans="1:7" x14ac:dyDescent="0.15">
      <c r="A2129" s="4">
        <v>2128</v>
      </c>
      <c r="B2129" s="4">
        <v>0</v>
      </c>
      <c r="D2129" s="5">
        <v>10.915088464214607</v>
      </c>
      <c r="E2129" s="4">
        <v>0</v>
      </c>
      <c r="F2129" s="5">
        <v>2.7725887222397811</v>
      </c>
      <c r="G2129" s="4">
        <v>4</v>
      </c>
    </row>
    <row r="2130" spans="1:7" x14ac:dyDescent="0.15">
      <c r="A2130" s="4">
        <v>2129</v>
      </c>
      <c r="B2130" s="4">
        <v>0</v>
      </c>
      <c r="D2130" s="5">
        <v>11.379394072345706</v>
      </c>
      <c r="E2130" s="4">
        <v>0</v>
      </c>
      <c r="F2130" s="5">
        <v>3.3672958299864741</v>
      </c>
      <c r="G2130" s="4">
        <v>1</v>
      </c>
    </row>
    <row r="2131" spans="1:7" x14ac:dyDescent="0.15">
      <c r="A2131" s="4">
        <v>2130</v>
      </c>
      <c r="B2131" s="4">
        <v>0</v>
      </c>
      <c r="D2131" s="5">
        <v>10.768484990022733</v>
      </c>
      <c r="E2131" s="4">
        <v>0</v>
      </c>
      <c r="F2131" s="5">
        <v>3.8286413964890951</v>
      </c>
      <c r="G2131" s="4">
        <v>2</v>
      </c>
    </row>
    <row r="2132" spans="1:7" x14ac:dyDescent="0.15">
      <c r="A2132" s="4">
        <v>2131</v>
      </c>
      <c r="B2132" s="4">
        <v>0</v>
      </c>
      <c r="D2132" s="5">
        <v>10.915088464214607</v>
      </c>
      <c r="E2132" s="4">
        <v>1</v>
      </c>
      <c r="F2132" s="5">
        <v>3.912023005428146</v>
      </c>
      <c r="G2132" s="4">
        <v>3</v>
      </c>
    </row>
    <row r="2133" spans="1:7" x14ac:dyDescent="0.15">
      <c r="A2133" s="4">
        <v>2132</v>
      </c>
      <c r="B2133" s="4">
        <v>0</v>
      </c>
      <c r="D2133" s="5">
        <v>10.388995368317829</v>
      </c>
      <c r="E2133" s="4">
        <v>1</v>
      </c>
      <c r="F2133" s="5">
        <v>3.784189633918261</v>
      </c>
      <c r="G2133" s="4">
        <v>5</v>
      </c>
    </row>
    <row r="2134" spans="1:7" x14ac:dyDescent="0.15">
      <c r="A2134" s="4">
        <v>2133</v>
      </c>
      <c r="B2134" s="4">
        <v>0</v>
      </c>
      <c r="D2134" s="5">
        <v>10.915088464214607</v>
      </c>
      <c r="E2134" s="4">
        <v>1</v>
      </c>
      <c r="F2134" s="5">
        <v>3.970291913552122</v>
      </c>
      <c r="G2134" s="4">
        <v>2</v>
      </c>
    </row>
    <row r="2135" spans="1:7" x14ac:dyDescent="0.15">
      <c r="A2135" s="4">
        <v>2134</v>
      </c>
      <c r="B2135" s="4">
        <v>0</v>
      </c>
      <c r="D2135" s="5">
        <v>10.532096211958502</v>
      </c>
      <c r="E2135" s="4">
        <v>1</v>
      </c>
      <c r="F2135" s="5">
        <v>4.0253516907351496</v>
      </c>
      <c r="G2135" s="4">
        <v>2</v>
      </c>
    </row>
    <row r="2136" spans="1:7" x14ac:dyDescent="0.15">
      <c r="A2136" s="4">
        <v>2135</v>
      </c>
      <c r="B2136" s="4">
        <v>0</v>
      </c>
      <c r="D2136" s="5">
        <v>10.915088464214607</v>
      </c>
      <c r="E2136" s="4">
        <v>1</v>
      </c>
      <c r="F2136" s="5">
        <v>3.7612001156935624</v>
      </c>
      <c r="G2136" s="4">
        <v>2</v>
      </c>
    </row>
    <row r="2137" spans="1:7" x14ac:dyDescent="0.15">
      <c r="A2137" s="4">
        <v>2136</v>
      </c>
      <c r="B2137" s="4">
        <v>0</v>
      </c>
      <c r="D2137" s="5">
        <v>10.768484990022733</v>
      </c>
      <c r="E2137" s="4">
        <v>1</v>
      </c>
      <c r="F2137" s="5">
        <v>4.0073331852324712</v>
      </c>
      <c r="G2137" s="4">
        <v>4</v>
      </c>
    </row>
    <row r="2138" spans="1:7" x14ac:dyDescent="0.15">
      <c r="A2138" s="4">
        <v>2137</v>
      </c>
      <c r="B2138" s="4">
        <v>0</v>
      </c>
      <c r="D2138" s="5">
        <v>11.082142548877775</v>
      </c>
      <c r="E2138" s="4">
        <v>0</v>
      </c>
      <c r="F2138" s="5">
        <v>4.2484952420493594</v>
      </c>
      <c r="G2138" s="4">
        <v>2</v>
      </c>
    </row>
    <row r="2139" spans="1:7" x14ac:dyDescent="0.15">
      <c r="A2139" s="4">
        <v>2138</v>
      </c>
      <c r="B2139" s="4">
        <v>2</v>
      </c>
      <c r="D2139" s="5">
        <v>10.915088464214607</v>
      </c>
      <c r="E2139" s="4">
        <v>1</v>
      </c>
      <c r="F2139" s="5">
        <v>3.9889840465642745</v>
      </c>
      <c r="G2139" s="4">
        <v>2</v>
      </c>
    </row>
    <row r="2140" spans="1:7" x14ac:dyDescent="0.15">
      <c r="A2140" s="4">
        <v>2139</v>
      </c>
      <c r="B2140" s="4">
        <v>5</v>
      </c>
      <c r="D2140" s="5">
        <v>10.915088464214607</v>
      </c>
      <c r="E2140" s="4">
        <v>0</v>
      </c>
      <c r="F2140" s="5">
        <v>4.0253516907351496</v>
      </c>
      <c r="G2140" s="4">
        <v>2</v>
      </c>
    </row>
    <row r="2141" spans="1:7" x14ac:dyDescent="0.15">
      <c r="A2141" s="4">
        <v>2140</v>
      </c>
      <c r="B2141" s="4">
        <v>0</v>
      </c>
      <c r="D2141" s="5">
        <v>10.915088464214607</v>
      </c>
      <c r="E2141" s="4">
        <v>0</v>
      </c>
      <c r="F2141" s="5">
        <v>3.9318256327243257</v>
      </c>
      <c r="G2141" s="4">
        <v>2</v>
      </c>
    </row>
    <row r="2142" spans="1:7" x14ac:dyDescent="0.15">
      <c r="A2142" s="4">
        <v>2141</v>
      </c>
      <c r="B2142" s="4">
        <v>0</v>
      </c>
      <c r="D2142" s="5">
        <v>12.206072645530174</v>
      </c>
      <c r="E2142" s="4">
        <v>1</v>
      </c>
      <c r="F2142" s="5">
        <v>3.8712010109078911</v>
      </c>
      <c r="G2142" s="4">
        <v>4</v>
      </c>
    </row>
    <row r="2143" spans="1:7" x14ac:dyDescent="0.15">
      <c r="A2143" s="4">
        <v>2142</v>
      </c>
      <c r="B2143" s="4">
        <v>0</v>
      </c>
      <c r="D2143" s="5">
        <v>10.915088464214607</v>
      </c>
      <c r="E2143" s="4">
        <v>0</v>
      </c>
      <c r="F2143" s="5">
        <v>3.9889840465642745</v>
      </c>
      <c r="G2143" s="4">
        <v>4</v>
      </c>
    </row>
    <row r="2144" spans="1:7" x14ac:dyDescent="0.15">
      <c r="A2144" s="4">
        <v>2143</v>
      </c>
      <c r="B2144" s="4">
        <v>0</v>
      </c>
      <c r="D2144" s="5">
        <v>9.3281234076325656</v>
      </c>
      <c r="E2144" s="4">
        <v>0</v>
      </c>
      <c r="F2144" s="5">
        <v>4.0943445622221004</v>
      </c>
      <c r="G2144" s="4">
        <v>1</v>
      </c>
    </row>
    <row r="2145" spans="1:7" x14ac:dyDescent="0.15">
      <c r="A2145" s="4">
        <v>2144</v>
      </c>
      <c r="B2145" s="4">
        <v>0</v>
      </c>
      <c r="D2145" s="5">
        <v>11.379394072345706</v>
      </c>
      <c r="E2145" s="4">
        <v>1</v>
      </c>
      <c r="F2145" s="5">
        <v>2.6390573296152584</v>
      </c>
      <c r="G2145" s="4">
        <v>4</v>
      </c>
    </row>
    <row r="2146" spans="1:7" x14ac:dyDescent="0.15">
      <c r="A2146" s="4">
        <v>2145</v>
      </c>
      <c r="B2146" s="4">
        <v>5</v>
      </c>
      <c r="D2146" s="5">
        <v>10.915088464214607</v>
      </c>
      <c r="E2146" s="4">
        <v>0</v>
      </c>
      <c r="F2146" s="5">
        <v>4.1588830833596715</v>
      </c>
      <c r="G2146" s="4">
        <v>1</v>
      </c>
    </row>
    <row r="2147" spans="1:7" x14ac:dyDescent="0.15">
      <c r="A2147" s="4">
        <v>2146</v>
      </c>
      <c r="B2147" s="4">
        <v>0</v>
      </c>
      <c r="D2147" s="5">
        <v>10.768484990022733</v>
      </c>
      <c r="E2147" s="4">
        <v>1</v>
      </c>
      <c r="F2147" s="5">
        <v>2.6390573296152584</v>
      </c>
      <c r="G2147" s="4">
        <v>5</v>
      </c>
    </row>
    <row r="2148" spans="1:7" x14ac:dyDescent="0.15">
      <c r="A2148" s="4">
        <v>2147</v>
      </c>
      <c r="B2148" s="4">
        <v>1</v>
      </c>
      <c r="D2148" s="5">
        <v>11.191341840842766</v>
      </c>
      <c r="E2148" s="4">
        <v>1</v>
      </c>
      <c r="F2148" s="5">
        <v>3.8918202981106265</v>
      </c>
      <c r="G2148" s="4">
        <v>2</v>
      </c>
    </row>
    <row r="2149" spans="1:7" x14ac:dyDescent="0.15">
      <c r="A2149" s="4">
        <v>2148</v>
      </c>
      <c r="B2149" s="4">
        <v>0</v>
      </c>
      <c r="D2149" s="5">
        <v>9.3281234076325656</v>
      </c>
      <c r="E2149" s="4">
        <v>1</v>
      </c>
      <c r="F2149" s="5">
        <v>3.970291913552122</v>
      </c>
      <c r="G2149" s="4">
        <v>1</v>
      </c>
    </row>
    <row r="2150" spans="1:7" x14ac:dyDescent="0.15">
      <c r="A2150" s="4">
        <v>2149</v>
      </c>
      <c r="B2150" s="4">
        <v>0</v>
      </c>
      <c r="D2150" s="5">
        <v>11.379394072345706</v>
      </c>
      <c r="E2150" s="4">
        <v>0</v>
      </c>
      <c r="F2150" s="5">
        <v>3.784189633918261</v>
      </c>
      <c r="G2150" s="4">
        <v>4</v>
      </c>
    </row>
    <row r="2151" spans="1:7" x14ac:dyDescent="0.15">
      <c r="A2151" s="4">
        <v>2150</v>
      </c>
      <c r="B2151" s="4">
        <v>1</v>
      </c>
      <c r="D2151" s="5">
        <v>10.657259354912508</v>
      </c>
      <c r="E2151" s="4">
        <v>0</v>
      </c>
      <c r="F2151" s="5">
        <v>4.0775374439057197</v>
      </c>
      <c r="G2151" s="4">
        <v>2</v>
      </c>
    </row>
    <row r="2152" spans="1:7" x14ac:dyDescent="0.15">
      <c r="A2152" s="4">
        <v>2151</v>
      </c>
      <c r="B2152" s="4">
        <v>0</v>
      </c>
      <c r="D2152" s="5">
        <v>10.657259354912508</v>
      </c>
      <c r="E2152" s="4">
        <v>1</v>
      </c>
      <c r="F2152" s="5">
        <v>3.6109179126442243</v>
      </c>
      <c r="G2152" s="4">
        <v>2</v>
      </c>
    </row>
    <row r="2153" spans="1:7" x14ac:dyDescent="0.15">
      <c r="A2153" s="4">
        <v>2152</v>
      </c>
      <c r="B2153" s="4">
        <v>0</v>
      </c>
      <c r="D2153" s="5">
        <v>9.5287941030947181</v>
      </c>
      <c r="E2153" s="4">
        <v>1</v>
      </c>
      <c r="F2153" s="5">
        <v>4.1588830833596715</v>
      </c>
      <c r="G2153" s="4">
        <v>2</v>
      </c>
    </row>
    <row r="2154" spans="1:7" x14ac:dyDescent="0.15">
      <c r="A2154" s="4">
        <v>2153</v>
      </c>
      <c r="B2154" s="4">
        <v>4</v>
      </c>
      <c r="D2154" s="5">
        <v>11.736069016284437</v>
      </c>
      <c r="E2154" s="4">
        <v>1</v>
      </c>
      <c r="F2154" s="5">
        <v>3.713572066704308</v>
      </c>
      <c r="G2154" s="4">
        <v>3</v>
      </c>
    </row>
    <row r="2155" spans="1:7" x14ac:dyDescent="0.15">
      <c r="A2155" s="4">
        <v>2154</v>
      </c>
      <c r="B2155" s="4">
        <v>0</v>
      </c>
      <c r="D2155" s="5">
        <v>10.915088464214607</v>
      </c>
      <c r="E2155" s="4">
        <v>1</v>
      </c>
      <c r="F2155" s="5">
        <v>3.6888794541139363</v>
      </c>
      <c r="G2155" s="4">
        <v>4</v>
      </c>
    </row>
    <row r="2156" spans="1:7" x14ac:dyDescent="0.15">
      <c r="A2156" s="4">
        <v>2155</v>
      </c>
      <c r="B2156" s="4">
        <v>40</v>
      </c>
      <c r="D2156" s="5">
        <v>11.379394072345706</v>
      </c>
      <c r="E2156" s="4">
        <v>1</v>
      </c>
      <c r="F2156" s="5">
        <v>3.6888794541139363</v>
      </c>
      <c r="G2156" s="4">
        <v>6</v>
      </c>
    </row>
    <row r="2157" spans="1:7" x14ac:dyDescent="0.15">
      <c r="A2157" s="4">
        <v>2156</v>
      </c>
      <c r="B2157" s="4">
        <v>2</v>
      </c>
      <c r="D2157" s="5">
        <v>11.379394072345706</v>
      </c>
      <c r="E2157" s="4">
        <v>0</v>
      </c>
      <c r="F2157" s="5">
        <v>3.6888794541139363</v>
      </c>
      <c r="G2157" s="4">
        <v>6</v>
      </c>
    </row>
    <row r="2158" spans="1:7" x14ac:dyDescent="0.15">
      <c r="A2158" s="4">
        <v>2157</v>
      </c>
      <c r="B2158" s="4">
        <v>0</v>
      </c>
      <c r="D2158" s="5">
        <v>12.072541252905651</v>
      </c>
      <c r="E2158" s="4">
        <v>0</v>
      </c>
      <c r="F2158" s="5">
        <v>2.7725887222397811</v>
      </c>
      <c r="G2158" s="4">
        <v>3</v>
      </c>
    </row>
    <row r="2159" spans="1:7" x14ac:dyDescent="0.15">
      <c r="A2159" s="4">
        <v>2158</v>
      </c>
      <c r="B2159" s="4">
        <v>0</v>
      </c>
      <c r="D2159" s="5">
        <v>10.532096211958502</v>
      </c>
      <c r="E2159" s="4">
        <v>0</v>
      </c>
      <c r="F2159" s="5">
        <v>4.0775374439057197</v>
      </c>
      <c r="G2159" s="4">
        <v>3</v>
      </c>
    </row>
    <row r="2160" spans="1:7" x14ac:dyDescent="0.15">
      <c r="A2160" s="4">
        <v>2159</v>
      </c>
      <c r="B2160" s="4">
        <v>0</v>
      </c>
      <c r="D2160" s="5">
        <v>11.379394072345706</v>
      </c>
      <c r="E2160" s="4">
        <v>1</v>
      </c>
      <c r="F2160" s="5">
        <v>2.7080502011022101</v>
      </c>
      <c r="G2160" s="4">
        <v>4</v>
      </c>
    </row>
    <row r="2161" spans="1:7" x14ac:dyDescent="0.15">
      <c r="A2161" s="4">
        <v>2160</v>
      </c>
      <c r="B2161" s="4">
        <v>0</v>
      </c>
      <c r="D2161" s="5">
        <v>10.532096211958502</v>
      </c>
      <c r="E2161" s="4">
        <v>1</v>
      </c>
      <c r="F2161" s="5">
        <v>3.4657359027997265</v>
      </c>
      <c r="G2161" s="4">
        <v>1</v>
      </c>
    </row>
    <row r="2162" spans="1:7" x14ac:dyDescent="0.15">
      <c r="A2162" s="4">
        <v>2161</v>
      </c>
      <c r="B2162" s="4">
        <v>0</v>
      </c>
      <c r="D2162" s="5">
        <v>11.082142548877775</v>
      </c>
      <c r="E2162" s="4">
        <v>0</v>
      </c>
      <c r="F2162" s="5">
        <v>3.6888794541139363</v>
      </c>
      <c r="G2162" s="4">
        <v>4</v>
      </c>
    </row>
    <row r="2163" spans="1:7" x14ac:dyDescent="0.15">
      <c r="A2163" s="4">
        <v>2162</v>
      </c>
      <c r="B2163" s="4">
        <v>0</v>
      </c>
      <c r="D2163" s="5">
        <v>11.379394072345706</v>
      </c>
      <c r="E2163" s="4">
        <v>1</v>
      </c>
      <c r="F2163" s="5">
        <v>4.1743872698956368</v>
      </c>
      <c r="G2163" s="4">
        <v>2</v>
      </c>
    </row>
    <row r="2164" spans="1:7" x14ac:dyDescent="0.15">
      <c r="A2164" s="4">
        <v>2163</v>
      </c>
      <c r="B2164" s="4">
        <v>0</v>
      </c>
      <c r="D2164" s="5">
        <v>10.915088464214607</v>
      </c>
      <c r="E2164" s="4">
        <v>1</v>
      </c>
      <c r="F2164" s="5">
        <v>3.5835189384561099</v>
      </c>
      <c r="G2164" s="4">
        <v>2</v>
      </c>
    </row>
    <row r="2165" spans="1:7" x14ac:dyDescent="0.15">
      <c r="A2165" s="4">
        <v>2164</v>
      </c>
      <c r="B2165" s="4">
        <v>0</v>
      </c>
      <c r="D2165" s="5">
        <v>10.915088464214607</v>
      </c>
      <c r="E2165" s="4">
        <v>0</v>
      </c>
      <c r="F2165" s="5">
        <v>3.6635616461296463</v>
      </c>
      <c r="G2165" s="4">
        <v>2</v>
      </c>
    </row>
    <row r="2166" spans="1:7" x14ac:dyDescent="0.15">
      <c r="A2166" s="4">
        <v>2165</v>
      </c>
      <c r="B2166" s="4">
        <v>4</v>
      </c>
      <c r="D2166" s="5">
        <v>10.388995368317829</v>
      </c>
      <c r="E2166" s="4">
        <v>1</v>
      </c>
      <c r="F2166" s="5">
        <v>3.3322045101752038</v>
      </c>
      <c r="G2166" s="4">
        <v>2</v>
      </c>
    </row>
    <row r="2167" spans="1:7" x14ac:dyDescent="0.15">
      <c r="A2167" s="4">
        <v>2166</v>
      </c>
      <c r="B2167" s="4">
        <v>1</v>
      </c>
      <c r="D2167" s="5">
        <v>10.388995368317829</v>
      </c>
      <c r="E2167" s="4">
        <v>0</v>
      </c>
      <c r="F2167" s="5">
        <v>3.3672958299864741</v>
      </c>
      <c r="G2167" s="4">
        <v>2</v>
      </c>
    </row>
    <row r="2168" spans="1:7" x14ac:dyDescent="0.15">
      <c r="A2168" s="4">
        <v>2167</v>
      </c>
      <c r="B2168" s="4">
        <v>0</v>
      </c>
      <c r="D2168" s="5">
        <v>11.379394072345706</v>
      </c>
      <c r="E2168" s="4">
        <v>1</v>
      </c>
      <c r="F2168" s="5">
        <v>2.7080502011022101</v>
      </c>
      <c r="G2168" s="4">
        <v>4</v>
      </c>
    </row>
    <row r="2169" spans="1:7" x14ac:dyDescent="0.15">
      <c r="A2169" s="4">
        <v>2168</v>
      </c>
      <c r="B2169" s="4">
        <v>0</v>
      </c>
      <c r="D2169" s="5">
        <v>12.206072645530174</v>
      </c>
      <c r="E2169" s="4">
        <v>1</v>
      </c>
      <c r="F2169" s="5">
        <v>3.7612001156935624</v>
      </c>
      <c r="G2169" s="4">
        <v>6</v>
      </c>
    </row>
    <row r="2170" spans="1:7" x14ac:dyDescent="0.15">
      <c r="A2170" s="4">
        <v>2169</v>
      </c>
      <c r="B2170" s="4">
        <v>0</v>
      </c>
      <c r="D2170" s="5">
        <v>11.736069016284437</v>
      </c>
      <c r="E2170" s="4">
        <v>1</v>
      </c>
      <c r="F2170" s="5">
        <v>4.0253516907351496</v>
      </c>
      <c r="G2170" s="4">
        <v>2</v>
      </c>
    </row>
    <row r="2171" spans="1:7" x14ac:dyDescent="0.15">
      <c r="A2171" s="4">
        <v>2170</v>
      </c>
      <c r="B2171" s="4">
        <v>0</v>
      </c>
      <c r="D2171" s="5">
        <v>11.736069016284437</v>
      </c>
      <c r="E2171" s="4">
        <v>0</v>
      </c>
      <c r="F2171" s="5">
        <v>4.0943445622221004</v>
      </c>
      <c r="G2171" s="4">
        <v>2</v>
      </c>
    </row>
    <row r="2172" spans="1:7" x14ac:dyDescent="0.15">
      <c r="A2172" s="4">
        <v>2171</v>
      </c>
      <c r="B2172" s="4">
        <v>0</v>
      </c>
      <c r="D2172" s="5">
        <v>10.915088464214607</v>
      </c>
      <c r="E2172" s="4">
        <v>0</v>
      </c>
      <c r="F2172" s="5">
        <v>2.8903717578961645</v>
      </c>
      <c r="G2172" s="4">
        <v>4</v>
      </c>
    </row>
    <row r="2173" spans="1:7" x14ac:dyDescent="0.15">
      <c r="A2173" s="4">
        <v>2172</v>
      </c>
      <c r="B2173" s="4">
        <v>0</v>
      </c>
      <c r="D2173" s="5">
        <v>10.657259354912508</v>
      </c>
      <c r="E2173" s="4">
        <v>1</v>
      </c>
      <c r="F2173" s="5">
        <v>3.9889840465642745</v>
      </c>
      <c r="G2173" s="4">
        <v>2</v>
      </c>
    </row>
    <row r="2174" spans="1:7" x14ac:dyDescent="0.15">
      <c r="A2174" s="4">
        <v>2173</v>
      </c>
      <c r="B2174" s="4">
        <v>0</v>
      </c>
      <c r="D2174" s="5">
        <v>11.736069016284437</v>
      </c>
      <c r="E2174" s="4">
        <v>1</v>
      </c>
      <c r="F2174" s="5">
        <v>3.8066624897703196</v>
      </c>
      <c r="G2174" s="4">
        <v>3</v>
      </c>
    </row>
    <row r="2175" spans="1:7" x14ac:dyDescent="0.15">
      <c r="A2175" s="4">
        <v>2174</v>
      </c>
      <c r="B2175" s="4">
        <v>2</v>
      </c>
      <c r="D2175" s="5">
        <v>11.191341840842766</v>
      </c>
      <c r="E2175" s="4">
        <v>0</v>
      </c>
      <c r="F2175" s="5">
        <v>4.1271343850450917</v>
      </c>
      <c r="G2175" s="4">
        <v>2</v>
      </c>
    </row>
    <row r="2176" spans="1:7" x14ac:dyDescent="0.15">
      <c r="A2176" s="4">
        <v>2175</v>
      </c>
      <c r="B2176" s="4">
        <v>0</v>
      </c>
      <c r="D2176" s="5">
        <v>11.082142548877775</v>
      </c>
      <c r="E2176" s="4">
        <v>1</v>
      </c>
      <c r="F2176" s="5">
        <v>3.912023005428146</v>
      </c>
      <c r="G2176" s="4">
        <v>2</v>
      </c>
    </row>
    <row r="2177" spans="1:7" x14ac:dyDescent="0.15">
      <c r="A2177" s="4">
        <v>2176</v>
      </c>
      <c r="B2177" s="4">
        <v>0</v>
      </c>
      <c r="D2177" s="5">
        <v>10.021270588192511</v>
      </c>
      <c r="E2177" s="4">
        <v>1</v>
      </c>
      <c r="F2177" s="5">
        <v>3.4657359027997265</v>
      </c>
      <c r="G2177" s="4">
        <v>3</v>
      </c>
    </row>
    <row r="2178" spans="1:7" x14ac:dyDescent="0.15">
      <c r="A2178" s="4">
        <v>2177</v>
      </c>
      <c r="B2178" s="4">
        <v>4</v>
      </c>
      <c r="D2178" s="5">
        <v>11.736069016284437</v>
      </c>
      <c r="E2178" s="4">
        <v>1</v>
      </c>
      <c r="F2178" s="5">
        <v>3.5835189384561099</v>
      </c>
      <c r="G2178" s="4">
        <v>4</v>
      </c>
    </row>
    <row r="2179" spans="1:7" x14ac:dyDescent="0.15">
      <c r="A2179" s="4">
        <v>2178</v>
      </c>
      <c r="B2179" s="4">
        <v>2</v>
      </c>
      <c r="D2179" s="5">
        <v>11.082142548877775</v>
      </c>
      <c r="E2179" s="4">
        <v>0</v>
      </c>
      <c r="F2179" s="5">
        <v>3.8286413964890951</v>
      </c>
      <c r="G2179" s="4">
        <v>4</v>
      </c>
    </row>
    <row r="2180" spans="1:7" x14ac:dyDescent="0.15">
      <c r="A2180" s="4">
        <v>2179</v>
      </c>
      <c r="B2180" s="4">
        <v>0</v>
      </c>
      <c r="D2180" s="5">
        <v>11.082142548877775</v>
      </c>
      <c r="E2180" s="4">
        <v>0</v>
      </c>
      <c r="F2180" s="5">
        <v>2.3978952727983707</v>
      </c>
      <c r="G2180" s="4">
        <v>4</v>
      </c>
    </row>
    <row r="2181" spans="1:7" x14ac:dyDescent="0.15">
      <c r="A2181" s="4">
        <v>2180</v>
      </c>
      <c r="B2181" s="4">
        <v>0</v>
      </c>
      <c r="D2181" s="5">
        <v>10.388995368317829</v>
      </c>
      <c r="E2181" s="4">
        <v>1</v>
      </c>
      <c r="F2181" s="5">
        <v>4.290459441148391</v>
      </c>
      <c r="G2181" s="4">
        <v>2</v>
      </c>
    </row>
    <row r="2182" spans="1:7" x14ac:dyDescent="0.15">
      <c r="A2182" s="4">
        <v>2181</v>
      </c>
      <c r="B2182" s="4">
        <v>0</v>
      </c>
      <c r="D2182" s="5">
        <v>11.379394072345706</v>
      </c>
      <c r="E2182" s="4">
        <v>0</v>
      </c>
      <c r="F2182" s="5">
        <v>3.5553480614894135</v>
      </c>
      <c r="G2182" s="4">
        <v>3</v>
      </c>
    </row>
    <row r="2183" spans="1:7" x14ac:dyDescent="0.15">
      <c r="A2183" s="4">
        <v>2182</v>
      </c>
      <c r="B2183" s="4">
        <v>0</v>
      </c>
      <c r="D2183" s="5">
        <v>11.082142548877775</v>
      </c>
      <c r="E2183" s="4">
        <v>0</v>
      </c>
      <c r="F2183" s="5">
        <v>3.8286413964890951</v>
      </c>
      <c r="G2183" s="4">
        <v>1</v>
      </c>
    </row>
    <row r="2184" spans="1:7" x14ac:dyDescent="0.15">
      <c r="A2184" s="4">
        <v>2183</v>
      </c>
      <c r="B2184" s="4">
        <v>0</v>
      </c>
      <c r="D2184" s="5">
        <v>11.736069016284437</v>
      </c>
      <c r="E2184" s="4">
        <v>1</v>
      </c>
      <c r="F2184" s="5">
        <v>4.0604430105464191</v>
      </c>
      <c r="G2184" s="4">
        <v>2</v>
      </c>
    </row>
    <row r="2185" spans="1:7" x14ac:dyDescent="0.15">
      <c r="A2185" s="4">
        <v>2184</v>
      </c>
      <c r="B2185" s="4">
        <v>0</v>
      </c>
      <c r="D2185" s="5">
        <v>10.388995368317829</v>
      </c>
      <c r="E2185" s="4">
        <v>1</v>
      </c>
      <c r="F2185" s="5">
        <v>3.970291913552122</v>
      </c>
      <c r="G2185" s="4">
        <v>2</v>
      </c>
    </row>
    <row r="2186" spans="1:7" x14ac:dyDescent="0.15">
      <c r="A2186" s="4">
        <v>2185</v>
      </c>
      <c r="B2186" s="4">
        <v>5</v>
      </c>
      <c r="D2186" s="5">
        <v>10.768484990022733</v>
      </c>
      <c r="E2186" s="4">
        <v>1</v>
      </c>
      <c r="F2186" s="5">
        <v>3.713572066704308</v>
      </c>
      <c r="G2186" s="4">
        <v>3</v>
      </c>
    </row>
    <row r="2187" spans="1:7" x14ac:dyDescent="0.15">
      <c r="A2187" s="4">
        <v>2186</v>
      </c>
      <c r="B2187" s="4">
        <v>0</v>
      </c>
      <c r="D2187" s="5">
        <v>10.388995368317829</v>
      </c>
      <c r="E2187" s="4">
        <v>1</v>
      </c>
      <c r="F2187" s="5">
        <v>2.8332133440562162</v>
      </c>
      <c r="G2187" s="4">
        <v>2</v>
      </c>
    </row>
    <row r="2188" spans="1:7" x14ac:dyDescent="0.15">
      <c r="A2188" s="4">
        <v>2187</v>
      </c>
      <c r="B2188" s="4">
        <v>0</v>
      </c>
      <c r="D2188" s="5">
        <v>10.532096211958502</v>
      </c>
      <c r="E2188" s="4">
        <v>0</v>
      </c>
      <c r="F2188" s="5">
        <v>4.0253516907351496</v>
      </c>
      <c r="G2188" s="4">
        <v>3</v>
      </c>
    </row>
    <row r="2189" spans="1:7" x14ac:dyDescent="0.15">
      <c r="A2189" s="4">
        <v>2188</v>
      </c>
      <c r="B2189" s="4">
        <v>0</v>
      </c>
      <c r="D2189" s="5">
        <v>10.915088464214607</v>
      </c>
      <c r="E2189" s="4">
        <v>1</v>
      </c>
      <c r="F2189" s="5">
        <v>3.4339872044851463</v>
      </c>
      <c r="G2189" s="4">
        <v>3</v>
      </c>
    </row>
    <row r="2190" spans="1:7" x14ac:dyDescent="0.15">
      <c r="A2190" s="4">
        <v>2189</v>
      </c>
      <c r="B2190" s="4">
        <v>0</v>
      </c>
      <c r="D2190" s="5">
        <v>10.915088464214607</v>
      </c>
      <c r="E2190" s="4">
        <v>0</v>
      </c>
      <c r="F2190" s="5">
        <v>3.5835189384561099</v>
      </c>
      <c r="G2190" s="4">
        <v>3</v>
      </c>
    </row>
    <row r="2191" spans="1:7" x14ac:dyDescent="0.15">
      <c r="A2191" s="4">
        <v>2190</v>
      </c>
      <c r="B2191" s="4">
        <v>0</v>
      </c>
      <c r="D2191" s="5">
        <v>11.191341840842766</v>
      </c>
      <c r="E2191" s="4">
        <v>0</v>
      </c>
      <c r="F2191" s="5">
        <v>4.2484952420493594</v>
      </c>
      <c r="G2191" s="4">
        <v>2</v>
      </c>
    </row>
    <row r="2192" spans="1:7" x14ac:dyDescent="0.15">
      <c r="A2192" s="4">
        <v>2191</v>
      </c>
      <c r="B2192" s="4">
        <v>0</v>
      </c>
      <c r="D2192" s="5">
        <v>11.082142548877775</v>
      </c>
      <c r="E2192" s="4">
        <v>0</v>
      </c>
      <c r="F2192" s="5">
        <v>4.0604430105464191</v>
      </c>
      <c r="G2192" s="4">
        <v>2</v>
      </c>
    </row>
    <row r="2193" spans="1:7" x14ac:dyDescent="0.15">
      <c r="A2193" s="4">
        <v>2192</v>
      </c>
      <c r="B2193" s="4">
        <v>3</v>
      </c>
      <c r="D2193" s="5">
        <v>10.388995368317829</v>
      </c>
      <c r="E2193" s="4">
        <v>1</v>
      </c>
      <c r="F2193" s="5">
        <v>4.3040650932041702</v>
      </c>
      <c r="G2193" s="4">
        <v>2</v>
      </c>
    </row>
    <row r="2194" spans="1:7" x14ac:dyDescent="0.15">
      <c r="A2194" s="4">
        <v>2193</v>
      </c>
      <c r="B2194" s="4">
        <v>1</v>
      </c>
      <c r="D2194" s="5">
        <v>11.379394072345706</v>
      </c>
      <c r="E2194" s="4">
        <v>1</v>
      </c>
      <c r="F2194" s="5">
        <v>3.784189633918261</v>
      </c>
      <c r="G2194" s="4">
        <v>3</v>
      </c>
    </row>
    <row r="2195" spans="1:7" x14ac:dyDescent="0.15">
      <c r="A2195" s="4">
        <v>2194</v>
      </c>
      <c r="B2195" s="4">
        <v>2</v>
      </c>
      <c r="D2195" s="5">
        <v>11.379394072345706</v>
      </c>
      <c r="E2195" s="4">
        <v>0</v>
      </c>
      <c r="F2195" s="5">
        <v>3.8501476017100584</v>
      </c>
      <c r="G2195" s="4">
        <v>3</v>
      </c>
    </row>
    <row r="2196" spans="1:7" x14ac:dyDescent="0.15">
      <c r="A2196" s="4">
        <v>2195</v>
      </c>
      <c r="B2196" s="4">
        <v>0</v>
      </c>
      <c r="D2196" s="5">
        <v>10.532096211958502</v>
      </c>
      <c r="E2196" s="4">
        <v>1</v>
      </c>
      <c r="F2196" s="5">
        <v>3.6888794541139363</v>
      </c>
      <c r="G2196" s="4">
        <v>6</v>
      </c>
    </row>
    <row r="2197" spans="1:7" x14ac:dyDescent="0.15">
      <c r="A2197" s="4">
        <v>2196</v>
      </c>
      <c r="B2197" s="4">
        <v>0</v>
      </c>
      <c r="D2197" s="5">
        <v>10.657259354912508</v>
      </c>
      <c r="E2197" s="4">
        <v>1</v>
      </c>
      <c r="F2197" s="5">
        <v>3.784189633918261</v>
      </c>
      <c r="G2197" s="4">
        <v>4</v>
      </c>
    </row>
    <row r="2198" spans="1:7" x14ac:dyDescent="0.15">
      <c r="A2198" s="4">
        <v>2197</v>
      </c>
      <c r="B2198" s="4">
        <v>0</v>
      </c>
      <c r="D2198" s="5">
        <v>10.657259354912508</v>
      </c>
      <c r="E2198" s="4">
        <v>1</v>
      </c>
      <c r="F2198" s="5">
        <v>2.7080502011022101</v>
      </c>
      <c r="G2198" s="4">
        <v>4</v>
      </c>
    </row>
    <row r="2199" spans="1:7" x14ac:dyDescent="0.15">
      <c r="A2199" s="4">
        <v>2198</v>
      </c>
      <c r="B2199" s="4">
        <v>3</v>
      </c>
      <c r="D2199" s="5">
        <v>11.736069016284437</v>
      </c>
      <c r="E2199" s="4">
        <v>0</v>
      </c>
      <c r="F2199" s="5">
        <v>3.970291913552122</v>
      </c>
      <c r="G2199" s="4">
        <v>5</v>
      </c>
    </row>
    <row r="2200" spans="1:7" x14ac:dyDescent="0.15">
      <c r="A2200" s="4">
        <v>2199</v>
      </c>
      <c r="B2200" s="4">
        <v>0</v>
      </c>
      <c r="D2200" s="5">
        <v>10.768484990022733</v>
      </c>
      <c r="E2200" s="4">
        <v>0</v>
      </c>
      <c r="F2200" s="5">
        <v>2.7725887222397811</v>
      </c>
      <c r="G2200" s="4">
        <v>3</v>
      </c>
    </row>
    <row r="2201" spans="1:7" x14ac:dyDescent="0.15">
      <c r="A2201" s="4">
        <v>2200</v>
      </c>
      <c r="B2201" s="4">
        <v>1</v>
      </c>
      <c r="D2201" s="5">
        <v>10.768484990022733</v>
      </c>
      <c r="E2201" s="4">
        <v>0</v>
      </c>
      <c r="F2201" s="5">
        <v>4.2626798770413155</v>
      </c>
      <c r="G2201" s="4">
        <v>2</v>
      </c>
    </row>
    <row r="2202" spans="1:7" x14ac:dyDescent="0.15">
      <c r="A2202" s="4">
        <v>2201</v>
      </c>
      <c r="B2202" s="4">
        <v>0</v>
      </c>
      <c r="D2202" s="5">
        <v>10.915088464214607</v>
      </c>
      <c r="E2202" s="4">
        <v>1</v>
      </c>
      <c r="F2202" s="5">
        <v>4.0430512678345503</v>
      </c>
      <c r="G2202" s="4">
        <v>3</v>
      </c>
    </row>
    <row r="2203" spans="1:7" x14ac:dyDescent="0.15">
      <c r="A2203" s="4">
        <v>2202</v>
      </c>
      <c r="B2203" s="4">
        <v>0</v>
      </c>
      <c r="D2203" s="5">
        <v>10.915088464214607</v>
      </c>
      <c r="E2203" s="4">
        <v>1</v>
      </c>
      <c r="F2203" s="5">
        <v>4.0073331852324712</v>
      </c>
      <c r="G2203" s="4">
        <v>3</v>
      </c>
    </row>
    <row r="2204" spans="1:7" x14ac:dyDescent="0.15">
      <c r="A2204" s="4">
        <v>2203</v>
      </c>
      <c r="B2204" s="4">
        <v>1</v>
      </c>
      <c r="D2204" s="5">
        <v>11.379394072345706</v>
      </c>
      <c r="E2204" s="4">
        <v>1</v>
      </c>
      <c r="F2204" s="5">
        <v>4.0073331852324712</v>
      </c>
      <c r="G2204" s="4">
        <v>2</v>
      </c>
    </row>
    <row r="2205" spans="1:7" x14ac:dyDescent="0.15">
      <c r="A2205" s="4">
        <v>2204</v>
      </c>
      <c r="B2205" s="4">
        <v>14</v>
      </c>
      <c r="D2205" s="5">
        <v>10.532096211958502</v>
      </c>
      <c r="E2205" s="4">
        <v>1</v>
      </c>
      <c r="F2205" s="5">
        <v>3.6375861597263857</v>
      </c>
      <c r="G2205" s="4">
        <v>4</v>
      </c>
    </row>
    <row r="2206" spans="1:7" x14ac:dyDescent="0.15">
      <c r="A2206" s="4">
        <v>2205</v>
      </c>
      <c r="B2206" s="4">
        <v>1</v>
      </c>
      <c r="D2206" s="5">
        <v>10.532096211958502</v>
      </c>
      <c r="E2206" s="4">
        <v>1</v>
      </c>
      <c r="F2206" s="5">
        <v>2.6390573296152584</v>
      </c>
      <c r="G2206" s="4">
        <v>4</v>
      </c>
    </row>
    <row r="2207" spans="1:7" x14ac:dyDescent="0.15">
      <c r="A2207" s="4">
        <v>2206</v>
      </c>
      <c r="B2207" s="4">
        <v>1</v>
      </c>
      <c r="D2207" s="5">
        <v>10.532096211958502</v>
      </c>
      <c r="E2207" s="4">
        <v>0</v>
      </c>
      <c r="F2207" s="5">
        <v>3.6888794541139363</v>
      </c>
      <c r="G2207" s="4">
        <v>4</v>
      </c>
    </row>
    <row r="2208" spans="1:7" x14ac:dyDescent="0.15">
      <c r="A2208" s="4">
        <v>2207</v>
      </c>
      <c r="B2208" s="4">
        <v>0</v>
      </c>
      <c r="D2208" s="5">
        <v>10.768484990022733</v>
      </c>
      <c r="E2208" s="4">
        <v>1</v>
      </c>
      <c r="F2208" s="5">
        <v>3.7612001156935624</v>
      </c>
      <c r="G2208" s="4">
        <v>3</v>
      </c>
    </row>
    <row r="2209" spans="1:7" x14ac:dyDescent="0.15">
      <c r="A2209" s="4">
        <v>2208</v>
      </c>
      <c r="B2209" s="4">
        <v>0</v>
      </c>
      <c r="D2209" s="5">
        <v>11.082142548877775</v>
      </c>
      <c r="E2209" s="4">
        <v>1</v>
      </c>
      <c r="F2209" s="5">
        <v>3.8501476017100584</v>
      </c>
      <c r="G2209" s="4">
        <v>2</v>
      </c>
    </row>
    <row r="2210" spans="1:7" x14ac:dyDescent="0.15">
      <c r="A2210" s="4">
        <v>2209</v>
      </c>
      <c r="B2210" s="4">
        <v>0</v>
      </c>
      <c r="D2210" s="5">
        <v>11.736069016284437</v>
      </c>
      <c r="E2210" s="4">
        <v>0</v>
      </c>
      <c r="F2210" s="5">
        <v>3.8501476017100584</v>
      </c>
      <c r="G2210" s="4">
        <v>4</v>
      </c>
    </row>
    <row r="2211" spans="1:7" x14ac:dyDescent="0.15">
      <c r="A2211" s="4">
        <v>2210</v>
      </c>
      <c r="B2211" s="4">
        <v>0</v>
      </c>
      <c r="D2211" s="5">
        <v>11.379394072345706</v>
      </c>
      <c r="E2211" s="4">
        <v>0</v>
      </c>
      <c r="F2211" s="5">
        <v>2.5649493574615367</v>
      </c>
      <c r="G2211" s="4">
        <v>4</v>
      </c>
    </row>
    <row r="2212" spans="1:7" x14ac:dyDescent="0.15">
      <c r="A2212" s="4">
        <v>2211</v>
      </c>
      <c r="B2212" s="4">
        <v>6</v>
      </c>
      <c r="D2212" s="5">
        <v>11.736069016284437</v>
      </c>
      <c r="E2212" s="4">
        <v>1</v>
      </c>
      <c r="F2212" s="5">
        <v>3.9889840465642745</v>
      </c>
      <c r="G2212" s="4">
        <v>2</v>
      </c>
    </row>
    <row r="2213" spans="1:7" x14ac:dyDescent="0.15">
      <c r="A2213" s="4">
        <v>2212</v>
      </c>
      <c r="B2213" s="4">
        <v>0</v>
      </c>
      <c r="D2213" s="5">
        <v>10.768484990022733</v>
      </c>
      <c r="E2213" s="4">
        <v>1</v>
      </c>
      <c r="F2213" s="5">
        <v>3.8286413964890951</v>
      </c>
      <c r="G2213" s="4">
        <v>2</v>
      </c>
    </row>
    <row r="2214" spans="1:7" x14ac:dyDescent="0.15">
      <c r="A2214" s="4">
        <v>2213</v>
      </c>
      <c r="B2214" s="4">
        <v>0</v>
      </c>
      <c r="D2214" s="5">
        <v>12.072541252905651</v>
      </c>
      <c r="E2214" s="4">
        <v>1</v>
      </c>
      <c r="F2214" s="5">
        <v>3.8501476017100584</v>
      </c>
      <c r="G2214" s="4">
        <v>2</v>
      </c>
    </row>
    <row r="2215" spans="1:7" x14ac:dyDescent="0.15">
      <c r="A2215" s="4">
        <v>2214</v>
      </c>
      <c r="B2215" s="4">
        <v>0</v>
      </c>
      <c r="D2215" s="5">
        <v>10.532096211958502</v>
      </c>
      <c r="E2215" s="4">
        <v>1</v>
      </c>
      <c r="F2215" s="5">
        <v>3.7612001156935624</v>
      </c>
      <c r="G2215" s="4">
        <v>4</v>
      </c>
    </row>
    <row r="2216" spans="1:7" x14ac:dyDescent="0.15">
      <c r="A2216" s="4">
        <v>2215</v>
      </c>
      <c r="B2216" s="4">
        <v>0</v>
      </c>
      <c r="D2216" s="5">
        <v>10.915088464214607</v>
      </c>
      <c r="E2216" s="4">
        <v>0</v>
      </c>
      <c r="F2216" s="5">
        <v>3.8918202981106265</v>
      </c>
      <c r="G2216" s="4">
        <v>3</v>
      </c>
    </row>
    <row r="2217" spans="1:7" x14ac:dyDescent="0.15">
      <c r="A2217" s="4">
        <v>2216</v>
      </c>
      <c r="B2217" s="4">
        <v>0</v>
      </c>
      <c r="D2217" s="5">
        <v>10.915088464214607</v>
      </c>
      <c r="E2217" s="4">
        <v>1</v>
      </c>
      <c r="F2217" s="5">
        <v>4.0943445622221004</v>
      </c>
      <c r="G2217" s="4">
        <v>2</v>
      </c>
    </row>
    <row r="2218" spans="1:7" x14ac:dyDescent="0.15">
      <c r="A2218" s="4">
        <v>2217</v>
      </c>
      <c r="B2218" s="4">
        <v>3</v>
      </c>
      <c r="D2218" s="5">
        <v>11.379394072345706</v>
      </c>
      <c r="E2218" s="4">
        <v>1</v>
      </c>
      <c r="F2218" s="5">
        <v>3.4657359027997265</v>
      </c>
      <c r="G2218" s="4">
        <v>2</v>
      </c>
    </row>
    <row r="2219" spans="1:7" x14ac:dyDescent="0.15">
      <c r="A2219" s="4">
        <v>2218</v>
      </c>
      <c r="B2219" s="4">
        <v>0</v>
      </c>
      <c r="D2219" s="5">
        <v>10.388995368317829</v>
      </c>
      <c r="E2219" s="4">
        <v>1</v>
      </c>
      <c r="F2219" s="5">
        <v>3.6375861597263857</v>
      </c>
      <c r="G2219" s="4">
        <v>2</v>
      </c>
    </row>
    <row r="2220" spans="1:7" x14ac:dyDescent="0.15">
      <c r="A2220" s="4">
        <v>2219</v>
      </c>
      <c r="B2220" s="4">
        <v>1</v>
      </c>
      <c r="D2220" s="5">
        <v>10.388995368317829</v>
      </c>
      <c r="E2220" s="4">
        <v>1</v>
      </c>
      <c r="F2220" s="5">
        <v>2.7080502011022101</v>
      </c>
      <c r="G2220" s="4">
        <v>4</v>
      </c>
    </row>
    <row r="2221" spans="1:7" x14ac:dyDescent="0.15">
      <c r="A2221" s="4">
        <v>2220</v>
      </c>
      <c r="B2221" s="4">
        <v>1</v>
      </c>
      <c r="D2221" s="5">
        <v>12.072541252905651</v>
      </c>
      <c r="E2221" s="4">
        <v>1</v>
      </c>
      <c r="F2221" s="5">
        <v>4.0073331852324712</v>
      </c>
      <c r="G2221" s="4">
        <v>3</v>
      </c>
    </row>
    <row r="2222" spans="1:7" x14ac:dyDescent="0.15">
      <c r="A2222" s="4">
        <v>2221</v>
      </c>
      <c r="B2222" s="4">
        <v>0</v>
      </c>
      <c r="D2222" s="5">
        <v>9.3281234076325656</v>
      </c>
      <c r="E2222" s="4">
        <v>0</v>
      </c>
      <c r="F2222" s="5">
        <v>3.2958368660043291</v>
      </c>
      <c r="G2222" s="4">
        <v>1</v>
      </c>
    </row>
    <row r="2223" spans="1:7" x14ac:dyDescent="0.15">
      <c r="A2223" s="4">
        <v>2222</v>
      </c>
      <c r="B2223" s="4">
        <v>1</v>
      </c>
      <c r="D2223" s="5">
        <v>11.379394072345706</v>
      </c>
      <c r="E2223" s="4">
        <v>0</v>
      </c>
      <c r="F2223" s="5">
        <v>3.9889840465642745</v>
      </c>
      <c r="G2223" s="4">
        <v>2</v>
      </c>
    </row>
    <row r="2224" spans="1:7" x14ac:dyDescent="0.15">
      <c r="A2224" s="4">
        <v>2223</v>
      </c>
      <c r="B2224" s="4">
        <v>0</v>
      </c>
      <c r="D2224" s="5">
        <v>11.379394072345706</v>
      </c>
      <c r="E2224" s="4">
        <v>1</v>
      </c>
      <c r="F2224" s="5">
        <v>3.970291913552122</v>
      </c>
      <c r="G2224" s="4">
        <v>2</v>
      </c>
    </row>
    <row r="2225" spans="1:7" x14ac:dyDescent="0.15">
      <c r="A2225" s="4">
        <v>2224</v>
      </c>
      <c r="B2225" s="4">
        <v>0</v>
      </c>
      <c r="D2225" s="5">
        <v>11.082142548877775</v>
      </c>
      <c r="E2225" s="4">
        <v>0</v>
      </c>
      <c r="F2225" s="5">
        <v>4.0604430105464191</v>
      </c>
      <c r="G2225" s="4">
        <v>4</v>
      </c>
    </row>
    <row r="2226" spans="1:7" x14ac:dyDescent="0.15">
      <c r="A2226" s="4">
        <v>2225</v>
      </c>
      <c r="B2226" s="4">
        <v>0</v>
      </c>
      <c r="D2226" s="5">
        <v>11.379394072345706</v>
      </c>
      <c r="E2226" s="4">
        <v>1</v>
      </c>
      <c r="F2226" s="5">
        <v>3.5835189384561099</v>
      </c>
      <c r="G2226" s="4">
        <v>7</v>
      </c>
    </row>
    <row r="2227" spans="1:7" x14ac:dyDescent="0.15">
      <c r="A2227" s="4">
        <v>2226</v>
      </c>
      <c r="B2227" s="4">
        <v>1</v>
      </c>
      <c r="D2227" s="5">
        <v>11.379394072345706</v>
      </c>
      <c r="E2227" s="4">
        <v>1</v>
      </c>
      <c r="F2227" s="5">
        <v>3.3672958299864741</v>
      </c>
      <c r="G2227" s="4">
        <v>2</v>
      </c>
    </row>
    <row r="2228" spans="1:7" x14ac:dyDescent="0.15">
      <c r="A2228" s="4">
        <v>2227</v>
      </c>
      <c r="B2228" s="4">
        <v>0</v>
      </c>
      <c r="D2228" s="5">
        <v>10.768484990022733</v>
      </c>
      <c r="E2228" s="4">
        <v>0</v>
      </c>
      <c r="F2228" s="5">
        <v>4.3567088266895917</v>
      </c>
      <c r="G2228" s="4">
        <v>2</v>
      </c>
    </row>
    <row r="2229" spans="1:7" x14ac:dyDescent="0.15">
      <c r="A2229" s="4">
        <v>2228</v>
      </c>
      <c r="B2229" s="4">
        <v>3</v>
      </c>
      <c r="D2229" s="5">
        <v>11.379394072345706</v>
      </c>
      <c r="E2229" s="4">
        <v>1</v>
      </c>
      <c r="F2229" s="5">
        <v>3.6888794541139363</v>
      </c>
      <c r="G2229" s="4">
        <v>4</v>
      </c>
    </row>
    <row r="2230" spans="1:7" x14ac:dyDescent="0.15">
      <c r="A2230" s="4">
        <v>2229</v>
      </c>
      <c r="B2230" s="4">
        <v>1</v>
      </c>
      <c r="D2230" s="5">
        <v>10.532096211958502</v>
      </c>
      <c r="E2230" s="4">
        <v>1</v>
      </c>
      <c r="F2230" s="5">
        <v>3.912023005428146</v>
      </c>
      <c r="G2230" s="4">
        <v>1</v>
      </c>
    </row>
    <row r="2231" spans="1:7" x14ac:dyDescent="0.15">
      <c r="A2231" s="4">
        <v>2230</v>
      </c>
      <c r="B2231" s="4">
        <v>0</v>
      </c>
      <c r="D2231" s="5">
        <v>11.736069016284437</v>
      </c>
      <c r="E2231" s="4">
        <v>0</v>
      </c>
      <c r="F2231" s="5">
        <v>4.0073331852324712</v>
      </c>
      <c r="G2231" s="4">
        <v>4</v>
      </c>
    </row>
    <row r="2232" spans="1:7" x14ac:dyDescent="0.15">
      <c r="A2232" s="4">
        <v>2231</v>
      </c>
      <c r="B2232" s="4">
        <v>3</v>
      </c>
      <c r="D2232" s="5">
        <v>11.736069016284437</v>
      </c>
      <c r="E2232" s="4">
        <v>0</v>
      </c>
      <c r="F2232" s="5">
        <v>3.6635616461296463</v>
      </c>
      <c r="G2232" s="4">
        <v>4</v>
      </c>
    </row>
    <row r="2233" spans="1:7" x14ac:dyDescent="0.15">
      <c r="A2233" s="4">
        <v>2232</v>
      </c>
      <c r="B2233" s="4">
        <v>0</v>
      </c>
      <c r="D2233" s="5">
        <v>11.379394072345706</v>
      </c>
      <c r="E2233" s="4">
        <v>1</v>
      </c>
      <c r="F2233" s="5">
        <v>3.8918202981106265</v>
      </c>
      <c r="G2233" s="4">
        <v>2</v>
      </c>
    </row>
    <row r="2234" spans="1:7" x14ac:dyDescent="0.15">
      <c r="A2234" s="4">
        <v>2233</v>
      </c>
      <c r="B2234" s="4">
        <v>0</v>
      </c>
      <c r="D2234" s="5">
        <v>11.379394072345706</v>
      </c>
      <c r="E2234" s="4">
        <v>1</v>
      </c>
      <c r="F2234" s="5">
        <v>3.6635616461296463</v>
      </c>
      <c r="G2234" s="4">
        <v>4</v>
      </c>
    </row>
    <row r="2235" spans="1:7" x14ac:dyDescent="0.15">
      <c r="A2235" s="4">
        <v>2234</v>
      </c>
      <c r="B2235" s="4">
        <v>0</v>
      </c>
      <c r="D2235" s="5">
        <v>10.657259354912508</v>
      </c>
      <c r="E2235" s="4">
        <v>1</v>
      </c>
      <c r="F2235" s="5">
        <v>4.0604430105464191</v>
      </c>
      <c r="G2235" s="4">
        <v>2</v>
      </c>
    </row>
    <row r="2236" spans="1:7" x14ac:dyDescent="0.15">
      <c r="A2236" s="4">
        <v>2235</v>
      </c>
      <c r="B2236" s="4">
        <v>1</v>
      </c>
      <c r="D2236" s="5">
        <v>11.082142548877775</v>
      </c>
      <c r="E2236" s="4">
        <v>1</v>
      </c>
      <c r="F2236" s="5">
        <v>3.5263605246161616</v>
      </c>
      <c r="G2236" s="4">
        <v>4</v>
      </c>
    </row>
    <row r="2237" spans="1:7" x14ac:dyDescent="0.15">
      <c r="A2237" s="4">
        <v>2236</v>
      </c>
      <c r="B2237" s="4">
        <v>0</v>
      </c>
      <c r="D2237" s="5">
        <v>9.0768089793516609</v>
      </c>
      <c r="E2237" s="4">
        <v>1</v>
      </c>
      <c r="F2237" s="5">
        <v>3.1780538303479458</v>
      </c>
      <c r="G2237" s="4">
        <v>3</v>
      </c>
    </row>
    <row r="2238" spans="1:7" x14ac:dyDescent="0.15">
      <c r="A2238" s="4">
        <v>2237</v>
      </c>
      <c r="B2238" s="4">
        <v>0</v>
      </c>
      <c r="D2238" s="5">
        <v>11.379394072345706</v>
      </c>
      <c r="E2238" s="4">
        <v>1</v>
      </c>
      <c r="F2238" s="5">
        <v>4.0604430105464191</v>
      </c>
      <c r="G2238" s="4">
        <v>2</v>
      </c>
    </row>
    <row r="2239" spans="1:7" x14ac:dyDescent="0.15">
      <c r="A2239" s="4">
        <v>2238</v>
      </c>
      <c r="B2239" s="4">
        <v>0</v>
      </c>
      <c r="D2239" s="5">
        <v>10.915088464214607</v>
      </c>
      <c r="E2239" s="4">
        <v>1</v>
      </c>
      <c r="F2239" s="5">
        <v>3.6635616461296463</v>
      </c>
      <c r="G2239" s="4">
        <v>4</v>
      </c>
    </row>
    <row r="2240" spans="1:7" x14ac:dyDescent="0.15">
      <c r="A2240" s="4">
        <v>2239</v>
      </c>
      <c r="B2240" s="4">
        <v>1</v>
      </c>
      <c r="D2240" s="5">
        <v>8.9226582995244019</v>
      </c>
      <c r="E2240" s="4">
        <v>0</v>
      </c>
      <c r="F2240" s="5">
        <v>3.1354942159291497</v>
      </c>
      <c r="G2240" s="4">
        <v>1</v>
      </c>
    </row>
    <row r="2241" spans="1:7" x14ac:dyDescent="0.15">
      <c r="A2241" s="4">
        <v>2240</v>
      </c>
      <c r="B2241" s="4">
        <v>0</v>
      </c>
      <c r="D2241" s="5">
        <v>10.221941283654663</v>
      </c>
      <c r="E2241" s="4">
        <v>0</v>
      </c>
      <c r="F2241" s="5">
        <v>2.7080502011022101</v>
      </c>
      <c r="G2241" s="4">
        <v>2</v>
      </c>
    </row>
    <row r="2242" spans="1:7" x14ac:dyDescent="0.15">
      <c r="A2242" s="4">
        <v>2241</v>
      </c>
      <c r="B2242" s="4">
        <v>0</v>
      </c>
      <c r="D2242" s="5">
        <v>11.379394072345706</v>
      </c>
      <c r="E2242" s="4">
        <v>1</v>
      </c>
      <c r="F2242" s="5">
        <v>4.0073331852324712</v>
      </c>
      <c r="G2242" s="4">
        <v>1</v>
      </c>
    </row>
    <row r="2243" spans="1:7" x14ac:dyDescent="0.15">
      <c r="A2243" s="4">
        <v>2242</v>
      </c>
      <c r="B2243" s="4">
        <v>0</v>
      </c>
      <c r="D2243" s="5">
        <v>11.191341840842766</v>
      </c>
      <c r="E2243" s="4">
        <v>0</v>
      </c>
      <c r="F2243" s="5">
        <v>3.970291913552122</v>
      </c>
      <c r="G2243" s="4">
        <v>4</v>
      </c>
    </row>
    <row r="2244" spans="1:7" x14ac:dyDescent="0.15">
      <c r="A2244" s="4">
        <v>2243</v>
      </c>
      <c r="B2244" s="4">
        <v>0</v>
      </c>
      <c r="D2244" s="5">
        <v>11.736069016284437</v>
      </c>
      <c r="E2244" s="4">
        <v>1</v>
      </c>
      <c r="F2244" s="5">
        <v>3.8918202981106265</v>
      </c>
      <c r="G2244" s="4">
        <v>2</v>
      </c>
    </row>
    <row r="2245" spans="1:7" x14ac:dyDescent="0.15">
      <c r="A2245" s="4">
        <v>2244</v>
      </c>
      <c r="B2245" s="4">
        <v>1</v>
      </c>
      <c r="D2245" s="5">
        <v>11.379394072345706</v>
      </c>
      <c r="E2245" s="4">
        <v>1</v>
      </c>
      <c r="F2245" s="5">
        <v>3.4965075614664802</v>
      </c>
      <c r="G2245" s="4">
        <v>5</v>
      </c>
    </row>
    <row r="2246" spans="1:7" x14ac:dyDescent="0.15">
      <c r="A2246" s="4">
        <v>2245</v>
      </c>
      <c r="B2246" s="4">
        <v>0</v>
      </c>
      <c r="D2246" s="5">
        <v>11.736069016284437</v>
      </c>
      <c r="E2246" s="4">
        <v>1</v>
      </c>
      <c r="F2246" s="5">
        <v>3.912023005428146</v>
      </c>
      <c r="G2246" s="4">
        <v>2</v>
      </c>
    </row>
    <row r="2247" spans="1:7" x14ac:dyDescent="0.15">
      <c r="A2247" s="4">
        <v>2246</v>
      </c>
      <c r="B2247" s="4">
        <v>1</v>
      </c>
      <c r="D2247" s="5">
        <v>11.379394072345706</v>
      </c>
      <c r="E2247" s="4">
        <v>0</v>
      </c>
      <c r="F2247" s="5">
        <v>2.9957322735539909</v>
      </c>
      <c r="G2247" s="4">
        <v>5</v>
      </c>
    </row>
    <row r="2248" spans="1:7" x14ac:dyDescent="0.15">
      <c r="A2248" s="4">
        <v>2247</v>
      </c>
      <c r="B2248" s="4">
        <v>0</v>
      </c>
      <c r="D2248" s="5">
        <v>10.915088464214607</v>
      </c>
      <c r="E2248" s="4">
        <v>0</v>
      </c>
      <c r="F2248" s="5">
        <v>3.2958368660043291</v>
      </c>
      <c r="G2248" s="4">
        <v>2</v>
      </c>
    </row>
    <row r="2249" spans="1:7" x14ac:dyDescent="0.15">
      <c r="A2249" s="4">
        <v>2248</v>
      </c>
      <c r="B2249" s="4">
        <v>0</v>
      </c>
      <c r="D2249" s="5">
        <v>11.379394072345706</v>
      </c>
      <c r="E2249" s="4">
        <v>0</v>
      </c>
      <c r="F2249" s="5">
        <v>4.290459441148391</v>
      </c>
      <c r="G2249" s="4">
        <v>2</v>
      </c>
    </row>
    <row r="2250" spans="1:7" x14ac:dyDescent="0.15">
      <c r="A2250" s="4">
        <v>2249</v>
      </c>
      <c r="B2250" s="4">
        <v>0</v>
      </c>
      <c r="D2250" s="5">
        <v>11.191341840842766</v>
      </c>
      <c r="E2250" s="4">
        <v>1</v>
      </c>
      <c r="F2250" s="5">
        <v>3.5835189384561099</v>
      </c>
      <c r="G2250" s="4">
        <v>5</v>
      </c>
    </row>
    <row r="2251" spans="1:7" x14ac:dyDescent="0.15">
      <c r="A2251" s="4">
        <v>2250</v>
      </c>
      <c r="B2251" s="4">
        <v>6</v>
      </c>
      <c r="D2251" s="5">
        <v>11.082142548877775</v>
      </c>
      <c r="E2251" s="4">
        <v>0</v>
      </c>
      <c r="F2251" s="5">
        <v>3.970291913552122</v>
      </c>
      <c r="G2251" s="4">
        <v>4</v>
      </c>
    </row>
    <row r="2252" spans="1:7" x14ac:dyDescent="0.15">
      <c r="A2252" s="4">
        <v>2251</v>
      </c>
      <c r="B2252" s="4">
        <v>0</v>
      </c>
      <c r="D2252" s="5">
        <v>10.915088464214607</v>
      </c>
      <c r="E2252" s="4">
        <v>1</v>
      </c>
      <c r="F2252" s="5">
        <v>4.2484952420493594</v>
      </c>
      <c r="G2252" s="4">
        <v>2</v>
      </c>
    </row>
    <row r="2253" spans="1:7" x14ac:dyDescent="0.15">
      <c r="A2253" s="4">
        <v>2252</v>
      </c>
      <c r="B2253" s="4">
        <v>0</v>
      </c>
      <c r="D2253" s="5">
        <v>10.915088464214607</v>
      </c>
      <c r="E2253" s="4">
        <v>0</v>
      </c>
      <c r="F2253" s="5">
        <v>4.2766661190160553</v>
      </c>
      <c r="G2253" s="4">
        <v>2</v>
      </c>
    </row>
    <row r="2254" spans="1:7" x14ac:dyDescent="0.15">
      <c r="A2254" s="4">
        <v>2253</v>
      </c>
      <c r="B2254" s="4">
        <v>5</v>
      </c>
      <c r="D2254" s="5">
        <v>10.657259354912508</v>
      </c>
      <c r="E2254" s="4">
        <v>1</v>
      </c>
      <c r="F2254" s="5">
        <v>3.784189633918261</v>
      </c>
      <c r="G2254" s="4">
        <v>3</v>
      </c>
    </row>
    <row r="2255" spans="1:7" x14ac:dyDescent="0.15">
      <c r="A2255" s="4">
        <v>2254</v>
      </c>
      <c r="B2255" s="4">
        <v>0</v>
      </c>
      <c r="D2255" s="5">
        <v>11.736069016284437</v>
      </c>
      <c r="E2255" s="4">
        <v>0</v>
      </c>
      <c r="F2255" s="5">
        <v>3.8286413964890951</v>
      </c>
      <c r="G2255" s="4">
        <v>4</v>
      </c>
    </row>
    <row r="2256" spans="1:7" x14ac:dyDescent="0.15">
      <c r="A2256" s="4">
        <v>2255</v>
      </c>
      <c r="B2256" s="4">
        <v>0</v>
      </c>
      <c r="D2256" s="5">
        <v>11.379394072345706</v>
      </c>
      <c r="E2256" s="4">
        <v>0</v>
      </c>
      <c r="F2256" s="5">
        <v>3.9512437185814275</v>
      </c>
      <c r="G2256" s="4">
        <v>3</v>
      </c>
    </row>
    <row r="2257" spans="1:7" x14ac:dyDescent="0.15">
      <c r="A2257" s="4">
        <v>2256</v>
      </c>
      <c r="B2257" s="4">
        <v>1</v>
      </c>
      <c r="D2257" s="5">
        <v>11.736069016284437</v>
      </c>
      <c r="E2257" s="4">
        <v>1</v>
      </c>
      <c r="F2257" s="5">
        <v>3.2958368660043291</v>
      </c>
      <c r="G2257" s="4">
        <v>2</v>
      </c>
    </row>
    <row r="2258" spans="1:7" x14ac:dyDescent="0.15">
      <c r="A2258" s="4">
        <v>2257</v>
      </c>
      <c r="B2258" s="4">
        <v>3</v>
      </c>
      <c r="D2258" s="5">
        <v>10.388995368317829</v>
      </c>
      <c r="E2258" s="4">
        <v>1</v>
      </c>
      <c r="F2258" s="5">
        <v>4.2484952420493594</v>
      </c>
      <c r="G2258" s="4">
        <v>3</v>
      </c>
    </row>
    <row r="2259" spans="1:7" x14ac:dyDescent="0.15">
      <c r="A2259" s="4">
        <v>2258</v>
      </c>
      <c r="B2259" s="4">
        <v>0</v>
      </c>
      <c r="D2259" s="5">
        <v>11.379394072345706</v>
      </c>
      <c r="E2259" s="4">
        <v>0</v>
      </c>
      <c r="F2259" s="5">
        <v>3.912023005428146</v>
      </c>
      <c r="G2259" s="4">
        <v>2</v>
      </c>
    </row>
    <row r="2260" spans="1:7" x14ac:dyDescent="0.15">
      <c r="A2260" s="4">
        <v>2259</v>
      </c>
      <c r="B2260" s="4">
        <v>0</v>
      </c>
      <c r="D2260" s="5">
        <v>11.191341840842766</v>
      </c>
      <c r="E2260" s="4">
        <v>1</v>
      </c>
      <c r="F2260" s="5">
        <v>2.7080502011022101</v>
      </c>
      <c r="G2260" s="4">
        <v>4</v>
      </c>
    </row>
    <row r="2261" spans="1:7" x14ac:dyDescent="0.15">
      <c r="A2261" s="4">
        <v>2260</v>
      </c>
      <c r="B2261" s="4">
        <v>0</v>
      </c>
      <c r="D2261" s="5">
        <v>11.082142548877775</v>
      </c>
      <c r="E2261" s="4">
        <v>0</v>
      </c>
      <c r="F2261" s="5">
        <v>4.1431347263915326</v>
      </c>
      <c r="G2261" s="4">
        <v>2</v>
      </c>
    </row>
    <row r="2262" spans="1:7" x14ac:dyDescent="0.15">
      <c r="A2262" s="4">
        <v>2261</v>
      </c>
      <c r="B2262" s="4">
        <v>0</v>
      </c>
      <c r="D2262" s="5">
        <v>10.657259354912508</v>
      </c>
      <c r="E2262" s="4">
        <v>0</v>
      </c>
      <c r="F2262" s="5">
        <v>3.8286413964890951</v>
      </c>
      <c r="G2262" s="4">
        <v>3</v>
      </c>
    </row>
    <row r="2263" spans="1:7" x14ac:dyDescent="0.15">
      <c r="A2263" s="4">
        <v>2262</v>
      </c>
      <c r="B2263" s="4">
        <v>2</v>
      </c>
      <c r="D2263" s="5">
        <v>11.736069016284437</v>
      </c>
      <c r="E2263" s="4">
        <v>1</v>
      </c>
      <c r="F2263" s="5">
        <v>3.713572066704308</v>
      </c>
      <c r="G2263" s="4">
        <v>4</v>
      </c>
    </row>
    <row r="2264" spans="1:7" x14ac:dyDescent="0.15">
      <c r="A2264" s="4">
        <v>2263</v>
      </c>
      <c r="B2264" s="4">
        <v>1</v>
      </c>
      <c r="D2264" s="5">
        <v>11.191341840842766</v>
      </c>
      <c r="E2264" s="4">
        <v>1</v>
      </c>
      <c r="F2264" s="5">
        <v>3.713572066704308</v>
      </c>
      <c r="G2264" s="4">
        <v>1</v>
      </c>
    </row>
    <row r="2265" spans="1:7" x14ac:dyDescent="0.15">
      <c r="A2265" s="4">
        <v>2264</v>
      </c>
      <c r="B2265" s="4">
        <v>0</v>
      </c>
      <c r="D2265" s="5">
        <v>12.072541252905651</v>
      </c>
      <c r="E2265" s="4">
        <v>1</v>
      </c>
      <c r="F2265" s="5">
        <v>4.1743872698956368</v>
      </c>
      <c r="G2265" s="4">
        <v>2</v>
      </c>
    </row>
    <row r="2266" spans="1:7" x14ac:dyDescent="0.15">
      <c r="A2266" s="4">
        <v>2265</v>
      </c>
      <c r="B2266" s="4">
        <v>0</v>
      </c>
      <c r="D2266" s="5">
        <v>11.736069016284437</v>
      </c>
      <c r="E2266" s="4">
        <v>1</v>
      </c>
      <c r="F2266" s="5">
        <v>3.9512437185814275</v>
      </c>
      <c r="G2266" s="4">
        <v>2</v>
      </c>
    </row>
    <row r="2267" spans="1:7" x14ac:dyDescent="0.15">
      <c r="A2267" s="4">
        <v>2266</v>
      </c>
      <c r="B2267" s="4">
        <v>0</v>
      </c>
      <c r="D2267" s="5">
        <v>11.082142548877775</v>
      </c>
      <c r="E2267" s="4">
        <v>1</v>
      </c>
      <c r="F2267" s="5">
        <v>3.9889840465642745</v>
      </c>
      <c r="G2267" s="4">
        <v>2</v>
      </c>
    </row>
    <row r="2268" spans="1:7" x14ac:dyDescent="0.15">
      <c r="A2268" s="4">
        <v>2267</v>
      </c>
      <c r="B2268" s="4">
        <v>0</v>
      </c>
      <c r="D2268" s="5">
        <v>11.379394072345706</v>
      </c>
      <c r="E2268" s="4">
        <v>1</v>
      </c>
      <c r="F2268" s="5">
        <v>3.713572066704308</v>
      </c>
      <c r="G2268" s="4">
        <v>2</v>
      </c>
    </row>
    <row r="2269" spans="1:7" x14ac:dyDescent="0.15">
      <c r="A2269" s="4">
        <v>2268</v>
      </c>
      <c r="B2269" s="4">
        <v>2</v>
      </c>
      <c r="D2269" s="5">
        <v>11.379394072345706</v>
      </c>
      <c r="E2269" s="4">
        <v>1</v>
      </c>
      <c r="F2269" s="5">
        <v>3.5835189384561099</v>
      </c>
      <c r="G2269" s="4">
        <v>3</v>
      </c>
    </row>
    <row r="2270" spans="1:7" x14ac:dyDescent="0.15">
      <c r="A2270" s="4">
        <v>2269</v>
      </c>
      <c r="B2270" s="4">
        <v>0</v>
      </c>
      <c r="D2270" s="5">
        <v>11.736069016284437</v>
      </c>
      <c r="E2270" s="4">
        <v>0</v>
      </c>
      <c r="F2270" s="5">
        <v>4.0604430105464191</v>
      </c>
      <c r="G2270" s="4">
        <v>2</v>
      </c>
    </row>
    <row r="2271" spans="1:7" x14ac:dyDescent="0.15">
      <c r="A2271" s="4">
        <v>2270</v>
      </c>
      <c r="B2271" s="4">
        <v>11</v>
      </c>
      <c r="D2271" s="5">
        <v>11.379394072345706</v>
      </c>
      <c r="E2271" s="4">
        <v>1</v>
      </c>
      <c r="F2271" s="5">
        <v>4.1431347263915326</v>
      </c>
      <c r="G2271" s="4">
        <v>2</v>
      </c>
    </row>
    <row r="2272" spans="1:7" x14ac:dyDescent="0.15">
      <c r="A2272" s="4">
        <v>2271</v>
      </c>
      <c r="B2272" s="4">
        <v>0</v>
      </c>
      <c r="D2272" s="5">
        <v>11.379394072345706</v>
      </c>
      <c r="E2272" s="4">
        <v>0</v>
      </c>
      <c r="F2272" s="5">
        <v>3.8066624897703196</v>
      </c>
      <c r="G2272" s="4">
        <v>3</v>
      </c>
    </row>
    <row r="2273" spans="1:7" x14ac:dyDescent="0.15">
      <c r="A2273" s="4">
        <v>2272</v>
      </c>
      <c r="B2273" s="4">
        <v>0</v>
      </c>
      <c r="D2273" s="5">
        <v>11.379394072345706</v>
      </c>
      <c r="E2273" s="4">
        <v>1</v>
      </c>
      <c r="F2273" s="5">
        <v>4.0775374439057197</v>
      </c>
      <c r="G2273" s="4">
        <v>2</v>
      </c>
    </row>
    <row r="2274" spans="1:7" x14ac:dyDescent="0.15">
      <c r="A2274" s="4">
        <v>2273</v>
      </c>
      <c r="B2274" s="4">
        <v>0</v>
      </c>
      <c r="D2274" s="5">
        <v>10.915088464214607</v>
      </c>
      <c r="E2274" s="4">
        <v>0</v>
      </c>
      <c r="F2274" s="5">
        <v>3.8286413964890951</v>
      </c>
      <c r="G2274" s="4">
        <v>3</v>
      </c>
    </row>
    <row r="2275" spans="1:7" x14ac:dyDescent="0.15">
      <c r="A2275" s="4">
        <v>2274</v>
      </c>
      <c r="B2275" s="4">
        <v>0</v>
      </c>
      <c r="D2275" s="5">
        <v>10.657259354912508</v>
      </c>
      <c r="E2275" s="4">
        <v>1</v>
      </c>
      <c r="F2275" s="5">
        <v>3.6888794541139363</v>
      </c>
      <c r="G2275" s="4">
        <v>8</v>
      </c>
    </row>
    <row r="2276" spans="1:7" x14ac:dyDescent="0.15">
      <c r="A2276" s="4">
        <v>2275</v>
      </c>
      <c r="B2276" s="4">
        <v>0</v>
      </c>
      <c r="D2276" s="5">
        <v>11.379394072345706</v>
      </c>
      <c r="E2276" s="4">
        <v>1</v>
      </c>
      <c r="F2276" s="5">
        <v>3.5835189384561099</v>
      </c>
      <c r="G2276" s="4">
        <v>3</v>
      </c>
    </row>
    <row r="2277" spans="1:7" x14ac:dyDescent="0.15">
      <c r="A2277" s="4">
        <v>2276</v>
      </c>
      <c r="B2277" s="4">
        <v>0</v>
      </c>
      <c r="D2277" s="5">
        <v>11.379394072345706</v>
      </c>
      <c r="E2277" s="4">
        <v>0</v>
      </c>
      <c r="F2277" s="5">
        <v>3.7376696182833684</v>
      </c>
      <c r="G2277" s="4">
        <v>3</v>
      </c>
    </row>
    <row r="2278" spans="1:7" x14ac:dyDescent="0.15">
      <c r="A2278" s="4">
        <v>2277</v>
      </c>
      <c r="B2278" s="4">
        <v>0</v>
      </c>
      <c r="D2278" s="5">
        <v>8.9226582995244019</v>
      </c>
      <c r="E2278" s="4">
        <v>1</v>
      </c>
      <c r="F2278" s="5">
        <v>3.9889840465642745</v>
      </c>
      <c r="G2278" s="4">
        <v>1</v>
      </c>
    </row>
    <row r="2279" spans="1:7" x14ac:dyDescent="0.15">
      <c r="A2279" s="4">
        <v>2278</v>
      </c>
      <c r="B2279" s="4">
        <v>0</v>
      </c>
      <c r="D2279" s="5">
        <v>11.736069016284437</v>
      </c>
      <c r="E2279" s="4">
        <v>0</v>
      </c>
      <c r="F2279" s="5">
        <v>3.784189633918261</v>
      </c>
      <c r="G2279" s="4">
        <v>3</v>
      </c>
    </row>
    <row r="2280" spans="1:7" x14ac:dyDescent="0.15">
      <c r="A2280" s="4">
        <v>2279</v>
      </c>
      <c r="B2280" s="4">
        <v>0</v>
      </c>
      <c r="D2280" s="5">
        <v>10.657259354912508</v>
      </c>
      <c r="E2280" s="4">
        <v>0</v>
      </c>
      <c r="F2280" s="5">
        <v>3.2958368660043291</v>
      </c>
      <c r="G2280" s="4">
        <v>1</v>
      </c>
    </row>
    <row r="2281" spans="1:7" x14ac:dyDescent="0.15">
      <c r="A2281" s="4">
        <v>2280</v>
      </c>
      <c r="B2281" s="4">
        <v>3</v>
      </c>
      <c r="D2281" s="5">
        <v>11.191341840842766</v>
      </c>
      <c r="E2281" s="4">
        <v>0</v>
      </c>
      <c r="F2281" s="5">
        <v>3.8286413964890951</v>
      </c>
      <c r="G2281" s="4">
        <v>3</v>
      </c>
    </row>
    <row r="2282" spans="1:7" x14ac:dyDescent="0.15">
      <c r="A2282" s="4">
        <v>2281</v>
      </c>
      <c r="B2282" s="4">
        <v>0</v>
      </c>
      <c r="D2282" s="5">
        <v>11.191341840842766</v>
      </c>
      <c r="E2282" s="4">
        <v>1</v>
      </c>
      <c r="F2282" s="5">
        <v>3.9318256327243257</v>
      </c>
      <c r="G2282" s="4">
        <v>2</v>
      </c>
    </row>
    <row r="2283" spans="1:7" x14ac:dyDescent="0.15">
      <c r="A2283" s="4">
        <v>2282</v>
      </c>
      <c r="B2283" s="4">
        <v>1</v>
      </c>
      <c r="D2283" s="5">
        <v>10.915088464214607</v>
      </c>
      <c r="E2283" s="4">
        <v>1</v>
      </c>
      <c r="F2283" s="5">
        <v>3.5553480614894135</v>
      </c>
      <c r="G2283" s="4">
        <v>3</v>
      </c>
    </row>
    <row r="2284" spans="1:7" x14ac:dyDescent="0.15">
      <c r="A2284" s="4">
        <v>2283</v>
      </c>
      <c r="B2284" s="4">
        <v>9</v>
      </c>
      <c r="D2284" s="5">
        <v>11.379394072345706</v>
      </c>
      <c r="E2284" s="4">
        <v>0</v>
      </c>
      <c r="F2284" s="5">
        <v>4.2046926193909657</v>
      </c>
      <c r="G2284" s="4">
        <v>2</v>
      </c>
    </row>
    <row r="2285" spans="1:7" x14ac:dyDescent="0.15">
      <c r="A2285" s="4">
        <v>2284</v>
      </c>
      <c r="B2285" s="4">
        <v>0</v>
      </c>
      <c r="D2285" s="5">
        <v>10.657259354912508</v>
      </c>
      <c r="E2285" s="4">
        <v>1</v>
      </c>
      <c r="F2285" s="5">
        <v>3.6375861597263857</v>
      </c>
      <c r="G2285" s="4">
        <v>3</v>
      </c>
    </row>
    <row r="2286" spans="1:7" x14ac:dyDescent="0.15">
      <c r="A2286" s="4">
        <v>2285</v>
      </c>
      <c r="B2286" s="4">
        <v>1</v>
      </c>
      <c r="D2286" s="5">
        <v>11.379394072345706</v>
      </c>
      <c r="E2286" s="4">
        <v>1</v>
      </c>
      <c r="F2286" s="5">
        <v>3.713572066704308</v>
      </c>
      <c r="G2286" s="4">
        <v>5</v>
      </c>
    </row>
    <row r="2287" spans="1:7" x14ac:dyDescent="0.15">
      <c r="A2287" s="4">
        <v>2286</v>
      </c>
      <c r="B2287" s="4">
        <v>0</v>
      </c>
      <c r="D2287" s="5">
        <v>11.379394072345706</v>
      </c>
      <c r="E2287" s="4">
        <v>1</v>
      </c>
      <c r="F2287" s="5">
        <v>2.6390573296152584</v>
      </c>
      <c r="G2287" s="4">
        <v>5</v>
      </c>
    </row>
    <row r="2288" spans="1:7" x14ac:dyDescent="0.15">
      <c r="A2288" s="4">
        <v>2287</v>
      </c>
      <c r="B2288" s="4">
        <v>2</v>
      </c>
      <c r="D2288" s="5">
        <v>10.915088464214607</v>
      </c>
      <c r="E2288" s="4">
        <v>1</v>
      </c>
      <c r="F2288" s="5">
        <v>3.8712010109078911</v>
      </c>
      <c r="G2288" s="4">
        <v>5</v>
      </c>
    </row>
    <row r="2289" spans="1:7" x14ac:dyDescent="0.15">
      <c r="A2289" s="4">
        <v>2288</v>
      </c>
      <c r="B2289" s="4">
        <v>1</v>
      </c>
      <c r="D2289" s="5">
        <v>10.915088464214607</v>
      </c>
      <c r="E2289" s="4">
        <v>1</v>
      </c>
      <c r="F2289" s="5">
        <v>2.8332133440562162</v>
      </c>
      <c r="G2289" s="4">
        <v>5</v>
      </c>
    </row>
    <row r="2290" spans="1:7" x14ac:dyDescent="0.15">
      <c r="A2290" s="4">
        <v>2289</v>
      </c>
      <c r="B2290" s="4">
        <v>2</v>
      </c>
      <c r="D2290" s="5">
        <v>9.7699561599116063</v>
      </c>
      <c r="E2290" s="4">
        <v>1</v>
      </c>
      <c r="F2290" s="5">
        <v>3.2958368660043291</v>
      </c>
      <c r="G2290" s="4">
        <v>1</v>
      </c>
    </row>
    <row r="2291" spans="1:7" x14ac:dyDescent="0.15">
      <c r="A2291" s="4">
        <v>2290</v>
      </c>
      <c r="B2291" s="4">
        <v>0</v>
      </c>
      <c r="D2291" s="5">
        <v>11.379394072345706</v>
      </c>
      <c r="E2291" s="4">
        <v>1</v>
      </c>
      <c r="F2291" s="5">
        <v>3.7376696182833684</v>
      </c>
      <c r="G2291" s="4">
        <v>6</v>
      </c>
    </row>
    <row r="2292" spans="1:7" x14ac:dyDescent="0.15">
      <c r="A2292" s="4">
        <v>2291</v>
      </c>
      <c r="B2292" s="4">
        <v>0</v>
      </c>
      <c r="D2292" s="5">
        <v>11.379394072345706</v>
      </c>
      <c r="E2292" s="4">
        <v>1</v>
      </c>
      <c r="F2292" s="5">
        <v>3.8712010109078911</v>
      </c>
      <c r="G2292" s="4">
        <v>2</v>
      </c>
    </row>
    <row r="2293" spans="1:7" x14ac:dyDescent="0.15">
      <c r="A2293" s="4">
        <v>2292</v>
      </c>
      <c r="B2293" s="4">
        <v>9</v>
      </c>
      <c r="D2293" s="5">
        <v>11.736069016284437</v>
      </c>
      <c r="E2293" s="4">
        <v>1</v>
      </c>
      <c r="F2293" s="5">
        <v>3.6109179126442243</v>
      </c>
      <c r="G2293" s="4">
        <v>4</v>
      </c>
    </row>
    <row r="2294" spans="1:7" x14ac:dyDescent="0.15">
      <c r="A2294" s="4">
        <v>2293</v>
      </c>
      <c r="B2294" s="4">
        <v>0</v>
      </c>
      <c r="D2294" s="5">
        <v>10.915088464214607</v>
      </c>
      <c r="E2294" s="4">
        <v>1</v>
      </c>
      <c r="F2294" s="5">
        <v>4.0073331852324712</v>
      </c>
      <c r="G2294" s="4">
        <v>2</v>
      </c>
    </row>
    <row r="2295" spans="1:7" x14ac:dyDescent="0.15">
      <c r="A2295" s="4">
        <v>2294</v>
      </c>
      <c r="B2295" s="4">
        <v>0</v>
      </c>
      <c r="D2295" s="5">
        <v>10.915088464214607</v>
      </c>
      <c r="E2295" s="4">
        <v>1</v>
      </c>
      <c r="F2295" s="5">
        <v>3.5263605246161616</v>
      </c>
      <c r="G2295" s="4">
        <v>4</v>
      </c>
    </row>
    <row r="2296" spans="1:7" x14ac:dyDescent="0.15">
      <c r="A2296" s="4">
        <v>2295</v>
      </c>
      <c r="B2296" s="4">
        <v>0</v>
      </c>
      <c r="D2296" s="5">
        <v>11.736069016284437</v>
      </c>
      <c r="E2296" s="4">
        <v>1</v>
      </c>
      <c r="F2296" s="5">
        <v>3.9318256327243257</v>
      </c>
      <c r="G2296" s="4">
        <v>2</v>
      </c>
    </row>
    <row r="2297" spans="1:7" x14ac:dyDescent="0.15">
      <c r="A2297" s="4">
        <v>2296</v>
      </c>
      <c r="B2297" s="4">
        <v>1</v>
      </c>
      <c r="D2297" s="5">
        <v>11.191341840842766</v>
      </c>
      <c r="E2297" s="4">
        <v>1</v>
      </c>
      <c r="F2297" s="5">
        <v>3.5263605246161616</v>
      </c>
      <c r="G2297" s="4">
        <v>5</v>
      </c>
    </row>
    <row r="2298" spans="1:7" x14ac:dyDescent="0.15">
      <c r="A2298" s="4">
        <v>2297</v>
      </c>
      <c r="B2298" s="4">
        <v>10</v>
      </c>
      <c r="D2298" s="5">
        <v>10.388995368317829</v>
      </c>
      <c r="E2298" s="4">
        <v>1</v>
      </c>
      <c r="F2298" s="5">
        <v>3.4657359027997265</v>
      </c>
      <c r="G2298" s="4">
        <v>3</v>
      </c>
    </row>
    <row r="2299" spans="1:7" x14ac:dyDescent="0.15">
      <c r="A2299" s="4">
        <v>2298</v>
      </c>
      <c r="B2299" s="4">
        <v>5</v>
      </c>
      <c r="D2299" s="5">
        <v>10.388995368317829</v>
      </c>
      <c r="E2299" s="4">
        <v>0</v>
      </c>
      <c r="F2299" s="5">
        <v>3.4965075614664802</v>
      </c>
      <c r="G2299" s="4">
        <v>3</v>
      </c>
    </row>
    <row r="2300" spans="1:7" x14ac:dyDescent="0.15">
      <c r="A2300" s="4">
        <v>2299</v>
      </c>
      <c r="B2300" s="4">
        <v>0</v>
      </c>
      <c r="D2300" s="5">
        <v>10.532096211958502</v>
      </c>
      <c r="E2300" s="4">
        <v>0</v>
      </c>
      <c r="F2300" s="5">
        <v>3.5263605246161616</v>
      </c>
      <c r="G2300" s="4">
        <v>5</v>
      </c>
    </row>
    <row r="2301" spans="1:7" x14ac:dyDescent="0.15">
      <c r="A2301" s="4">
        <v>2300</v>
      </c>
      <c r="B2301" s="4">
        <v>0</v>
      </c>
      <c r="D2301" s="5">
        <v>11.379394072345706</v>
      </c>
      <c r="E2301" s="4">
        <v>1</v>
      </c>
      <c r="F2301" s="5">
        <v>3.4965075614664802</v>
      </c>
      <c r="G2301" s="4">
        <v>3</v>
      </c>
    </row>
    <row r="2302" spans="1:7" x14ac:dyDescent="0.15">
      <c r="A2302" s="4">
        <v>2301</v>
      </c>
      <c r="B2302" s="4">
        <v>0</v>
      </c>
      <c r="D2302" s="5">
        <v>11.379394072345706</v>
      </c>
      <c r="E2302" s="4">
        <v>0</v>
      </c>
      <c r="F2302" s="5">
        <v>4.1431347263915326</v>
      </c>
      <c r="G2302" s="4">
        <v>3</v>
      </c>
    </row>
    <row r="2303" spans="1:7" x14ac:dyDescent="0.15">
      <c r="A2303" s="4">
        <v>2302</v>
      </c>
      <c r="B2303" s="4">
        <v>1</v>
      </c>
      <c r="D2303" s="5">
        <v>11.379394072345706</v>
      </c>
      <c r="E2303" s="4">
        <v>0</v>
      </c>
      <c r="F2303" s="5">
        <v>4.0604430105464191</v>
      </c>
      <c r="G2303" s="4">
        <v>3</v>
      </c>
    </row>
    <row r="2304" spans="1:7" x14ac:dyDescent="0.15">
      <c r="A2304" s="4">
        <v>2303</v>
      </c>
      <c r="B2304" s="4">
        <v>0</v>
      </c>
      <c r="D2304" s="5">
        <v>11.379394072345706</v>
      </c>
      <c r="E2304" s="4">
        <v>0</v>
      </c>
      <c r="F2304" s="5">
        <v>4.219507705176107</v>
      </c>
      <c r="G2304" s="4">
        <v>2</v>
      </c>
    </row>
    <row r="2305" spans="1:7" x14ac:dyDescent="0.15">
      <c r="A2305" s="4">
        <v>2304</v>
      </c>
      <c r="B2305" s="4">
        <v>0</v>
      </c>
      <c r="D2305" s="5">
        <v>10.388995368317829</v>
      </c>
      <c r="E2305" s="4">
        <v>0</v>
      </c>
      <c r="F2305" s="5">
        <v>4.3040650932041702</v>
      </c>
      <c r="G2305" s="4">
        <v>1</v>
      </c>
    </row>
    <row r="2306" spans="1:7" x14ac:dyDescent="0.15">
      <c r="A2306" s="4">
        <v>2305</v>
      </c>
      <c r="B2306" s="4">
        <v>0</v>
      </c>
      <c r="D2306" s="5">
        <v>10.221941283654663</v>
      </c>
      <c r="E2306" s="4">
        <v>1</v>
      </c>
      <c r="F2306" s="5">
        <v>4.2046926193909657</v>
      </c>
      <c r="G2306" s="4">
        <v>2</v>
      </c>
    </row>
    <row r="2307" spans="1:7" x14ac:dyDescent="0.15">
      <c r="A2307" s="4">
        <v>2306</v>
      </c>
      <c r="B2307" s="4">
        <v>0</v>
      </c>
      <c r="D2307" s="5">
        <v>10.021270588192511</v>
      </c>
      <c r="E2307" s="4">
        <v>1</v>
      </c>
      <c r="F2307" s="5">
        <v>3.4339872044851463</v>
      </c>
      <c r="G2307" s="4">
        <v>2</v>
      </c>
    </row>
    <row r="2308" spans="1:7" x14ac:dyDescent="0.15">
      <c r="A2308" s="4">
        <v>2307</v>
      </c>
      <c r="B2308" s="4">
        <v>1</v>
      </c>
      <c r="D2308" s="5">
        <v>11.191341840842766</v>
      </c>
      <c r="E2308" s="4">
        <v>1</v>
      </c>
      <c r="F2308" s="5">
        <v>3.6888794541139363</v>
      </c>
      <c r="G2308" s="4">
        <v>3</v>
      </c>
    </row>
    <row r="2309" spans="1:7" x14ac:dyDescent="0.15">
      <c r="A2309" s="4">
        <v>2308</v>
      </c>
      <c r="B2309" s="4">
        <v>1</v>
      </c>
      <c r="D2309" s="5">
        <v>11.379394072345706</v>
      </c>
      <c r="E2309" s="4">
        <v>1</v>
      </c>
      <c r="F2309" s="5">
        <v>3.8712010109078911</v>
      </c>
      <c r="G2309" s="4">
        <v>1</v>
      </c>
    </row>
    <row r="2310" spans="1:7" x14ac:dyDescent="0.15">
      <c r="A2310" s="4">
        <v>2309</v>
      </c>
      <c r="B2310" s="4">
        <v>0</v>
      </c>
      <c r="D2310" s="5">
        <v>9.7699561599116063</v>
      </c>
      <c r="E2310" s="4">
        <v>0</v>
      </c>
      <c r="F2310" s="5">
        <v>3.1354942159291497</v>
      </c>
      <c r="G2310" s="4">
        <v>1</v>
      </c>
    </row>
    <row r="2311" spans="1:7" x14ac:dyDescent="0.15">
      <c r="A2311" s="4">
        <v>2310</v>
      </c>
      <c r="B2311" s="4">
        <v>0</v>
      </c>
      <c r="D2311" s="5">
        <v>11.379394072345706</v>
      </c>
      <c r="E2311" s="4">
        <v>1</v>
      </c>
      <c r="F2311" s="5">
        <v>2.5649493574615367</v>
      </c>
      <c r="G2311" s="4">
        <v>4</v>
      </c>
    </row>
    <row r="2312" spans="1:7" x14ac:dyDescent="0.15">
      <c r="A2312" s="4">
        <v>2311</v>
      </c>
      <c r="B2312" s="4">
        <v>0</v>
      </c>
      <c r="D2312" s="5">
        <v>10.768484990022733</v>
      </c>
      <c r="E2312" s="4">
        <v>1</v>
      </c>
      <c r="F2312" s="5">
        <v>4.2484952420493594</v>
      </c>
      <c r="G2312" s="4">
        <v>2</v>
      </c>
    </row>
    <row r="2313" spans="1:7" x14ac:dyDescent="0.15">
      <c r="A2313" s="4">
        <v>2312</v>
      </c>
      <c r="B2313" s="4">
        <v>0</v>
      </c>
      <c r="D2313" s="5">
        <v>10.768484990022733</v>
      </c>
      <c r="E2313" s="4">
        <v>1</v>
      </c>
      <c r="F2313" s="5">
        <v>3.8501476017100584</v>
      </c>
      <c r="G2313" s="4">
        <v>2</v>
      </c>
    </row>
    <row r="2314" spans="1:7" x14ac:dyDescent="0.15">
      <c r="A2314" s="4">
        <v>2313</v>
      </c>
      <c r="B2314" s="4">
        <v>1</v>
      </c>
      <c r="D2314" s="5">
        <v>10.768484990022733</v>
      </c>
      <c r="E2314" s="4">
        <v>0</v>
      </c>
      <c r="F2314" s="5">
        <v>3.8501476017100584</v>
      </c>
      <c r="G2314" s="4">
        <v>2</v>
      </c>
    </row>
    <row r="2315" spans="1:7" x14ac:dyDescent="0.15">
      <c r="A2315" s="4">
        <v>2314</v>
      </c>
      <c r="B2315" s="4">
        <v>0</v>
      </c>
      <c r="D2315" s="5">
        <v>11.379394072345706</v>
      </c>
      <c r="E2315" s="4">
        <v>0</v>
      </c>
      <c r="F2315" s="5">
        <v>3.8286413964890951</v>
      </c>
      <c r="G2315" s="4">
        <v>3</v>
      </c>
    </row>
    <row r="2316" spans="1:7" x14ac:dyDescent="0.15">
      <c r="A2316" s="4">
        <v>2315</v>
      </c>
      <c r="B2316" s="4">
        <v>1</v>
      </c>
      <c r="D2316" s="5">
        <v>11.736069016284437</v>
      </c>
      <c r="E2316" s="4">
        <v>0</v>
      </c>
      <c r="F2316" s="5">
        <v>4.0775374439057197</v>
      </c>
      <c r="G2316" s="4">
        <v>2</v>
      </c>
    </row>
    <row r="2317" spans="1:7" x14ac:dyDescent="0.15">
      <c r="A2317" s="4">
        <v>2316</v>
      </c>
      <c r="B2317" s="4">
        <v>0</v>
      </c>
      <c r="D2317" s="5">
        <v>10.915088464214607</v>
      </c>
      <c r="E2317" s="4">
        <v>1</v>
      </c>
      <c r="F2317" s="5">
        <v>3.5835189384561099</v>
      </c>
      <c r="G2317" s="4">
        <v>4</v>
      </c>
    </row>
    <row r="2318" spans="1:7" x14ac:dyDescent="0.15">
      <c r="A2318" s="4">
        <v>2317</v>
      </c>
      <c r="B2318" s="4">
        <v>0</v>
      </c>
      <c r="D2318" s="5">
        <v>12.072541252905651</v>
      </c>
      <c r="E2318" s="4">
        <v>0</v>
      </c>
      <c r="F2318" s="5">
        <v>4.0430512678345503</v>
      </c>
      <c r="G2318" s="4">
        <v>2</v>
      </c>
    </row>
    <row r="2319" spans="1:7" x14ac:dyDescent="0.15">
      <c r="A2319" s="4">
        <v>2318</v>
      </c>
      <c r="B2319" s="4">
        <v>1</v>
      </c>
      <c r="D2319" s="5">
        <v>10.021270588192511</v>
      </c>
      <c r="E2319" s="4">
        <v>0</v>
      </c>
      <c r="F2319" s="5">
        <v>3.4657359027997265</v>
      </c>
      <c r="G2319" s="4">
        <v>1</v>
      </c>
    </row>
    <row r="2320" spans="1:7" x14ac:dyDescent="0.15">
      <c r="A2320" s="4">
        <v>2319</v>
      </c>
      <c r="B2320" s="4">
        <v>0</v>
      </c>
      <c r="D2320" s="5">
        <v>10.915088464214607</v>
      </c>
      <c r="E2320" s="4">
        <v>1</v>
      </c>
      <c r="F2320" s="5">
        <v>2.8332133440562162</v>
      </c>
      <c r="G2320" s="4">
        <v>3</v>
      </c>
    </row>
    <row r="2321" spans="1:7" x14ac:dyDescent="0.15">
      <c r="A2321" s="4">
        <v>2320</v>
      </c>
      <c r="B2321" s="4">
        <v>0</v>
      </c>
      <c r="D2321" s="5">
        <v>10.221941283654663</v>
      </c>
      <c r="E2321" s="4">
        <v>0</v>
      </c>
      <c r="F2321" s="5">
        <v>3.9512437185814275</v>
      </c>
      <c r="G2321" s="4">
        <v>4</v>
      </c>
    </row>
    <row r="2322" spans="1:7" x14ac:dyDescent="0.15">
      <c r="A2322" s="4">
        <v>2321</v>
      </c>
      <c r="B2322" s="4">
        <v>0</v>
      </c>
      <c r="D2322" s="5">
        <v>11.379394072345706</v>
      </c>
      <c r="E2322" s="4">
        <v>0</v>
      </c>
      <c r="F2322" s="5">
        <v>3.5553480614894135</v>
      </c>
      <c r="G2322" s="4">
        <v>3</v>
      </c>
    </row>
    <row r="2323" spans="1:7" x14ac:dyDescent="0.15">
      <c r="A2323" s="4">
        <v>2322</v>
      </c>
      <c r="B2323" s="4">
        <v>0</v>
      </c>
      <c r="D2323" s="5">
        <v>10.532096211958502</v>
      </c>
      <c r="E2323" s="4">
        <v>1</v>
      </c>
      <c r="F2323" s="5">
        <v>3.6635616461296463</v>
      </c>
      <c r="G2323" s="4">
        <v>3</v>
      </c>
    </row>
    <row r="2324" spans="1:7" x14ac:dyDescent="0.15">
      <c r="A2324" s="4">
        <v>2323</v>
      </c>
      <c r="B2324" s="4">
        <v>0</v>
      </c>
      <c r="D2324" s="5">
        <v>10.221941283654663</v>
      </c>
      <c r="E2324" s="4">
        <v>0</v>
      </c>
      <c r="F2324" s="5">
        <v>3.3672958299864741</v>
      </c>
      <c r="G2324" s="4">
        <v>1</v>
      </c>
    </row>
    <row r="2325" spans="1:7" x14ac:dyDescent="0.15">
      <c r="A2325" s="4">
        <v>2324</v>
      </c>
      <c r="B2325" s="4">
        <v>0</v>
      </c>
      <c r="D2325" s="5">
        <v>11.379394072345706</v>
      </c>
      <c r="E2325" s="4">
        <v>0</v>
      </c>
      <c r="F2325" s="5">
        <v>3.9318256327243257</v>
      </c>
      <c r="G2325" s="4">
        <v>3</v>
      </c>
    </row>
    <row r="2326" spans="1:7" x14ac:dyDescent="0.15">
      <c r="A2326" s="4">
        <v>2325</v>
      </c>
      <c r="B2326" s="4">
        <v>0</v>
      </c>
      <c r="D2326" s="5">
        <v>10.532096211958502</v>
      </c>
      <c r="E2326" s="4">
        <v>1</v>
      </c>
      <c r="F2326" s="5">
        <v>3.4339872044851463</v>
      </c>
      <c r="G2326" s="4">
        <v>4</v>
      </c>
    </row>
    <row r="2327" spans="1:7" x14ac:dyDescent="0.15">
      <c r="A2327" s="4">
        <v>2326</v>
      </c>
      <c r="B2327" s="4">
        <v>0</v>
      </c>
      <c r="D2327" s="5">
        <v>11.082142548877775</v>
      </c>
      <c r="E2327" s="4">
        <v>1</v>
      </c>
      <c r="F2327" s="5">
        <v>2.6390573296152584</v>
      </c>
      <c r="G2327" s="4">
        <v>3</v>
      </c>
    </row>
    <row r="2328" spans="1:7" x14ac:dyDescent="0.15">
      <c r="A2328" s="4">
        <v>2327</v>
      </c>
      <c r="B2328" s="4">
        <v>0</v>
      </c>
      <c r="D2328" s="5">
        <v>10.768484990022733</v>
      </c>
      <c r="E2328" s="4">
        <v>0</v>
      </c>
      <c r="F2328" s="5">
        <v>3.5263605246161616</v>
      </c>
      <c r="G2328" s="4">
        <v>4</v>
      </c>
    </row>
    <row r="2329" spans="1:7" x14ac:dyDescent="0.15">
      <c r="A2329" s="4">
        <v>2328</v>
      </c>
      <c r="B2329" s="4">
        <v>0</v>
      </c>
      <c r="D2329" s="5">
        <v>10.657259354912508</v>
      </c>
      <c r="E2329" s="4">
        <v>1</v>
      </c>
      <c r="F2329" s="5">
        <v>3.7376696182833684</v>
      </c>
      <c r="G2329" s="4">
        <v>1</v>
      </c>
    </row>
    <row r="2330" spans="1:7" x14ac:dyDescent="0.15">
      <c r="A2330" s="4">
        <v>2329</v>
      </c>
      <c r="B2330" s="4">
        <v>0</v>
      </c>
      <c r="D2330" s="5">
        <v>10.532096211958502</v>
      </c>
      <c r="E2330" s="4">
        <v>1</v>
      </c>
      <c r="F2330" s="5">
        <v>2.7725887222397811</v>
      </c>
      <c r="G2330" s="4">
        <v>3</v>
      </c>
    </row>
    <row r="2331" spans="1:7" x14ac:dyDescent="0.15">
      <c r="A2331" s="4">
        <v>2330</v>
      </c>
      <c r="B2331" s="4">
        <v>0</v>
      </c>
      <c r="D2331" s="5">
        <v>9.7699561599116063</v>
      </c>
      <c r="E2331" s="4">
        <v>0</v>
      </c>
      <c r="F2331" s="5">
        <v>3.7376696182833684</v>
      </c>
      <c r="G2331" s="4">
        <v>5</v>
      </c>
    </row>
    <row r="2332" spans="1:7" x14ac:dyDescent="0.15">
      <c r="A2332" s="4">
        <v>2331</v>
      </c>
      <c r="B2332" s="4">
        <v>0</v>
      </c>
      <c r="D2332" s="5">
        <v>11.736069016284437</v>
      </c>
      <c r="E2332" s="4">
        <v>0</v>
      </c>
      <c r="F2332" s="5">
        <v>4.0775374439057197</v>
      </c>
      <c r="G2332" s="4">
        <v>4</v>
      </c>
    </row>
    <row r="2333" spans="1:7" x14ac:dyDescent="0.15">
      <c r="A2333" s="4">
        <v>2332</v>
      </c>
      <c r="B2333" s="4">
        <v>0</v>
      </c>
      <c r="D2333" s="5">
        <v>10.532096211958502</v>
      </c>
      <c r="E2333" s="4">
        <v>1</v>
      </c>
      <c r="F2333" s="5">
        <v>3.6375861597263857</v>
      </c>
      <c r="G2333" s="4">
        <v>4</v>
      </c>
    </row>
    <row r="2334" spans="1:7" x14ac:dyDescent="0.15">
      <c r="A2334" s="4">
        <v>2333</v>
      </c>
      <c r="B2334" s="4">
        <v>1</v>
      </c>
      <c r="D2334" s="5">
        <v>11.736069016284437</v>
      </c>
      <c r="E2334" s="4">
        <v>1</v>
      </c>
      <c r="F2334" s="5">
        <v>3.7376696182833684</v>
      </c>
      <c r="G2334" s="4">
        <v>2</v>
      </c>
    </row>
    <row r="2335" spans="1:7" x14ac:dyDescent="0.15">
      <c r="A2335" s="4">
        <v>2334</v>
      </c>
      <c r="B2335" s="4">
        <v>0</v>
      </c>
      <c r="D2335" s="5">
        <v>10.657259354912508</v>
      </c>
      <c r="E2335" s="4">
        <v>1</v>
      </c>
      <c r="F2335" s="5">
        <v>3.6375861597263857</v>
      </c>
      <c r="G2335" s="4">
        <v>4</v>
      </c>
    </row>
    <row r="2336" spans="1:7" x14ac:dyDescent="0.15">
      <c r="A2336" s="4">
        <v>2335</v>
      </c>
      <c r="B2336" s="4">
        <v>0</v>
      </c>
      <c r="D2336" s="5">
        <v>11.736069016284437</v>
      </c>
      <c r="E2336" s="4">
        <v>0</v>
      </c>
      <c r="F2336" s="5">
        <v>4.0430512678345503</v>
      </c>
      <c r="G2336" s="4">
        <v>2</v>
      </c>
    </row>
    <row r="2337" spans="1:7" x14ac:dyDescent="0.15">
      <c r="A2337" s="4">
        <v>2336</v>
      </c>
      <c r="B2337" s="4">
        <v>0</v>
      </c>
      <c r="D2337" s="5">
        <v>10.657259354912508</v>
      </c>
      <c r="E2337" s="4">
        <v>1</v>
      </c>
      <c r="F2337" s="5">
        <v>3.7612001156935624</v>
      </c>
      <c r="G2337" s="4">
        <v>2</v>
      </c>
    </row>
    <row r="2338" spans="1:7" x14ac:dyDescent="0.15">
      <c r="A2338" s="4">
        <v>2337</v>
      </c>
      <c r="B2338" s="4">
        <v>1</v>
      </c>
      <c r="D2338" s="5">
        <v>10.915088464214607</v>
      </c>
      <c r="E2338" s="4">
        <v>1</v>
      </c>
      <c r="F2338" s="5">
        <v>4.0073331852324712</v>
      </c>
      <c r="G2338" s="4">
        <v>4</v>
      </c>
    </row>
    <row r="2339" spans="1:7" x14ac:dyDescent="0.15">
      <c r="A2339" s="4">
        <v>2338</v>
      </c>
      <c r="B2339" s="4">
        <v>0</v>
      </c>
      <c r="D2339" s="5">
        <v>10.388995368317829</v>
      </c>
      <c r="E2339" s="4">
        <v>0</v>
      </c>
      <c r="F2339" s="5">
        <v>3.8918202981106265</v>
      </c>
      <c r="G2339" s="4">
        <v>3</v>
      </c>
    </row>
    <row r="2340" spans="1:7" x14ac:dyDescent="0.15">
      <c r="A2340" s="4">
        <v>2339</v>
      </c>
      <c r="B2340" s="4">
        <v>3</v>
      </c>
      <c r="D2340" s="5">
        <v>11.191341840842766</v>
      </c>
      <c r="E2340" s="4">
        <v>1</v>
      </c>
      <c r="F2340" s="5">
        <v>3.5553480614894135</v>
      </c>
      <c r="G2340" s="4">
        <v>5</v>
      </c>
    </row>
    <row r="2341" spans="1:7" x14ac:dyDescent="0.15">
      <c r="A2341" s="4">
        <v>2340</v>
      </c>
      <c r="B2341" s="4">
        <v>0</v>
      </c>
      <c r="D2341" s="5">
        <v>11.191341840842766</v>
      </c>
      <c r="E2341" s="4">
        <v>0</v>
      </c>
      <c r="F2341" s="5">
        <v>3.5835189384561099</v>
      </c>
      <c r="G2341" s="4">
        <v>5</v>
      </c>
    </row>
    <row r="2342" spans="1:7" x14ac:dyDescent="0.15">
      <c r="A2342" s="4">
        <v>2341</v>
      </c>
      <c r="B2342" s="4">
        <v>0</v>
      </c>
      <c r="D2342" s="5">
        <v>11.082142548877775</v>
      </c>
      <c r="E2342" s="4">
        <v>0</v>
      </c>
      <c r="F2342" s="5">
        <v>3.6375861597263857</v>
      </c>
      <c r="G2342" s="4">
        <v>2</v>
      </c>
    </row>
    <row r="2343" spans="1:7" x14ac:dyDescent="0.15">
      <c r="A2343" s="4">
        <v>2342</v>
      </c>
      <c r="B2343" s="4">
        <v>0</v>
      </c>
      <c r="D2343" s="5">
        <v>9.7699561599116063</v>
      </c>
      <c r="E2343" s="4">
        <v>0</v>
      </c>
      <c r="F2343" s="5">
        <v>3.044522437723423</v>
      </c>
      <c r="G2343" s="4">
        <v>2</v>
      </c>
    </row>
    <row r="2344" spans="1:7" x14ac:dyDescent="0.15">
      <c r="A2344" s="4">
        <v>2343</v>
      </c>
      <c r="B2344" s="4">
        <v>0</v>
      </c>
      <c r="D2344" s="5">
        <v>11.736069016284437</v>
      </c>
      <c r="E2344" s="4">
        <v>1</v>
      </c>
      <c r="F2344" s="5">
        <v>2.7725887222397811</v>
      </c>
      <c r="G2344" s="4">
        <v>4</v>
      </c>
    </row>
    <row r="2345" spans="1:7" x14ac:dyDescent="0.15">
      <c r="A2345" s="4">
        <v>2344</v>
      </c>
      <c r="B2345" s="4">
        <v>0</v>
      </c>
      <c r="D2345" s="5">
        <v>11.736069016284437</v>
      </c>
      <c r="E2345" s="4">
        <v>0</v>
      </c>
      <c r="F2345" s="5">
        <v>2.4849066497880004</v>
      </c>
      <c r="G2345" s="4">
        <v>4</v>
      </c>
    </row>
    <row r="2346" spans="1:7" x14ac:dyDescent="0.15">
      <c r="A2346" s="4">
        <v>2345</v>
      </c>
      <c r="B2346" s="4">
        <v>9</v>
      </c>
      <c r="D2346" s="5">
        <v>11.379394072345706</v>
      </c>
      <c r="E2346" s="4">
        <v>0</v>
      </c>
      <c r="F2346" s="5">
        <v>4.0253516907351496</v>
      </c>
      <c r="G2346" s="4">
        <v>1</v>
      </c>
    </row>
    <row r="2347" spans="1:7" x14ac:dyDescent="0.15">
      <c r="A2347" s="4">
        <v>2346</v>
      </c>
      <c r="B2347" s="4">
        <v>0</v>
      </c>
      <c r="D2347" s="5">
        <v>11.379394072345706</v>
      </c>
      <c r="E2347" s="4">
        <v>1</v>
      </c>
      <c r="F2347" s="5">
        <v>3.3322045101752038</v>
      </c>
      <c r="G2347" s="4">
        <v>2</v>
      </c>
    </row>
    <row r="2348" spans="1:7" x14ac:dyDescent="0.15">
      <c r="A2348" s="4">
        <v>2347</v>
      </c>
      <c r="B2348" s="4">
        <v>0</v>
      </c>
      <c r="D2348" s="5">
        <v>10.657259354912508</v>
      </c>
      <c r="E2348" s="4">
        <v>1</v>
      </c>
      <c r="F2348" s="5">
        <v>3.6109179126442243</v>
      </c>
      <c r="G2348" s="4">
        <v>3</v>
      </c>
    </row>
    <row r="2349" spans="1:7" x14ac:dyDescent="0.15">
      <c r="A2349" s="4">
        <v>2348</v>
      </c>
      <c r="B2349" s="4">
        <v>0</v>
      </c>
      <c r="D2349" s="5">
        <v>10.657259354912508</v>
      </c>
      <c r="E2349" s="4">
        <v>1</v>
      </c>
      <c r="F2349" s="5">
        <v>3.5835189384561099</v>
      </c>
      <c r="G2349" s="4">
        <v>6</v>
      </c>
    </row>
    <row r="2350" spans="1:7" x14ac:dyDescent="0.15">
      <c r="A2350" s="4">
        <v>2349</v>
      </c>
      <c r="B2350" s="4">
        <v>1</v>
      </c>
      <c r="D2350" s="5">
        <v>10.915088464214607</v>
      </c>
      <c r="E2350" s="4">
        <v>1</v>
      </c>
      <c r="F2350" s="5">
        <v>3.7376696182833684</v>
      </c>
      <c r="G2350" s="4">
        <v>2</v>
      </c>
    </row>
    <row r="2351" spans="1:7" x14ac:dyDescent="0.15">
      <c r="A2351" s="4">
        <v>2350</v>
      </c>
      <c r="B2351" s="4">
        <v>0</v>
      </c>
      <c r="D2351" s="5">
        <v>10.388995368317829</v>
      </c>
      <c r="E2351" s="4">
        <v>1</v>
      </c>
      <c r="F2351" s="5">
        <v>3.5553480614894135</v>
      </c>
      <c r="G2351" s="4">
        <v>3</v>
      </c>
    </row>
    <row r="2352" spans="1:7" x14ac:dyDescent="0.15">
      <c r="A2352" s="4">
        <v>2351</v>
      </c>
      <c r="B2352" s="4">
        <v>1</v>
      </c>
      <c r="D2352" s="5">
        <v>11.082142548877775</v>
      </c>
      <c r="E2352" s="4">
        <v>1</v>
      </c>
      <c r="F2352" s="5">
        <v>3.4965075614664802</v>
      </c>
      <c r="G2352" s="4">
        <v>3</v>
      </c>
    </row>
    <row r="2353" spans="1:7" x14ac:dyDescent="0.15">
      <c r="A2353" s="4">
        <v>2352</v>
      </c>
      <c r="B2353" s="4">
        <v>1</v>
      </c>
      <c r="D2353" s="5">
        <v>10.915088464214607</v>
      </c>
      <c r="E2353" s="4">
        <v>1</v>
      </c>
      <c r="F2353" s="5">
        <v>3.3672958299864741</v>
      </c>
      <c r="G2353" s="4">
        <v>4</v>
      </c>
    </row>
    <row r="2354" spans="1:7" x14ac:dyDescent="0.15">
      <c r="A2354" s="4">
        <v>2353</v>
      </c>
      <c r="B2354" s="4">
        <v>1</v>
      </c>
      <c r="D2354" s="5">
        <v>10.657259354912508</v>
      </c>
      <c r="E2354" s="4">
        <v>1</v>
      </c>
      <c r="F2354" s="5">
        <v>3.8712010109078911</v>
      </c>
      <c r="G2354" s="4">
        <v>2</v>
      </c>
    </row>
    <row r="2355" spans="1:7" x14ac:dyDescent="0.15">
      <c r="A2355" s="4">
        <v>2354</v>
      </c>
      <c r="B2355" s="4">
        <v>0</v>
      </c>
      <c r="D2355" s="5">
        <v>10.915088464214607</v>
      </c>
      <c r="E2355" s="4">
        <v>1</v>
      </c>
      <c r="F2355" s="5">
        <v>3.2958368660043291</v>
      </c>
      <c r="G2355" s="4">
        <v>3</v>
      </c>
    </row>
    <row r="2356" spans="1:7" x14ac:dyDescent="0.15">
      <c r="A2356" s="4">
        <v>2355</v>
      </c>
      <c r="B2356" s="4">
        <v>0</v>
      </c>
      <c r="D2356" s="5">
        <v>10.657259354912508</v>
      </c>
      <c r="E2356" s="4">
        <v>1</v>
      </c>
      <c r="F2356" s="5">
        <v>3.6635616461296463</v>
      </c>
      <c r="G2356" s="4">
        <v>6</v>
      </c>
    </row>
    <row r="2357" spans="1:7" x14ac:dyDescent="0.15">
      <c r="A2357" s="4">
        <v>2356</v>
      </c>
      <c r="B2357" s="4">
        <v>0</v>
      </c>
      <c r="D2357" s="5">
        <v>10.657259354912508</v>
      </c>
      <c r="E2357" s="4">
        <v>0</v>
      </c>
      <c r="F2357" s="5">
        <v>3.6888794541139363</v>
      </c>
      <c r="G2357" s="4">
        <v>6</v>
      </c>
    </row>
    <row r="2358" spans="1:7" x14ac:dyDescent="0.15">
      <c r="A2358" s="4">
        <v>2357</v>
      </c>
      <c r="B2358" s="4">
        <v>0</v>
      </c>
      <c r="D2358" s="5">
        <v>10.657259354912508</v>
      </c>
      <c r="E2358" s="4">
        <v>0</v>
      </c>
      <c r="F2358" s="5">
        <v>2.6390573296152584</v>
      </c>
      <c r="G2358" s="4">
        <v>6</v>
      </c>
    </row>
    <row r="2359" spans="1:7" x14ac:dyDescent="0.15">
      <c r="A2359" s="4">
        <v>2358</v>
      </c>
      <c r="B2359" s="4">
        <v>0</v>
      </c>
      <c r="D2359" s="5">
        <v>10.657259354912508</v>
      </c>
      <c r="E2359" s="4">
        <v>1</v>
      </c>
      <c r="F2359" s="5">
        <v>2.7725887222397811</v>
      </c>
      <c r="G2359" s="4">
        <v>2</v>
      </c>
    </row>
    <row r="2360" spans="1:7" x14ac:dyDescent="0.15">
      <c r="A2360" s="4">
        <v>2359</v>
      </c>
      <c r="B2360" s="4">
        <v>0</v>
      </c>
      <c r="D2360" s="5">
        <v>10.388995368317829</v>
      </c>
      <c r="E2360" s="4">
        <v>1</v>
      </c>
      <c r="F2360" s="5">
        <v>3.7612001156935624</v>
      </c>
      <c r="G2360" s="4">
        <v>4</v>
      </c>
    </row>
    <row r="2361" spans="1:7" x14ac:dyDescent="0.15">
      <c r="A2361" s="4">
        <v>2360</v>
      </c>
      <c r="B2361" s="4">
        <v>0</v>
      </c>
      <c r="D2361" s="5">
        <v>11.082142548877775</v>
      </c>
      <c r="E2361" s="4">
        <v>1</v>
      </c>
      <c r="F2361" s="5">
        <v>3.2580965380214821</v>
      </c>
      <c r="G2361" s="4">
        <v>2</v>
      </c>
    </row>
    <row r="2362" spans="1:7" x14ac:dyDescent="0.15">
      <c r="A2362" s="4">
        <v>2361</v>
      </c>
      <c r="B2362" s="4">
        <v>0</v>
      </c>
      <c r="D2362" s="5">
        <v>11.082142548877775</v>
      </c>
      <c r="E2362" s="4">
        <v>0</v>
      </c>
      <c r="F2362" s="5">
        <v>3.6635616461296463</v>
      </c>
      <c r="G2362" s="4">
        <v>2</v>
      </c>
    </row>
    <row r="2363" spans="1:7" x14ac:dyDescent="0.15">
      <c r="A2363" s="4">
        <v>2362</v>
      </c>
      <c r="B2363" s="4">
        <v>2</v>
      </c>
      <c r="D2363" s="5">
        <v>10.388995368317829</v>
      </c>
      <c r="E2363" s="4">
        <v>0</v>
      </c>
      <c r="F2363" s="5">
        <v>3.5553480614894135</v>
      </c>
      <c r="G2363" s="4">
        <v>1</v>
      </c>
    </row>
    <row r="2364" spans="1:7" x14ac:dyDescent="0.15">
      <c r="A2364" s="4">
        <v>2363</v>
      </c>
      <c r="B2364" s="4">
        <v>0</v>
      </c>
      <c r="D2364" s="5">
        <v>11.379394072345706</v>
      </c>
      <c r="E2364" s="4">
        <v>1</v>
      </c>
      <c r="F2364" s="5">
        <v>3.4965075614664802</v>
      </c>
      <c r="G2364" s="4">
        <v>2</v>
      </c>
    </row>
    <row r="2365" spans="1:7" x14ac:dyDescent="0.15">
      <c r="A2365" s="4">
        <v>2364</v>
      </c>
      <c r="B2365" s="4">
        <v>0</v>
      </c>
      <c r="D2365" s="5">
        <v>11.736069016284437</v>
      </c>
      <c r="E2365" s="4">
        <v>0</v>
      </c>
      <c r="F2365" s="5">
        <v>4.0775374439057197</v>
      </c>
      <c r="G2365" s="4">
        <v>2</v>
      </c>
    </row>
    <row r="2366" spans="1:7" x14ac:dyDescent="0.15">
      <c r="A2366" s="4">
        <v>2365</v>
      </c>
      <c r="B2366" s="4">
        <v>1</v>
      </c>
      <c r="D2366" s="5">
        <v>11.736069016284437</v>
      </c>
      <c r="E2366" s="4">
        <v>1</v>
      </c>
      <c r="F2366" s="5">
        <v>3.8918202981106265</v>
      </c>
      <c r="G2366" s="4">
        <v>2</v>
      </c>
    </row>
    <row r="2367" spans="1:7" x14ac:dyDescent="0.15">
      <c r="A2367" s="4">
        <v>2366</v>
      </c>
      <c r="B2367" s="4">
        <v>0</v>
      </c>
      <c r="D2367" s="5">
        <v>10.657259354912508</v>
      </c>
      <c r="E2367" s="4">
        <v>1</v>
      </c>
      <c r="F2367" s="5">
        <v>3.4011973816621555</v>
      </c>
      <c r="G2367" s="4">
        <v>2</v>
      </c>
    </row>
    <row r="2368" spans="1:7" x14ac:dyDescent="0.15">
      <c r="A2368" s="4">
        <v>2367</v>
      </c>
      <c r="B2368" s="4">
        <v>0</v>
      </c>
      <c r="D2368" s="5">
        <v>11.082142548877775</v>
      </c>
      <c r="E2368" s="4">
        <v>1</v>
      </c>
      <c r="F2368" s="5">
        <v>3.784189633918261</v>
      </c>
      <c r="G2368" s="4">
        <v>4</v>
      </c>
    </row>
    <row r="2369" spans="1:7" x14ac:dyDescent="0.15">
      <c r="A2369" s="4">
        <v>2368</v>
      </c>
      <c r="B2369" s="4">
        <v>0</v>
      </c>
      <c r="D2369" s="5">
        <v>11.082142548877775</v>
      </c>
      <c r="E2369" s="4">
        <v>1</v>
      </c>
      <c r="F2369" s="5">
        <v>2.5649493574615367</v>
      </c>
      <c r="G2369" s="4">
        <v>4</v>
      </c>
    </row>
    <row r="2370" spans="1:7" x14ac:dyDescent="0.15">
      <c r="A2370" s="4">
        <v>2369</v>
      </c>
      <c r="B2370" s="4">
        <v>0</v>
      </c>
      <c r="D2370" s="5">
        <v>8.9226582995244019</v>
      </c>
      <c r="E2370" s="4">
        <v>1</v>
      </c>
      <c r="F2370" s="5">
        <v>3.0910424533583161</v>
      </c>
      <c r="G2370" s="4">
        <v>2</v>
      </c>
    </row>
    <row r="2371" spans="1:7" x14ac:dyDescent="0.15">
      <c r="A2371" s="4">
        <v>2370</v>
      </c>
      <c r="B2371" s="4">
        <v>0</v>
      </c>
      <c r="D2371" s="5">
        <v>12.206072645530174</v>
      </c>
      <c r="E2371" s="4">
        <v>1</v>
      </c>
      <c r="F2371" s="5">
        <v>3.4965075614664802</v>
      </c>
      <c r="G2371" s="4">
        <v>4</v>
      </c>
    </row>
    <row r="2372" spans="1:7" x14ac:dyDescent="0.15">
      <c r="A2372" s="4">
        <v>2371</v>
      </c>
      <c r="B2372" s="4">
        <v>0</v>
      </c>
      <c r="D2372" s="5">
        <v>10.221941283654663</v>
      </c>
      <c r="E2372" s="4">
        <v>1</v>
      </c>
      <c r="F2372" s="5">
        <v>3.970291913552122</v>
      </c>
      <c r="G2372" s="4">
        <v>2</v>
      </c>
    </row>
    <row r="2373" spans="1:7" x14ac:dyDescent="0.15">
      <c r="A2373" s="4">
        <v>2372</v>
      </c>
      <c r="B2373" s="4">
        <v>1</v>
      </c>
      <c r="D2373" s="5">
        <v>11.379394072345706</v>
      </c>
      <c r="E2373" s="4">
        <v>1</v>
      </c>
      <c r="F2373" s="5">
        <v>3.5263605246161616</v>
      </c>
      <c r="G2373" s="4">
        <v>2</v>
      </c>
    </row>
    <row r="2374" spans="1:7" x14ac:dyDescent="0.15">
      <c r="A2374" s="4">
        <v>2373</v>
      </c>
      <c r="B2374" s="4">
        <v>0</v>
      </c>
      <c r="D2374" s="5">
        <v>8.9226582995244019</v>
      </c>
      <c r="E2374" s="4">
        <v>1</v>
      </c>
      <c r="F2374" s="5">
        <v>4.2484952420493594</v>
      </c>
      <c r="G2374" s="4">
        <v>1</v>
      </c>
    </row>
    <row r="2375" spans="1:7" x14ac:dyDescent="0.15">
      <c r="A2375" s="4">
        <v>2374</v>
      </c>
      <c r="B2375" s="4">
        <v>0</v>
      </c>
      <c r="D2375" s="5">
        <v>10.915088464214607</v>
      </c>
      <c r="E2375" s="4">
        <v>1</v>
      </c>
      <c r="F2375" s="5">
        <v>3.5263605246161616</v>
      </c>
      <c r="G2375" s="4">
        <v>5</v>
      </c>
    </row>
    <row r="2376" spans="1:7" x14ac:dyDescent="0.15">
      <c r="A2376" s="4">
        <v>2375</v>
      </c>
      <c r="B2376" s="4">
        <v>0</v>
      </c>
      <c r="D2376" s="5">
        <v>10.221941283654663</v>
      </c>
      <c r="E2376" s="4">
        <v>1</v>
      </c>
      <c r="F2376" s="5">
        <v>3.2580965380214821</v>
      </c>
      <c r="G2376" s="4">
        <v>4</v>
      </c>
    </row>
    <row r="2377" spans="1:7" x14ac:dyDescent="0.15">
      <c r="A2377" s="4">
        <v>2376</v>
      </c>
      <c r="B2377" s="4">
        <v>0</v>
      </c>
      <c r="D2377" s="5">
        <v>10.768484990022733</v>
      </c>
      <c r="E2377" s="4">
        <v>0</v>
      </c>
      <c r="F2377" s="5">
        <v>4.0430512678345503</v>
      </c>
      <c r="G2377" s="4">
        <v>1</v>
      </c>
    </row>
    <row r="2378" spans="1:7" x14ac:dyDescent="0.15">
      <c r="A2378" s="4">
        <v>2377</v>
      </c>
      <c r="B2378" s="4">
        <v>0</v>
      </c>
      <c r="D2378" s="5">
        <v>10.657259354912508</v>
      </c>
      <c r="E2378" s="4">
        <v>0</v>
      </c>
      <c r="F2378" s="5">
        <v>3.3322045101752038</v>
      </c>
      <c r="G2378" s="4">
        <v>1</v>
      </c>
    </row>
    <row r="2379" spans="1:7" x14ac:dyDescent="0.15">
      <c r="A2379" s="4">
        <v>2378</v>
      </c>
      <c r="B2379" s="4">
        <v>3</v>
      </c>
      <c r="D2379" s="5">
        <v>10.388995368317829</v>
      </c>
      <c r="E2379" s="4">
        <v>0</v>
      </c>
      <c r="F2379" s="5">
        <v>3.2580965380214821</v>
      </c>
      <c r="G2379" s="4">
        <v>3</v>
      </c>
    </row>
    <row r="2380" spans="1:7" x14ac:dyDescent="0.15">
      <c r="A2380" s="4">
        <v>2379</v>
      </c>
      <c r="B2380" s="4">
        <v>2</v>
      </c>
      <c r="D2380" s="5">
        <v>10.915088464214607</v>
      </c>
      <c r="E2380" s="4">
        <v>1</v>
      </c>
      <c r="F2380" s="5">
        <v>3.912023005428146</v>
      </c>
      <c r="G2380" s="4">
        <v>2</v>
      </c>
    </row>
    <row r="2381" spans="1:7" x14ac:dyDescent="0.15">
      <c r="A2381" s="4">
        <v>2380</v>
      </c>
      <c r="B2381" s="4">
        <v>0</v>
      </c>
      <c r="D2381" s="5">
        <v>10.021270588192511</v>
      </c>
      <c r="E2381" s="4">
        <v>0</v>
      </c>
      <c r="F2381" s="5">
        <v>3.0910424533583161</v>
      </c>
      <c r="G2381" s="4">
        <v>2</v>
      </c>
    </row>
    <row r="2382" spans="1:7" x14ac:dyDescent="0.15">
      <c r="A2382" s="4">
        <v>2381</v>
      </c>
      <c r="B2382" s="4">
        <v>0</v>
      </c>
      <c r="D2382" s="5">
        <v>10.021270588192511</v>
      </c>
      <c r="E2382" s="4">
        <v>1</v>
      </c>
      <c r="F2382" s="5">
        <v>3.4339872044851463</v>
      </c>
      <c r="G2382" s="4">
        <v>3</v>
      </c>
    </row>
    <row r="2383" spans="1:7" x14ac:dyDescent="0.15">
      <c r="A2383" s="4">
        <v>2382</v>
      </c>
      <c r="B2383" s="4">
        <v>0</v>
      </c>
      <c r="D2383" s="5">
        <v>10.388995368317829</v>
      </c>
      <c r="E2383" s="4">
        <v>0</v>
      </c>
      <c r="F2383" s="5">
        <v>3.8712010109078911</v>
      </c>
      <c r="G2383" s="4">
        <v>3</v>
      </c>
    </row>
    <row r="2384" spans="1:7" x14ac:dyDescent="0.15">
      <c r="A2384" s="4">
        <v>2383</v>
      </c>
      <c r="B2384" s="4">
        <v>0</v>
      </c>
      <c r="D2384" s="5">
        <v>12.072541252905651</v>
      </c>
      <c r="E2384" s="4">
        <v>1</v>
      </c>
      <c r="F2384" s="5">
        <v>3.5263605246161616</v>
      </c>
      <c r="G2384" s="4">
        <v>4</v>
      </c>
    </row>
    <row r="2385" spans="1:7" x14ac:dyDescent="0.15">
      <c r="A2385" s="4">
        <v>2384</v>
      </c>
      <c r="B2385" s="4">
        <v>0</v>
      </c>
      <c r="D2385" s="5">
        <v>10.657259354912508</v>
      </c>
      <c r="E2385" s="4">
        <v>1</v>
      </c>
      <c r="F2385" s="5">
        <v>3.9512437185814275</v>
      </c>
      <c r="G2385" s="4">
        <v>1</v>
      </c>
    </row>
    <row r="2386" spans="1:7" x14ac:dyDescent="0.15">
      <c r="A2386" s="4">
        <v>2385</v>
      </c>
      <c r="B2386" s="4">
        <v>1</v>
      </c>
      <c r="D2386" s="5">
        <v>10.657259354912508</v>
      </c>
      <c r="E2386" s="4">
        <v>1</v>
      </c>
      <c r="F2386" s="5">
        <v>4.0073331852324712</v>
      </c>
      <c r="G2386" s="4">
        <v>4</v>
      </c>
    </row>
    <row r="2387" spans="1:7" x14ac:dyDescent="0.15">
      <c r="A2387" s="4">
        <v>2386</v>
      </c>
      <c r="B2387" s="4">
        <v>0</v>
      </c>
      <c r="D2387" s="5">
        <v>11.379394072345706</v>
      </c>
      <c r="E2387" s="4">
        <v>1</v>
      </c>
      <c r="F2387" s="5">
        <v>3.7376696182833684</v>
      </c>
      <c r="G2387" s="4">
        <v>2</v>
      </c>
    </row>
    <row r="2388" spans="1:7" x14ac:dyDescent="0.15">
      <c r="A2388" s="4">
        <v>2387</v>
      </c>
      <c r="B2388" s="4">
        <v>0</v>
      </c>
      <c r="D2388" s="5">
        <v>10.221941283654663</v>
      </c>
      <c r="E2388" s="4">
        <v>0</v>
      </c>
      <c r="F2388" s="5">
        <v>2.9957322735539909</v>
      </c>
      <c r="G2388" s="4">
        <v>4</v>
      </c>
    </row>
    <row r="2389" spans="1:7" x14ac:dyDescent="0.15">
      <c r="A2389" s="4">
        <v>2388</v>
      </c>
      <c r="B2389" s="4">
        <v>0</v>
      </c>
      <c r="D2389" s="5">
        <v>10.768484990022733</v>
      </c>
      <c r="E2389" s="4">
        <v>1</v>
      </c>
      <c r="F2389" s="5">
        <v>2.4849066497880004</v>
      </c>
      <c r="G2389" s="4">
        <v>3</v>
      </c>
    </row>
    <row r="2390" spans="1:7" x14ac:dyDescent="0.15">
      <c r="A2390" s="4">
        <v>2389</v>
      </c>
      <c r="B2390" s="4">
        <v>0</v>
      </c>
      <c r="D2390" s="5">
        <v>10.532096211958502</v>
      </c>
      <c r="E2390" s="4">
        <v>1</v>
      </c>
      <c r="F2390" s="5">
        <v>3.2580965380214821</v>
      </c>
      <c r="G2390" s="4">
        <v>2</v>
      </c>
    </row>
    <row r="2391" spans="1:7" x14ac:dyDescent="0.15">
      <c r="A2391" s="4">
        <v>2390</v>
      </c>
      <c r="B2391" s="4">
        <v>0</v>
      </c>
      <c r="D2391" s="5">
        <v>11.082142548877775</v>
      </c>
      <c r="E2391" s="4">
        <v>1</v>
      </c>
      <c r="F2391" s="5">
        <v>3.044522437723423</v>
      </c>
      <c r="G2391" s="4">
        <v>3</v>
      </c>
    </row>
    <row r="2392" spans="1:7" x14ac:dyDescent="0.15">
      <c r="A2392" s="4">
        <v>2391</v>
      </c>
      <c r="B2392" s="4">
        <v>0</v>
      </c>
      <c r="D2392" s="5">
        <v>10.021270588192511</v>
      </c>
      <c r="E2392" s="4">
        <v>1</v>
      </c>
      <c r="F2392" s="5">
        <v>3.1780538303479458</v>
      </c>
      <c r="G2392" s="4">
        <v>2</v>
      </c>
    </row>
    <row r="2393" spans="1:7" x14ac:dyDescent="0.15">
      <c r="A2393" s="4">
        <v>2392</v>
      </c>
      <c r="B2393" s="4">
        <v>0</v>
      </c>
      <c r="D2393" s="5">
        <v>11.191341840842766</v>
      </c>
      <c r="E2393" s="4">
        <v>1</v>
      </c>
      <c r="F2393" s="5">
        <v>3.9512437185814275</v>
      </c>
      <c r="G2393" s="4">
        <v>3</v>
      </c>
    </row>
    <row r="2394" spans="1:7" x14ac:dyDescent="0.15">
      <c r="A2394" s="4">
        <v>2393</v>
      </c>
      <c r="B2394" s="4">
        <v>0</v>
      </c>
      <c r="D2394" s="5">
        <v>10.915088464214607</v>
      </c>
      <c r="E2394" s="4">
        <v>1</v>
      </c>
      <c r="F2394" s="5">
        <v>3.9512437185814275</v>
      </c>
      <c r="G2394" s="4">
        <v>3</v>
      </c>
    </row>
    <row r="2395" spans="1:7" x14ac:dyDescent="0.15">
      <c r="A2395" s="4">
        <v>2394</v>
      </c>
      <c r="B2395" s="4">
        <v>0</v>
      </c>
      <c r="D2395" s="5">
        <v>10.657259354912508</v>
      </c>
      <c r="E2395" s="4">
        <v>1</v>
      </c>
      <c r="F2395" s="5">
        <v>3.2188758248682006</v>
      </c>
      <c r="G2395" s="4">
        <v>2</v>
      </c>
    </row>
    <row r="2396" spans="1:7" x14ac:dyDescent="0.15">
      <c r="A2396" s="4">
        <v>2395</v>
      </c>
      <c r="B2396" s="4">
        <v>8</v>
      </c>
      <c r="D2396" s="5">
        <v>10.657259354912508</v>
      </c>
      <c r="E2396" s="4">
        <v>1</v>
      </c>
      <c r="F2396" s="5">
        <v>3.8501476017100584</v>
      </c>
      <c r="G2396" s="4">
        <v>2</v>
      </c>
    </row>
    <row r="2397" spans="1:7" x14ac:dyDescent="0.15">
      <c r="A2397" s="4">
        <v>2396</v>
      </c>
      <c r="B2397" s="4">
        <v>1</v>
      </c>
      <c r="D2397" s="5">
        <v>10.657259354912508</v>
      </c>
      <c r="E2397" s="4">
        <v>1</v>
      </c>
      <c r="F2397" s="5">
        <v>2.5649493574615367</v>
      </c>
      <c r="G2397" s="4">
        <v>2</v>
      </c>
    </row>
    <row r="2398" spans="1:7" x14ac:dyDescent="0.15">
      <c r="A2398" s="4">
        <v>2397</v>
      </c>
      <c r="B2398" s="4">
        <v>0</v>
      </c>
      <c r="D2398" s="5">
        <v>10.657259354912508</v>
      </c>
      <c r="E2398" s="4">
        <v>1</v>
      </c>
      <c r="F2398" s="5">
        <v>3.5835189384561099</v>
      </c>
      <c r="G2398" s="4">
        <v>2</v>
      </c>
    </row>
    <row r="2399" spans="1:7" x14ac:dyDescent="0.15">
      <c r="A2399" s="4">
        <v>2398</v>
      </c>
      <c r="B2399" s="4">
        <v>0</v>
      </c>
      <c r="D2399" s="5">
        <v>10.221941283654663</v>
      </c>
      <c r="E2399" s="4">
        <v>1</v>
      </c>
      <c r="F2399" s="5">
        <v>3.9318256327243257</v>
      </c>
      <c r="G2399" s="4">
        <v>1</v>
      </c>
    </row>
    <row r="2400" spans="1:7" x14ac:dyDescent="0.15">
      <c r="A2400" s="4">
        <v>2399</v>
      </c>
      <c r="B2400" s="4">
        <v>0</v>
      </c>
      <c r="D2400" s="5">
        <v>11.379394072345706</v>
      </c>
      <c r="E2400" s="4">
        <v>0</v>
      </c>
      <c r="F2400" s="5">
        <v>4.1108738641733114</v>
      </c>
      <c r="G2400" s="4">
        <v>4</v>
      </c>
    </row>
    <row r="2401" spans="1:7" x14ac:dyDescent="0.15">
      <c r="A2401" s="4">
        <v>2400</v>
      </c>
      <c r="B2401" s="4">
        <v>0</v>
      </c>
      <c r="D2401" s="5">
        <v>11.736069016284437</v>
      </c>
      <c r="E2401" s="4">
        <v>0</v>
      </c>
      <c r="F2401" s="5">
        <v>3.5263605246161616</v>
      </c>
      <c r="G2401" s="4">
        <v>4</v>
      </c>
    </row>
    <row r="2402" spans="1:7" x14ac:dyDescent="0.15">
      <c r="A2402" s="4">
        <v>2401</v>
      </c>
      <c r="B2402" s="4">
        <v>0</v>
      </c>
      <c r="D2402" s="5">
        <v>9.7699561599116063</v>
      </c>
      <c r="E2402" s="4">
        <v>0</v>
      </c>
      <c r="F2402" s="5">
        <v>2.7080502011022101</v>
      </c>
      <c r="G2402" s="4">
        <v>9</v>
      </c>
    </row>
    <row r="2403" spans="1:7" x14ac:dyDescent="0.15">
      <c r="A2403" s="4">
        <v>2402</v>
      </c>
      <c r="B2403" s="4">
        <v>1</v>
      </c>
      <c r="D2403" s="5">
        <v>10.915088464214607</v>
      </c>
      <c r="E2403" s="4">
        <v>0</v>
      </c>
      <c r="F2403" s="5">
        <v>4.1896547420264252</v>
      </c>
      <c r="G2403" s="4">
        <v>2</v>
      </c>
    </row>
    <row r="2404" spans="1:7" x14ac:dyDescent="0.15">
      <c r="A2404" s="4">
        <v>2403</v>
      </c>
      <c r="B2404" s="4">
        <v>0</v>
      </c>
      <c r="D2404" s="5">
        <v>10.768484990022733</v>
      </c>
      <c r="E2404" s="4">
        <v>1</v>
      </c>
      <c r="F2404" s="5">
        <v>3.912023005428146</v>
      </c>
      <c r="G2404" s="4">
        <v>2</v>
      </c>
    </row>
    <row r="2405" spans="1:7" x14ac:dyDescent="0.15">
      <c r="A2405" s="4">
        <v>2404</v>
      </c>
      <c r="B2405" s="4">
        <v>2</v>
      </c>
      <c r="D2405" s="5">
        <v>11.379394072345706</v>
      </c>
      <c r="E2405" s="4">
        <v>0</v>
      </c>
      <c r="F2405" s="5">
        <v>3.4657359027997265</v>
      </c>
      <c r="G2405" s="4">
        <v>2</v>
      </c>
    </row>
    <row r="2406" spans="1:7" x14ac:dyDescent="0.15">
      <c r="A2406" s="4">
        <v>2405</v>
      </c>
      <c r="B2406" s="4">
        <v>0</v>
      </c>
      <c r="D2406" s="5">
        <v>11.082142548877775</v>
      </c>
      <c r="E2406" s="4">
        <v>1</v>
      </c>
      <c r="F2406" s="5">
        <v>3.784189633918261</v>
      </c>
      <c r="G2406" s="4">
        <v>6</v>
      </c>
    </row>
    <row r="2407" spans="1:7" x14ac:dyDescent="0.15">
      <c r="A2407" s="4">
        <v>2406</v>
      </c>
      <c r="B2407" s="4">
        <v>0</v>
      </c>
      <c r="D2407" s="5">
        <v>11.082142548877775</v>
      </c>
      <c r="E2407" s="4">
        <v>1</v>
      </c>
      <c r="F2407" s="5">
        <v>2.6390573296152584</v>
      </c>
      <c r="G2407" s="4">
        <v>6</v>
      </c>
    </row>
    <row r="2408" spans="1:7" x14ac:dyDescent="0.15">
      <c r="A2408" s="4">
        <v>2407</v>
      </c>
      <c r="B2408" s="4">
        <v>5</v>
      </c>
      <c r="D2408" s="5">
        <v>10.915088464214607</v>
      </c>
      <c r="E2408" s="4">
        <v>1</v>
      </c>
      <c r="F2408" s="5">
        <v>3.7612001156935624</v>
      </c>
      <c r="G2408" s="4">
        <v>5</v>
      </c>
    </row>
    <row r="2409" spans="1:7" x14ac:dyDescent="0.15">
      <c r="A2409" s="4">
        <v>2408</v>
      </c>
      <c r="B2409" s="4">
        <v>1</v>
      </c>
      <c r="D2409" s="5">
        <v>10.915088464214607</v>
      </c>
      <c r="E2409" s="4">
        <v>0</v>
      </c>
      <c r="F2409" s="5">
        <v>2.6390573296152584</v>
      </c>
      <c r="G2409" s="4">
        <v>5</v>
      </c>
    </row>
    <row r="2410" spans="1:7" x14ac:dyDescent="0.15">
      <c r="A2410" s="4">
        <v>2409</v>
      </c>
      <c r="B2410" s="4">
        <v>0</v>
      </c>
      <c r="D2410" s="5">
        <v>10.915088464214607</v>
      </c>
      <c r="E2410" s="4">
        <v>0</v>
      </c>
      <c r="F2410" s="5">
        <v>2.4849066497880004</v>
      </c>
      <c r="G2410" s="4">
        <v>5</v>
      </c>
    </row>
    <row r="2411" spans="1:7" x14ac:dyDescent="0.15">
      <c r="A2411" s="4">
        <v>2410</v>
      </c>
      <c r="B2411" s="4">
        <v>0</v>
      </c>
      <c r="D2411" s="5">
        <v>10.021270588192511</v>
      </c>
      <c r="E2411" s="4">
        <v>1</v>
      </c>
      <c r="F2411" s="5">
        <v>3.7376696182833684</v>
      </c>
      <c r="G2411" s="4">
        <v>4</v>
      </c>
    </row>
    <row r="2412" spans="1:7" x14ac:dyDescent="0.15">
      <c r="A2412" s="4">
        <v>2411</v>
      </c>
      <c r="B2412" s="4">
        <v>0</v>
      </c>
      <c r="D2412" s="5">
        <v>10.915088464214607</v>
      </c>
      <c r="E2412" s="4">
        <v>0</v>
      </c>
      <c r="F2412" s="5">
        <v>3.6888794541139363</v>
      </c>
      <c r="G2412" s="4">
        <v>6</v>
      </c>
    </row>
    <row r="2413" spans="1:7" x14ac:dyDescent="0.15">
      <c r="A2413" s="4">
        <v>2412</v>
      </c>
      <c r="B2413" s="4">
        <v>0</v>
      </c>
      <c r="D2413" s="5">
        <v>10.388995368317829</v>
      </c>
      <c r="E2413" s="4">
        <v>1</v>
      </c>
      <c r="F2413" s="5">
        <v>3.713572066704308</v>
      </c>
      <c r="G2413" s="4">
        <v>5</v>
      </c>
    </row>
    <row r="2414" spans="1:7" x14ac:dyDescent="0.15">
      <c r="A2414" s="4">
        <v>2413</v>
      </c>
      <c r="B2414" s="4">
        <v>0</v>
      </c>
      <c r="D2414" s="5">
        <v>10.657259354912508</v>
      </c>
      <c r="E2414" s="4">
        <v>1</v>
      </c>
      <c r="F2414" s="5">
        <v>3.2188758248682006</v>
      </c>
      <c r="G2414" s="4">
        <v>3</v>
      </c>
    </row>
    <row r="2415" spans="1:7" x14ac:dyDescent="0.15">
      <c r="A2415" s="4">
        <v>2414</v>
      </c>
      <c r="B2415" s="4">
        <v>0</v>
      </c>
      <c r="D2415" s="5">
        <v>10.657259354912508</v>
      </c>
      <c r="E2415" s="4">
        <v>1</v>
      </c>
      <c r="F2415" s="5">
        <v>3.2958368660043291</v>
      </c>
      <c r="G2415" s="4">
        <v>2</v>
      </c>
    </row>
    <row r="2416" spans="1:7" x14ac:dyDescent="0.15">
      <c r="A2416" s="4">
        <v>2415</v>
      </c>
      <c r="B2416" s="4">
        <v>0</v>
      </c>
      <c r="D2416" s="5">
        <v>10.532096211958502</v>
      </c>
      <c r="E2416" s="4">
        <v>1</v>
      </c>
      <c r="F2416" s="5">
        <v>3.3322045101752038</v>
      </c>
      <c r="G2416" s="4">
        <v>2</v>
      </c>
    </row>
    <row r="2417" spans="1:7" x14ac:dyDescent="0.15">
      <c r="A2417" s="4">
        <v>2416</v>
      </c>
      <c r="B2417" s="4">
        <v>0</v>
      </c>
      <c r="D2417" s="5">
        <v>10.532096211958502</v>
      </c>
      <c r="E2417" s="4">
        <v>1</v>
      </c>
      <c r="F2417" s="5">
        <v>3.4339872044851463</v>
      </c>
      <c r="G2417" s="4">
        <v>2</v>
      </c>
    </row>
    <row r="2418" spans="1:7" x14ac:dyDescent="0.15">
      <c r="A2418" s="4">
        <v>2417</v>
      </c>
      <c r="B2418" s="4">
        <v>0</v>
      </c>
      <c r="D2418" s="5">
        <v>10.768484990022733</v>
      </c>
      <c r="E2418" s="4">
        <v>1</v>
      </c>
      <c r="F2418" s="5">
        <v>4.1271343850450917</v>
      </c>
      <c r="G2418" s="4">
        <v>3</v>
      </c>
    </row>
    <row r="2419" spans="1:7" x14ac:dyDescent="0.15">
      <c r="A2419" s="4">
        <v>2418</v>
      </c>
      <c r="B2419" s="4">
        <v>0</v>
      </c>
      <c r="D2419" s="5">
        <v>9.5287941030947181</v>
      </c>
      <c r="E2419" s="4">
        <v>0</v>
      </c>
      <c r="F2419" s="5">
        <v>3.2188758248682006</v>
      </c>
      <c r="G2419" s="4">
        <v>2</v>
      </c>
    </row>
    <row r="2420" spans="1:7" x14ac:dyDescent="0.15">
      <c r="A2420" s="4">
        <v>2419</v>
      </c>
      <c r="B2420" s="4">
        <v>1</v>
      </c>
      <c r="D2420" s="5">
        <v>10.915088464214607</v>
      </c>
      <c r="E2420" s="4">
        <v>0</v>
      </c>
      <c r="F2420" s="5">
        <v>4.0604430105464191</v>
      </c>
      <c r="G2420" s="4">
        <v>2</v>
      </c>
    </row>
    <row r="2421" spans="1:7" x14ac:dyDescent="0.15">
      <c r="A2421" s="4">
        <v>2420</v>
      </c>
      <c r="B2421" s="4">
        <v>0</v>
      </c>
      <c r="D2421" s="5">
        <v>11.379394072345706</v>
      </c>
      <c r="E2421" s="4">
        <v>1</v>
      </c>
      <c r="F2421" s="5">
        <v>3.7612001156935624</v>
      </c>
      <c r="G2421" s="4">
        <v>2</v>
      </c>
    </row>
    <row r="2422" spans="1:7" x14ac:dyDescent="0.15">
      <c r="A2422" s="4">
        <v>2421</v>
      </c>
      <c r="B2422" s="4">
        <v>0</v>
      </c>
      <c r="D2422" s="5">
        <v>10.768484990022733</v>
      </c>
      <c r="E2422" s="4">
        <v>0</v>
      </c>
      <c r="F2422" s="5">
        <v>3.5835189384561099</v>
      </c>
      <c r="G2422" s="4">
        <v>3</v>
      </c>
    </row>
    <row r="2423" spans="1:7" x14ac:dyDescent="0.15">
      <c r="A2423" s="4">
        <v>2422</v>
      </c>
      <c r="B2423" s="4">
        <v>0</v>
      </c>
      <c r="D2423" s="5">
        <v>11.736069016284437</v>
      </c>
      <c r="E2423" s="4">
        <v>0</v>
      </c>
      <c r="F2423" s="5">
        <v>3.8501476017100584</v>
      </c>
      <c r="G2423" s="4">
        <v>5</v>
      </c>
    </row>
    <row r="2424" spans="1:7" x14ac:dyDescent="0.15">
      <c r="A2424" s="4">
        <v>2423</v>
      </c>
      <c r="B2424" s="4">
        <v>0</v>
      </c>
      <c r="D2424" s="5">
        <v>11.082142548877775</v>
      </c>
      <c r="E2424" s="4">
        <v>1</v>
      </c>
      <c r="F2424" s="5">
        <v>3.8066624897703196</v>
      </c>
      <c r="G2424" s="4">
        <v>4</v>
      </c>
    </row>
    <row r="2425" spans="1:7" x14ac:dyDescent="0.15">
      <c r="A2425" s="4">
        <v>2424</v>
      </c>
      <c r="B2425" s="4">
        <v>0</v>
      </c>
      <c r="D2425" s="5">
        <v>11.082142548877775</v>
      </c>
      <c r="E2425" s="4">
        <v>1</v>
      </c>
      <c r="F2425" s="5">
        <v>2.7080502011022101</v>
      </c>
      <c r="G2425" s="4">
        <v>4</v>
      </c>
    </row>
    <row r="2426" spans="1:7" x14ac:dyDescent="0.15">
      <c r="A2426" s="4">
        <v>2425</v>
      </c>
      <c r="B2426" s="4">
        <v>0</v>
      </c>
      <c r="D2426" s="5">
        <v>11.082142548877775</v>
      </c>
      <c r="E2426" s="4">
        <v>0</v>
      </c>
      <c r="F2426" s="5">
        <v>3.8501476017100584</v>
      </c>
      <c r="G2426" s="4">
        <v>4</v>
      </c>
    </row>
    <row r="2427" spans="1:7" x14ac:dyDescent="0.15">
      <c r="A2427" s="4">
        <v>2426</v>
      </c>
      <c r="B2427" s="4">
        <v>0</v>
      </c>
      <c r="D2427" s="5">
        <v>12.072541252905651</v>
      </c>
      <c r="E2427" s="4">
        <v>0</v>
      </c>
      <c r="F2427" s="5">
        <v>4.0430512678345503</v>
      </c>
      <c r="G2427" s="4">
        <v>2</v>
      </c>
    </row>
    <row r="2428" spans="1:7" x14ac:dyDescent="0.15">
      <c r="A2428" s="4">
        <v>2427</v>
      </c>
      <c r="B2428" s="4">
        <v>0</v>
      </c>
      <c r="D2428" s="5">
        <v>10.221941283654663</v>
      </c>
      <c r="E2428" s="4">
        <v>0</v>
      </c>
      <c r="F2428" s="5">
        <v>4.0253516907351496</v>
      </c>
      <c r="G2428" s="4">
        <v>1</v>
      </c>
    </row>
    <row r="2429" spans="1:7" x14ac:dyDescent="0.15">
      <c r="A2429" s="4">
        <v>2428</v>
      </c>
      <c r="B2429" s="4">
        <v>2</v>
      </c>
      <c r="D2429" s="5">
        <v>10.388995368317829</v>
      </c>
      <c r="E2429" s="4">
        <v>1</v>
      </c>
      <c r="F2429" s="5">
        <v>4.1108738641733114</v>
      </c>
      <c r="G2429" s="4">
        <v>3</v>
      </c>
    </row>
    <row r="2430" spans="1:7" x14ac:dyDescent="0.15">
      <c r="A2430" s="4">
        <v>2429</v>
      </c>
      <c r="B2430" s="4">
        <v>12</v>
      </c>
      <c r="D2430" s="5">
        <v>11.082142548877775</v>
      </c>
      <c r="E2430" s="4">
        <v>1</v>
      </c>
      <c r="F2430" s="5">
        <v>3.6109179126442243</v>
      </c>
      <c r="G2430" s="4">
        <v>2</v>
      </c>
    </row>
    <row r="2431" spans="1:7" x14ac:dyDescent="0.15">
      <c r="A2431" s="4">
        <v>2430</v>
      </c>
      <c r="B2431" s="4">
        <v>0</v>
      </c>
      <c r="D2431" s="5">
        <v>10.388995368317829</v>
      </c>
      <c r="E2431" s="4">
        <v>0</v>
      </c>
      <c r="F2431" s="5">
        <v>3.2580965380214821</v>
      </c>
      <c r="G2431" s="4">
        <v>1</v>
      </c>
    </row>
    <row r="2432" spans="1:7" x14ac:dyDescent="0.15">
      <c r="A2432" s="4">
        <v>2431</v>
      </c>
      <c r="B2432" s="4">
        <v>1</v>
      </c>
      <c r="D2432" s="5">
        <v>10.915088464214607</v>
      </c>
      <c r="E2432" s="4">
        <v>0</v>
      </c>
      <c r="F2432" s="5">
        <v>3.4339872044851463</v>
      </c>
      <c r="G2432" s="4">
        <v>2</v>
      </c>
    </row>
    <row r="2433" spans="1:7" x14ac:dyDescent="0.15">
      <c r="A2433" s="4">
        <v>2432</v>
      </c>
      <c r="B2433" s="4">
        <v>0</v>
      </c>
      <c r="D2433" s="5">
        <v>9.7699561599116063</v>
      </c>
      <c r="E2433" s="4">
        <v>0</v>
      </c>
      <c r="F2433" s="5">
        <v>3.0910424533583161</v>
      </c>
      <c r="G2433" s="4">
        <v>1</v>
      </c>
    </row>
    <row r="2434" spans="1:7" x14ac:dyDescent="0.15">
      <c r="A2434" s="4">
        <v>2433</v>
      </c>
      <c r="B2434" s="4">
        <v>0</v>
      </c>
      <c r="D2434" s="5">
        <v>11.736069016284437</v>
      </c>
      <c r="E2434" s="4">
        <v>1</v>
      </c>
      <c r="F2434" s="5">
        <v>3.7612001156935624</v>
      </c>
      <c r="G2434" s="4">
        <v>2</v>
      </c>
    </row>
    <row r="2435" spans="1:7" x14ac:dyDescent="0.15">
      <c r="A2435" s="4">
        <v>2434</v>
      </c>
      <c r="B2435" s="4">
        <v>0</v>
      </c>
      <c r="D2435" s="5">
        <v>11.191341840842766</v>
      </c>
      <c r="E2435" s="4">
        <v>0</v>
      </c>
      <c r="F2435" s="5">
        <v>3.8066624897703196</v>
      </c>
      <c r="G2435" s="4">
        <v>2</v>
      </c>
    </row>
    <row r="2436" spans="1:7" x14ac:dyDescent="0.15">
      <c r="A2436" s="4">
        <v>2435</v>
      </c>
      <c r="B2436" s="4">
        <v>0</v>
      </c>
      <c r="D2436" s="5">
        <v>10.657259354912508</v>
      </c>
      <c r="E2436" s="4">
        <v>1</v>
      </c>
      <c r="F2436" s="5">
        <v>3.912023005428146</v>
      </c>
      <c r="G2436" s="4">
        <v>3</v>
      </c>
    </row>
    <row r="2437" spans="1:7" x14ac:dyDescent="0.15">
      <c r="A2437" s="4">
        <v>2436</v>
      </c>
      <c r="B2437" s="4">
        <v>0</v>
      </c>
      <c r="D2437" s="5">
        <v>11.379394072345706</v>
      </c>
      <c r="E2437" s="4">
        <v>0</v>
      </c>
      <c r="F2437" s="5">
        <v>3.7612001156935624</v>
      </c>
      <c r="G2437" s="4">
        <v>4</v>
      </c>
    </row>
    <row r="2438" spans="1:7" x14ac:dyDescent="0.15">
      <c r="A2438" s="4">
        <v>2437</v>
      </c>
      <c r="B2438" s="4">
        <v>0</v>
      </c>
      <c r="D2438" s="5">
        <v>11.379394072345706</v>
      </c>
      <c r="E2438" s="4">
        <v>1</v>
      </c>
      <c r="F2438" s="5">
        <v>3.8286413964890951</v>
      </c>
      <c r="G2438" s="4">
        <v>4</v>
      </c>
    </row>
    <row r="2439" spans="1:7" x14ac:dyDescent="0.15">
      <c r="A2439" s="4">
        <v>2438</v>
      </c>
      <c r="B2439" s="4">
        <v>0</v>
      </c>
      <c r="D2439" s="5">
        <v>10.021270588192511</v>
      </c>
      <c r="E2439" s="4">
        <v>0</v>
      </c>
      <c r="F2439" s="5">
        <v>4.2341065045972597</v>
      </c>
      <c r="G2439" s="4">
        <v>2</v>
      </c>
    </row>
    <row r="2440" spans="1:7" x14ac:dyDescent="0.15">
      <c r="A2440" s="4">
        <v>2439</v>
      </c>
      <c r="B2440" s="4">
        <v>0</v>
      </c>
      <c r="D2440" s="5">
        <v>10.915088464214607</v>
      </c>
      <c r="E2440" s="4">
        <v>0</v>
      </c>
      <c r="F2440" s="5">
        <v>3.784189633918261</v>
      </c>
      <c r="G2440" s="4">
        <v>1</v>
      </c>
    </row>
    <row r="2441" spans="1:7" x14ac:dyDescent="0.15">
      <c r="A2441" s="4">
        <v>2440</v>
      </c>
      <c r="B2441" s="4">
        <v>0</v>
      </c>
      <c r="D2441" s="5">
        <v>11.082142548877775</v>
      </c>
      <c r="E2441" s="4">
        <v>1</v>
      </c>
      <c r="F2441" s="5">
        <v>4.0604430105464191</v>
      </c>
      <c r="G2441" s="4">
        <v>2</v>
      </c>
    </row>
    <row r="2442" spans="1:7" x14ac:dyDescent="0.15">
      <c r="A2442" s="4">
        <v>2441</v>
      </c>
      <c r="B2442" s="4">
        <v>0</v>
      </c>
      <c r="D2442" s="5">
        <v>10.657259354912508</v>
      </c>
      <c r="E2442" s="4">
        <v>0</v>
      </c>
      <c r="F2442" s="5">
        <v>3.912023005428146</v>
      </c>
      <c r="G2442" s="4">
        <v>3</v>
      </c>
    </row>
    <row r="2443" spans="1:7" x14ac:dyDescent="0.15">
      <c r="A2443" s="4">
        <v>2442</v>
      </c>
      <c r="B2443" s="4">
        <v>0</v>
      </c>
      <c r="D2443" s="5">
        <v>10.915088464214607</v>
      </c>
      <c r="E2443" s="4">
        <v>0</v>
      </c>
      <c r="F2443" s="5">
        <v>3.3322045101752038</v>
      </c>
      <c r="G2443" s="4">
        <v>2</v>
      </c>
    </row>
    <row r="2444" spans="1:7" x14ac:dyDescent="0.15">
      <c r="A2444" s="4">
        <v>2443</v>
      </c>
      <c r="B2444" s="4">
        <v>0</v>
      </c>
      <c r="D2444" s="5">
        <v>10.221941283654663</v>
      </c>
      <c r="E2444" s="4">
        <v>1</v>
      </c>
      <c r="F2444" s="5">
        <v>3.0910424533583161</v>
      </c>
      <c r="G2444" s="4">
        <v>2</v>
      </c>
    </row>
    <row r="2445" spans="1:7" x14ac:dyDescent="0.15">
      <c r="A2445" s="4">
        <v>2444</v>
      </c>
      <c r="B2445" s="4">
        <v>0</v>
      </c>
      <c r="D2445" s="5">
        <v>10.768484990022733</v>
      </c>
      <c r="E2445" s="4">
        <v>1</v>
      </c>
      <c r="F2445" s="5">
        <v>3.5263605246161616</v>
      </c>
      <c r="G2445" s="4">
        <v>1</v>
      </c>
    </row>
    <row r="2446" spans="1:7" x14ac:dyDescent="0.15">
      <c r="A2446" s="4">
        <v>2445</v>
      </c>
      <c r="B2446" s="4">
        <v>0</v>
      </c>
      <c r="D2446" s="5">
        <v>10.915088464214607</v>
      </c>
      <c r="E2446" s="4">
        <v>1</v>
      </c>
      <c r="F2446" s="5">
        <v>3.4657359027997265</v>
      </c>
      <c r="G2446" s="4">
        <v>3</v>
      </c>
    </row>
    <row r="2447" spans="1:7" x14ac:dyDescent="0.15">
      <c r="A2447" s="4">
        <v>2446</v>
      </c>
      <c r="B2447" s="4">
        <v>1</v>
      </c>
      <c r="D2447" s="5">
        <v>11.191341840842766</v>
      </c>
      <c r="E2447" s="4">
        <v>0</v>
      </c>
      <c r="F2447" s="5">
        <v>3.8501476017100584</v>
      </c>
      <c r="G2447" s="4">
        <v>5</v>
      </c>
    </row>
    <row r="2448" spans="1:7" x14ac:dyDescent="0.15">
      <c r="A2448" s="4">
        <v>2447</v>
      </c>
      <c r="B2448" s="4">
        <v>0</v>
      </c>
      <c r="D2448" s="5">
        <v>11.082142548877775</v>
      </c>
      <c r="E2448" s="4">
        <v>1</v>
      </c>
      <c r="F2448" s="5">
        <v>3.5835189384561099</v>
      </c>
      <c r="G2448" s="4">
        <v>4</v>
      </c>
    </row>
    <row r="2449" spans="1:7" x14ac:dyDescent="0.15">
      <c r="A2449" s="4">
        <v>2448</v>
      </c>
      <c r="B2449" s="4">
        <v>0</v>
      </c>
      <c r="D2449" s="5">
        <v>11.736069016284437</v>
      </c>
      <c r="E2449" s="4">
        <v>0</v>
      </c>
      <c r="F2449" s="5">
        <v>3.6109179126442243</v>
      </c>
      <c r="G2449" s="4">
        <v>4</v>
      </c>
    </row>
    <row r="2450" spans="1:7" x14ac:dyDescent="0.15">
      <c r="A2450" s="4">
        <v>2449</v>
      </c>
      <c r="B2450" s="4">
        <v>1</v>
      </c>
      <c r="D2450" s="5">
        <v>10.915088464214607</v>
      </c>
      <c r="E2450" s="4">
        <v>1</v>
      </c>
      <c r="F2450" s="5">
        <v>4.1588830833596715</v>
      </c>
      <c r="G2450" s="4">
        <v>1</v>
      </c>
    </row>
    <row r="2451" spans="1:7" x14ac:dyDescent="0.15">
      <c r="A2451" s="4">
        <v>2450</v>
      </c>
      <c r="B2451" s="4">
        <v>0</v>
      </c>
      <c r="D2451" s="5">
        <v>11.379394072345706</v>
      </c>
      <c r="E2451" s="4">
        <v>0</v>
      </c>
      <c r="F2451" s="5">
        <v>3.8501476017100584</v>
      </c>
      <c r="G2451" s="4">
        <v>4</v>
      </c>
    </row>
    <row r="2452" spans="1:7" x14ac:dyDescent="0.15">
      <c r="A2452" s="4">
        <v>2451</v>
      </c>
      <c r="B2452" s="4">
        <v>0</v>
      </c>
      <c r="D2452" s="5">
        <v>10.221941283654663</v>
      </c>
      <c r="E2452" s="4">
        <v>0</v>
      </c>
      <c r="F2452" s="5">
        <v>2.5649493574615367</v>
      </c>
      <c r="G2452" s="4">
        <v>4</v>
      </c>
    </row>
    <row r="2453" spans="1:7" x14ac:dyDescent="0.15">
      <c r="A2453" s="4">
        <v>2452</v>
      </c>
      <c r="B2453" s="4">
        <v>0</v>
      </c>
      <c r="D2453" s="5">
        <v>10.768484990022733</v>
      </c>
      <c r="E2453" s="4">
        <v>0</v>
      </c>
      <c r="F2453" s="5">
        <v>3.8501476017100584</v>
      </c>
      <c r="G2453" s="4">
        <v>4</v>
      </c>
    </row>
    <row r="2454" spans="1:7" x14ac:dyDescent="0.15">
      <c r="A2454" s="4">
        <v>2453</v>
      </c>
      <c r="B2454" s="4">
        <v>2</v>
      </c>
      <c r="D2454" s="5">
        <v>10.915088464214607</v>
      </c>
      <c r="E2454" s="4">
        <v>1</v>
      </c>
      <c r="F2454" s="5">
        <v>3.5835189384561099</v>
      </c>
      <c r="G2454" s="4">
        <v>4</v>
      </c>
    </row>
    <row r="2455" spans="1:7" x14ac:dyDescent="0.15">
      <c r="A2455" s="4">
        <v>2454</v>
      </c>
      <c r="B2455" s="4">
        <v>0</v>
      </c>
      <c r="D2455" s="5">
        <v>10.657259354912508</v>
      </c>
      <c r="E2455" s="4">
        <v>1</v>
      </c>
      <c r="F2455" s="5">
        <v>3.6888794541139363</v>
      </c>
      <c r="G2455" s="4">
        <v>2</v>
      </c>
    </row>
    <row r="2456" spans="1:7" x14ac:dyDescent="0.15">
      <c r="A2456" s="4">
        <v>2455</v>
      </c>
      <c r="B2456" s="4">
        <v>0</v>
      </c>
      <c r="D2456" s="5">
        <v>9.3281234076325656</v>
      </c>
      <c r="E2456" s="4">
        <v>1</v>
      </c>
      <c r="F2456" s="5">
        <v>3.7612001156935624</v>
      </c>
      <c r="G2456" s="4">
        <v>3</v>
      </c>
    </row>
    <row r="2457" spans="1:7" x14ac:dyDescent="0.15">
      <c r="A2457" s="4">
        <v>2456</v>
      </c>
      <c r="B2457" s="4">
        <v>0</v>
      </c>
      <c r="D2457" s="5">
        <v>10.388995368317829</v>
      </c>
      <c r="E2457" s="4">
        <v>1</v>
      </c>
      <c r="F2457" s="5">
        <v>3.8066624897703196</v>
      </c>
      <c r="G2457" s="4">
        <v>3</v>
      </c>
    </row>
    <row r="2458" spans="1:7" x14ac:dyDescent="0.15">
      <c r="A2458" s="4">
        <v>2457</v>
      </c>
      <c r="B2458" s="4">
        <v>0</v>
      </c>
      <c r="D2458" s="5">
        <v>10.388995368317829</v>
      </c>
      <c r="E2458" s="4">
        <v>1</v>
      </c>
      <c r="F2458" s="5">
        <v>2.7080502011022101</v>
      </c>
      <c r="G2458" s="4">
        <v>3</v>
      </c>
    </row>
    <row r="2459" spans="1:7" x14ac:dyDescent="0.15">
      <c r="A2459" s="4">
        <v>2458</v>
      </c>
      <c r="B2459" s="4">
        <v>1</v>
      </c>
      <c r="D2459" s="5">
        <v>10.768484990022733</v>
      </c>
      <c r="E2459" s="4">
        <v>1</v>
      </c>
      <c r="F2459" s="5">
        <v>4.0430512678345503</v>
      </c>
      <c r="G2459" s="4">
        <v>2</v>
      </c>
    </row>
    <row r="2460" spans="1:7" x14ac:dyDescent="0.15">
      <c r="A2460" s="4">
        <v>2459</v>
      </c>
      <c r="B2460" s="4">
        <v>0</v>
      </c>
      <c r="D2460" s="5">
        <v>11.191341840842766</v>
      </c>
      <c r="E2460" s="4">
        <v>1</v>
      </c>
      <c r="F2460" s="5">
        <v>3.4965075614664802</v>
      </c>
      <c r="G2460" s="4">
        <v>3</v>
      </c>
    </row>
    <row r="2461" spans="1:7" x14ac:dyDescent="0.15">
      <c r="A2461" s="4">
        <v>2460</v>
      </c>
      <c r="B2461" s="4">
        <v>0</v>
      </c>
      <c r="D2461" s="5">
        <v>11.736069016284437</v>
      </c>
      <c r="E2461" s="4">
        <v>1</v>
      </c>
      <c r="F2461" s="5">
        <v>3.9512437185814275</v>
      </c>
      <c r="G2461" s="4">
        <v>3</v>
      </c>
    </row>
    <row r="2462" spans="1:7" x14ac:dyDescent="0.15">
      <c r="A2462" s="4">
        <v>2461</v>
      </c>
      <c r="B2462" s="4">
        <v>0</v>
      </c>
      <c r="D2462" s="5">
        <v>10.532096211958502</v>
      </c>
      <c r="E2462" s="4">
        <v>0</v>
      </c>
      <c r="F2462" s="5">
        <v>3.7612001156935624</v>
      </c>
      <c r="G2462" s="4">
        <v>1</v>
      </c>
    </row>
    <row r="2463" spans="1:7" x14ac:dyDescent="0.15">
      <c r="A2463" s="4">
        <v>2462</v>
      </c>
      <c r="B2463" s="4">
        <v>2</v>
      </c>
      <c r="D2463" s="5">
        <v>8.9226582995244019</v>
      </c>
      <c r="E2463" s="4">
        <v>0</v>
      </c>
      <c r="F2463" s="5">
        <v>3.4339872044851463</v>
      </c>
      <c r="G2463" s="4">
        <v>1</v>
      </c>
    </row>
    <row r="2464" spans="1:7" x14ac:dyDescent="0.15">
      <c r="A2464" s="4">
        <v>2463</v>
      </c>
      <c r="B2464" s="4">
        <v>0</v>
      </c>
      <c r="D2464" s="5">
        <v>10.768484990022733</v>
      </c>
      <c r="E2464" s="4">
        <v>1</v>
      </c>
      <c r="F2464" s="5">
        <v>3.5263605246161616</v>
      </c>
      <c r="G2464" s="4">
        <v>5</v>
      </c>
    </row>
    <row r="2465" spans="1:7" x14ac:dyDescent="0.15">
      <c r="A2465" s="4">
        <v>2464</v>
      </c>
      <c r="B2465" s="4">
        <v>3</v>
      </c>
      <c r="D2465" s="5">
        <v>10.021270588192511</v>
      </c>
      <c r="E2465" s="4">
        <v>0</v>
      </c>
      <c r="F2465" s="5">
        <v>4.2626798770413155</v>
      </c>
      <c r="G2465" s="4">
        <v>1</v>
      </c>
    </row>
    <row r="2466" spans="1:7" x14ac:dyDescent="0.15">
      <c r="A2466" s="4">
        <v>2465</v>
      </c>
      <c r="B2466" s="4">
        <v>1</v>
      </c>
      <c r="D2466" s="5">
        <v>11.082142548877775</v>
      </c>
      <c r="E2466" s="4">
        <v>1</v>
      </c>
      <c r="F2466" s="5">
        <v>3.9512437185814275</v>
      </c>
      <c r="G2466" s="4">
        <v>2</v>
      </c>
    </row>
    <row r="2467" spans="1:7" x14ac:dyDescent="0.15">
      <c r="A2467" s="4">
        <v>2466</v>
      </c>
      <c r="B2467" s="4">
        <v>0</v>
      </c>
      <c r="D2467" s="5">
        <v>10.532096211958502</v>
      </c>
      <c r="E2467" s="4">
        <v>1</v>
      </c>
      <c r="F2467" s="5">
        <v>4.0943445622221004</v>
      </c>
      <c r="G2467" s="4">
        <v>1</v>
      </c>
    </row>
    <row r="2468" spans="1:7" x14ac:dyDescent="0.15">
      <c r="A2468" s="4">
        <v>2467</v>
      </c>
      <c r="B2468" s="4">
        <v>11</v>
      </c>
      <c r="D2468" s="5">
        <v>11.736069016284437</v>
      </c>
      <c r="E2468" s="4">
        <v>1</v>
      </c>
      <c r="F2468" s="5">
        <v>4.1271343850450917</v>
      </c>
      <c r="G2468" s="4">
        <v>1</v>
      </c>
    </row>
    <row r="2469" spans="1:7" x14ac:dyDescent="0.15">
      <c r="A2469" s="4">
        <v>2468</v>
      </c>
      <c r="B2469" s="4">
        <v>1</v>
      </c>
      <c r="D2469" s="5">
        <v>11.191341840842766</v>
      </c>
      <c r="E2469" s="4">
        <v>1</v>
      </c>
      <c r="F2469" s="5">
        <v>3.5835189384561099</v>
      </c>
      <c r="G2469" s="4">
        <v>2</v>
      </c>
    </row>
    <row r="2470" spans="1:7" x14ac:dyDescent="0.15">
      <c r="A2470" s="4">
        <v>2469</v>
      </c>
      <c r="B2470" s="4">
        <v>0</v>
      </c>
      <c r="D2470" s="5">
        <v>11.082142548877775</v>
      </c>
      <c r="E2470" s="4">
        <v>1</v>
      </c>
      <c r="F2470" s="5">
        <v>3.4965075614664802</v>
      </c>
      <c r="G2470" s="4">
        <v>2</v>
      </c>
    </row>
    <row r="2471" spans="1:7" x14ac:dyDescent="0.15">
      <c r="A2471" s="4">
        <v>2470</v>
      </c>
      <c r="B2471" s="4">
        <v>2</v>
      </c>
      <c r="D2471" s="5">
        <v>10.768484990022733</v>
      </c>
      <c r="E2471" s="4">
        <v>1</v>
      </c>
      <c r="F2471" s="5">
        <v>3.5835189384561099</v>
      </c>
      <c r="G2471" s="4">
        <v>3</v>
      </c>
    </row>
    <row r="2472" spans="1:7" x14ac:dyDescent="0.15">
      <c r="A2472" s="4">
        <v>2471</v>
      </c>
      <c r="B2472" s="4">
        <v>0</v>
      </c>
      <c r="D2472" s="5">
        <v>10.388995368317829</v>
      </c>
      <c r="E2472" s="4">
        <v>0</v>
      </c>
      <c r="F2472" s="5">
        <v>3.1354942159291497</v>
      </c>
      <c r="G2472" s="4">
        <v>3</v>
      </c>
    </row>
    <row r="2473" spans="1:7" x14ac:dyDescent="0.15">
      <c r="A2473" s="4">
        <v>2472</v>
      </c>
      <c r="B2473" s="4">
        <v>0</v>
      </c>
      <c r="D2473" s="5">
        <v>11.736069016284437</v>
      </c>
      <c r="E2473" s="4">
        <v>0</v>
      </c>
      <c r="F2473" s="5">
        <v>3.8066624897703196</v>
      </c>
      <c r="G2473" s="4">
        <v>3</v>
      </c>
    </row>
    <row r="2474" spans="1:7" x14ac:dyDescent="0.15">
      <c r="A2474" s="4">
        <v>2473</v>
      </c>
      <c r="B2474" s="4">
        <v>1</v>
      </c>
      <c r="D2474" s="5">
        <v>10.388995368317829</v>
      </c>
      <c r="E2474" s="4">
        <v>1</v>
      </c>
      <c r="F2474" s="5">
        <v>3.9318256327243257</v>
      </c>
      <c r="G2474" s="4">
        <v>2</v>
      </c>
    </row>
    <row r="2475" spans="1:7" x14ac:dyDescent="0.15">
      <c r="A2475" s="4">
        <v>2474</v>
      </c>
      <c r="B2475" s="4">
        <v>0</v>
      </c>
      <c r="D2475" s="5">
        <v>10.388995368317829</v>
      </c>
      <c r="E2475" s="4">
        <v>1</v>
      </c>
      <c r="F2475" s="5">
        <v>2.9444389791664403</v>
      </c>
      <c r="G2475" s="4">
        <v>4</v>
      </c>
    </row>
    <row r="2476" spans="1:7" x14ac:dyDescent="0.15">
      <c r="A2476" s="4">
        <v>2475</v>
      </c>
      <c r="B2476" s="4">
        <v>0</v>
      </c>
      <c r="D2476" s="5">
        <v>11.082142548877775</v>
      </c>
      <c r="E2476" s="4">
        <v>1</v>
      </c>
      <c r="F2476" s="5">
        <v>3.8918202981106265</v>
      </c>
      <c r="G2476" s="4">
        <v>4</v>
      </c>
    </row>
    <row r="2477" spans="1:7" x14ac:dyDescent="0.15">
      <c r="A2477" s="4">
        <v>2476</v>
      </c>
      <c r="B2477" s="4">
        <v>0</v>
      </c>
      <c r="D2477" s="5">
        <v>11.379394072345706</v>
      </c>
      <c r="E2477" s="4">
        <v>0</v>
      </c>
      <c r="F2477" s="5">
        <v>3.8918202981106265</v>
      </c>
      <c r="G2477" s="4">
        <v>6</v>
      </c>
    </row>
    <row r="2478" spans="1:7" x14ac:dyDescent="0.15">
      <c r="A2478" s="4">
        <v>2477</v>
      </c>
      <c r="B2478" s="4">
        <v>3</v>
      </c>
      <c r="D2478" s="5">
        <v>11.191341840842766</v>
      </c>
      <c r="E2478" s="4">
        <v>0</v>
      </c>
      <c r="F2478" s="5">
        <v>3.5553480614894135</v>
      </c>
      <c r="G2478" s="4">
        <v>4</v>
      </c>
    </row>
    <row r="2479" spans="1:7" x14ac:dyDescent="0.15">
      <c r="A2479" s="4">
        <v>2478</v>
      </c>
      <c r="B2479" s="4">
        <v>0</v>
      </c>
      <c r="D2479" s="5">
        <v>10.657259354912508</v>
      </c>
      <c r="E2479" s="4">
        <v>1</v>
      </c>
      <c r="F2479" s="5">
        <v>3.5835189384561099</v>
      </c>
      <c r="G2479" s="4">
        <v>4</v>
      </c>
    </row>
    <row r="2480" spans="1:7" x14ac:dyDescent="0.15">
      <c r="A2480" s="4">
        <v>2479</v>
      </c>
      <c r="B2480" s="4">
        <v>0</v>
      </c>
      <c r="D2480" s="5">
        <v>11.082142548877775</v>
      </c>
      <c r="E2480" s="4">
        <v>1</v>
      </c>
      <c r="F2480" s="5">
        <v>3.6109179126442243</v>
      </c>
      <c r="G2480" s="4">
        <v>2</v>
      </c>
    </row>
    <row r="2481" spans="1:7" x14ac:dyDescent="0.15">
      <c r="A2481" s="4">
        <v>2480</v>
      </c>
      <c r="B2481" s="4">
        <v>0</v>
      </c>
      <c r="D2481" s="5">
        <v>10.388995368317829</v>
      </c>
      <c r="E2481" s="4">
        <v>1</v>
      </c>
      <c r="F2481" s="5">
        <v>2.7725887222397811</v>
      </c>
      <c r="G2481" s="4">
        <v>5</v>
      </c>
    </row>
    <row r="2482" spans="1:7" x14ac:dyDescent="0.15">
      <c r="A2482" s="4">
        <v>2481</v>
      </c>
      <c r="B2482" s="4">
        <v>0</v>
      </c>
      <c r="D2482" s="5">
        <v>11.082142548877775</v>
      </c>
      <c r="E2482" s="4">
        <v>1</v>
      </c>
      <c r="F2482" s="5">
        <v>3.8501476017100584</v>
      </c>
      <c r="G2482" s="4">
        <v>4</v>
      </c>
    </row>
    <row r="2483" spans="1:7" x14ac:dyDescent="0.15">
      <c r="A2483" s="4">
        <v>2482</v>
      </c>
      <c r="B2483" s="4">
        <v>0</v>
      </c>
      <c r="D2483" s="5">
        <v>10.308952660644293</v>
      </c>
      <c r="E2483" s="4">
        <v>0</v>
      </c>
      <c r="F2483" s="5">
        <v>2.8332133440562162</v>
      </c>
      <c r="G2483" s="4">
        <v>4</v>
      </c>
    </row>
    <row r="2484" spans="1:7" x14ac:dyDescent="0.15">
      <c r="A2484" s="4">
        <v>2483</v>
      </c>
      <c r="B2484" s="4">
        <v>4</v>
      </c>
      <c r="D2484" s="5">
        <v>11.082142548877775</v>
      </c>
      <c r="E2484" s="4">
        <v>1</v>
      </c>
      <c r="F2484" s="5">
        <v>3.9512437185814275</v>
      </c>
      <c r="G2484" s="4">
        <v>2</v>
      </c>
    </row>
    <row r="2485" spans="1:7" x14ac:dyDescent="0.15">
      <c r="A2485" s="4">
        <v>2484</v>
      </c>
      <c r="B2485" s="4">
        <v>0</v>
      </c>
      <c r="D2485" s="5">
        <v>11.379394072345706</v>
      </c>
      <c r="E2485" s="4">
        <v>0</v>
      </c>
      <c r="F2485" s="5">
        <v>3.8501476017100584</v>
      </c>
      <c r="G2485" s="4">
        <v>5</v>
      </c>
    </row>
    <row r="2486" spans="1:7" x14ac:dyDescent="0.15">
      <c r="A2486" s="4">
        <v>2485</v>
      </c>
      <c r="B2486" s="4">
        <v>0</v>
      </c>
      <c r="D2486" s="5">
        <v>10.768484990022733</v>
      </c>
      <c r="E2486" s="4">
        <v>0</v>
      </c>
      <c r="F2486" s="5">
        <v>3.5835189384561099</v>
      </c>
      <c r="G2486" s="4">
        <v>3</v>
      </c>
    </row>
    <row r="2487" spans="1:7" x14ac:dyDescent="0.15">
      <c r="A2487" s="4">
        <v>2486</v>
      </c>
      <c r="B2487" s="4">
        <v>1</v>
      </c>
      <c r="D2487" s="5">
        <v>11.379394072345706</v>
      </c>
      <c r="E2487" s="4">
        <v>1</v>
      </c>
      <c r="F2487" s="5">
        <v>4.0604430105464191</v>
      </c>
      <c r="G2487" s="4">
        <v>2</v>
      </c>
    </row>
    <row r="2488" spans="1:7" x14ac:dyDescent="0.15">
      <c r="A2488" s="4">
        <v>2487</v>
      </c>
      <c r="B2488" s="4">
        <v>2</v>
      </c>
      <c r="D2488" s="5">
        <v>11.379394072345706</v>
      </c>
      <c r="E2488" s="4">
        <v>0</v>
      </c>
      <c r="F2488" s="5">
        <v>4.0943445622221004</v>
      </c>
      <c r="G2488" s="4">
        <v>2</v>
      </c>
    </row>
    <row r="2489" spans="1:7" x14ac:dyDescent="0.15">
      <c r="A2489" s="4">
        <v>2488</v>
      </c>
      <c r="B2489" s="4">
        <v>1</v>
      </c>
      <c r="D2489" s="5">
        <v>11.082142548877775</v>
      </c>
      <c r="E2489" s="4">
        <v>1</v>
      </c>
      <c r="F2489" s="5">
        <v>4.0073331852324712</v>
      </c>
      <c r="G2489" s="4">
        <v>2</v>
      </c>
    </row>
    <row r="2490" spans="1:7" x14ac:dyDescent="0.15">
      <c r="A2490" s="4">
        <v>2489</v>
      </c>
      <c r="B2490" s="4">
        <v>0</v>
      </c>
      <c r="D2490" s="5">
        <v>11.191341840842766</v>
      </c>
      <c r="E2490" s="4">
        <v>0</v>
      </c>
      <c r="F2490" s="5">
        <v>4.2046926193909657</v>
      </c>
      <c r="G2490" s="4">
        <v>2</v>
      </c>
    </row>
    <row r="2491" spans="1:7" x14ac:dyDescent="0.15">
      <c r="A2491" s="4">
        <v>2490</v>
      </c>
      <c r="B2491" s="4">
        <v>0</v>
      </c>
      <c r="D2491" s="5">
        <v>9.5287941030947181</v>
      </c>
      <c r="E2491" s="4">
        <v>0</v>
      </c>
      <c r="F2491" s="5">
        <v>3.3672958299864741</v>
      </c>
      <c r="G2491" s="4">
        <v>5</v>
      </c>
    </row>
    <row r="2492" spans="1:7" x14ac:dyDescent="0.15">
      <c r="A2492" s="4">
        <v>2491</v>
      </c>
      <c r="B2492" s="4">
        <v>0</v>
      </c>
      <c r="D2492" s="5">
        <v>10.388995368317829</v>
      </c>
      <c r="E2492" s="4">
        <v>1</v>
      </c>
      <c r="F2492" s="5">
        <v>3.6109179126442243</v>
      </c>
      <c r="G2492" s="4">
        <v>5</v>
      </c>
    </row>
    <row r="2493" spans="1:7" x14ac:dyDescent="0.15">
      <c r="A2493" s="4">
        <v>2492</v>
      </c>
      <c r="B2493" s="4">
        <v>0</v>
      </c>
      <c r="D2493" s="5">
        <v>10.388995368317829</v>
      </c>
      <c r="E2493" s="4">
        <v>0</v>
      </c>
      <c r="F2493" s="5">
        <v>2.5649493574615367</v>
      </c>
      <c r="G2493" s="4">
        <v>5</v>
      </c>
    </row>
    <row r="2494" spans="1:7" x14ac:dyDescent="0.15">
      <c r="A2494" s="4">
        <v>2493</v>
      </c>
      <c r="B2494" s="4">
        <v>0</v>
      </c>
      <c r="D2494" s="5">
        <v>10.388995368317829</v>
      </c>
      <c r="E2494" s="4">
        <v>0</v>
      </c>
      <c r="F2494" s="5">
        <v>2.3978952727983707</v>
      </c>
      <c r="G2494" s="4">
        <v>5</v>
      </c>
    </row>
    <row r="2495" spans="1:7" x14ac:dyDescent="0.15">
      <c r="A2495" s="4">
        <v>2494</v>
      </c>
      <c r="B2495" s="4">
        <v>5</v>
      </c>
      <c r="D2495" s="5">
        <v>11.191341840842766</v>
      </c>
      <c r="E2495" s="4">
        <v>1</v>
      </c>
      <c r="F2495" s="5">
        <v>3.713572066704308</v>
      </c>
      <c r="G2495" s="4">
        <v>2</v>
      </c>
    </row>
    <row r="2496" spans="1:7" x14ac:dyDescent="0.15">
      <c r="A2496" s="4">
        <v>2495</v>
      </c>
      <c r="B2496" s="4">
        <v>1</v>
      </c>
      <c r="D2496" s="5">
        <v>11.379394072345706</v>
      </c>
      <c r="E2496" s="4">
        <v>1</v>
      </c>
      <c r="F2496" s="5">
        <v>3.5835189384561099</v>
      </c>
      <c r="G2496" s="4">
        <v>4</v>
      </c>
    </row>
    <row r="2497" spans="1:7" x14ac:dyDescent="0.15">
      <c r="A2497" s="4">
        <v>2496</v>
      </c>
      <c r="B2497" s="4">
        <v>5</v>
      </c>
      <c r="D2497" s="5">
        <v>11.379394072345706</v>
      </c>
      <c r="E2497" s="4">
        <v>0</v>
      </c>
      <c r="F2497" s="5">
        <v>3.4965075614664802</v>
      </c>
      <c r="G2497" s="4">
        <v>2</v>
      </c>
    </row>
    <row r="2498" spans="1:7" x14ac:dyDescent="0.15">
      <c r="A2498" s="4">
        <v>2497</v>
      </c>
      <c r="B2498" s="4">
        <v>0</v>
      </c>
      <c r="D2498" s="5">
        <v>10.657259354912508</v>
      </c>
      <c r="E2498" s="4">
        <v>1</v>
      </c>
      <c r="F2498" s="5">
        <v>3.5835189384561099</v>
      </c>
      <c r="G2498" s="4">
        <v>4</v>
      </c>
    </row>
    <row r="2499" spans="1:7" x14ac:dyDescent="0.15">
      <c r="A2499" s="4">
        <v>2498</v>
      </c>
      <c r="B2499" s="4">
        <v>0</v>
      </c>
      <c r="D2499" s="5">
        <v>10.915088464214607</v>
      </c>
      <c r="E2499" s="4">
        <v>0</v>
      </c>
      <c r="F2499" s="5">
        <v>3.5263605246161616</v>
      </c>
      <c r="G2499" s="4">
        <v>3</v>
      </c>
    </row>
    <row r="2500" spans="1:7" x14ac:dyDescent="0.15">
      <c r="A2500" s="4">
        <v>2499</v>
      </c>
      <c r="B2500" s="4">
        <v>2</v>
      </c>
      <c r="D2500" s="5">
        <v>10.388995368317829</v>
      </c>
      <c r="E2500" s="4">
        <v>0</v>
      </c>
      <c r="F2500" s="5">
        <v>3.5263605246161616</v>
      </c>
      <c r="G2500" s="4">
        <v>4</v>
      </c>
    </row>
    <row r="2501" spans="1:7" x14ac:dyDescent="0.15">
      <c r="A2501" s="4">
        <v>2500</v>
      </c>
      <c r="B2501" s="4">
        <v>0</v>
      </c>
      <c r="D2501" s="5">
        <v>11.736069016284437</v>
      </c>
      <c r="E2501" s="4">
        <v>1</v>
      </c>
      <c r="F2501" s="5">
        <v>3.6635616461296463</v>
      </c>
      <c r="G2501" s="4">
        <v>3</v>
      </c>
    </row>
    <row r="2502" spans="1:7" x14ac:dyDescent="0.15">
      <c r="A2502" s="4">
        <v>2501</v>
      </c>
      <c r="B2502" s="4">
        <v>0</v>
      </c>
      <c r="D2502" s="5">
        <v>10.915088464214607</v>
      </c>
      <c r="E2502" s="4">
        <v>1</v>
      </c>
      <c r="F2502" s="5">
        <v>3.4657359027997265</v>
      </c>
      <c r="G2502" s="4">
        <v>3</v>
      </c>
    </row>
    <row r="2503" spans="1:7" x14ac:dyDescent="0.15">
      <c r="A2503" s="4">
        <v>2502</v>
      </c>
      <c r="B2503" s="4">
        <v>0</v>
      </c>
      <c r="D2503" s="5">
        <v>11.736069016284437</v>
      </c>
      <c r="E2503" s="4">
        <v>1</v>
      </c>
      <c r="F2503" s="5">
        <v>3.6888794541139363</v>
      </c>
      <c r="G2503" s="4">
        <v>4</v>
      </c>
    </row>
    <row r="2504" spans="1:7" x14ac:dyDescent="0.15">
      <c r="A2504" s="4">
        <v>2503</v>
      </c>
      <c r="B2504" s="4">
        <v>0</v>
      </c>
      <c r="D2504" s="5">
        <v>11.082142548877775</v>
      </c>
      <c r="E2504" s="4">
        <v>1</v>
      </c>
      <c r="F2504" s="5">
        <v>4.1271343850450917</v>
      </c>
      <c r="G2504" s="4">
        <v>4</v>
      </c>
    </row>
    <row r="2505" spans="1:7" x14ac:dyDescent="0.15">
      <c r="A2505" s="4">
        <v>2504</v>
      </c>
      <c r="B2505" s="4">
        <v>0</v>
      </c>
      <c r="D2505" s="5">
        <v>10.915088464214607</v>
      </c>
      <c r="E2505" s="4">
        <v>0</v>
      </c>
      <c r="F2505" s="5">
        <v>3.912023005428146</v>
      </c>
      <c r="G2505" s="4">
        <v>3</v>
      </c>
    </row>
    <row r="2506" spans="1:7" x14ac:dyDescent="0.15">
      <c r="A2506" s="4">
        <v>2505</v>
      </c>
      <c r="B2506" s="4">
        <v>0</v>
      </c>
      <c r="D2506" s="5">
        <v>10.532096211958502</v>
      </c>
      <c r="E2506" s="4">
        <v>1</v>
      </c>
      <c r="F2506" s="5">
        <v>3.9889840465642745</v>
      </c>
      <c r="G2506" s="4">
        <v>2</v>
      </c>
    </row>
    <row r="2507" spans="1:7" x14ac:dyDescent="0.15">
      <c r="A2507" s="4">
        <v>2506</v>
      </c>
      <c r="B2507" s="4">
        <v>0</v>
      </c>
      <c r="D2507" s="5">
        <v>11.191341840842766</v>
      </c>
      <c r="E2507" s="4">
        <v>1</v>
      </c>
      <c r="F2507" s="5">
        <v>4.0775374439057197</v>
      </c>
      <c r="G2507" s="4">
        <v>2</v>
      </c>
    </row>
    <row r="2508" spans="1:7" x14ac:dyDescent="0.15">
      <c r="A2508" s="4">
        <v>2507</v>
      </c>
      <c r="B2508" s="4">
        <v>0</v>
      </c>
      <c r="D2508" s="5">
        <v>11.191341840842766</v>
      </c>
      <c r="E2508" s="4">
        <v>1</v>
      </c>
      <c r="F2508" s="5">
        <v>3.2188758248682006</v>
      </c>
      <c r="G2508" s="4">
        <v>4</v>
      </c>
    </row>
    <row r="2509" spans="1:7" x14ac:dyDescent="0.15">
      <c r="A2509" s="4">
        <v>2508</v>
      </c>
      <c r="B2509" s="4">
        <v>0</v>
      </c>
      <c r="D2509" s="5">
        <v>11.736069016284437</v>
      </c>
      <c r="E2509" s="4">
        <v>1</v>
      </c>
      <c r="F2509" s="5">
        <v>3.6888794541139363</v>
      </c>
      <c r="G2509" s="4">
        <v>4</v>
      </c>
    </row>
    <row r="2510" spans="1:7" x14ac:dyDescent="0.15">
      <c r="A2510" s="4">
        <v>2509</v>
      </c>
      <c r="B2510" s="4">
        <v>1</v>
      </c>
      <c r="D2510" s="5">
        <v>11.736069016284437</v>
      </c>
      <c r="E2510" s="4">
        <v>1</v>
      </c>
      <c r="F2510" s="5">
        <v>3.713572066704308</v>
      </c>
      <c r="G2510" s="4">
        <v>3</v>
      </c>
    </row>
    <row r="2511" spans="1:7" x14ac:dyDescent="0.15">
      <c r="A2511" s="4">
        <v>2510</v>
      </c>
      <c r="B2511" s="4">
        <v>0</v>
      </c>
      <c r="D2511" s="5">
        <v>11.379394072345706</v>
      </c>
      <c r="E2511" s="4">
        <v>1</v>
      </c>
      <c r="F2511" s="5">
        <v>3.970291913552122</v>
      </c>
      <c r="G2511" s="4">
        <v>1</v>
      </c>
    </row>
    <row r="2512" spans="1:7" x14ac:dyDescent="0.15">
      <c r="A2512" s="4">
        <v>2511</v>
      </c>
      <c r="B2512" s="4">
        <v>0</v>
      </c>
      <c r="D2512" s="5">
        <v>11.191341840842766</v>
      </c>
      <c r="E2512" s="4">
        <v>1</v>
      </c>
      <c r="F2512" s="5">
        <v>2.8332133440562162</v>
      </c>
      <c r="G2512" s="4">
        <v>5</v>
      </c>
    </row>
    <row r="2513" spans="1:7" x14ac:dyDescent="0.15">
      <c r="A2513" s="4">
        <v>2512</v>
      </c>
      <c r="B2513" s="4">
        <v>0</v>
      </c>
      <c r="D2513" s="5">
        <v>10.021270588192511</v>
      </c>
      <c r="E2513" s="4">
        <v>1</v>
      </c>
      <c r="F2513" s="5">
        <v>2.9957322735539909</v>
      </c>
      <c r="G2513" s="4">
        <v>4</v>
      </c>
    </row>
    <row r="2514" spans="1:7" x14ac:dyDescent="0.15">
      <c r="A2514" s="4">
        <v>2513</v>
      </c>
      <c r="B2514" s="4">
        <v>1</v>
      </c>
      <c r="D2514" s="5">
        <v>12.206072645530174</v>
      </c>
      <c r="E2514" s="4">
        <v>1</v>
      </c>
      <c r="F2514" s="5">
        <v>3.4965075614664802</v>
      </c>
      <c r="G2514" s="4">
        <v>5</v>
      </c>
    </row>
    <row r="2515" spans="1:7" x14ac:dyDescent="0.15">
      <c r="A2515" s="4">
        <v>2514</v>
      </c>
      <c r="B2515" s="4">
        <v>0</v>
      </c>
      <c r="D2515" s="5">
        <v>10.915088464214607</v>
      </c>
      <c r="E2515" s="4">
        <v>1</v>
      </c>
      <c r="F2515" s="5">
        <v>3.4011973816621555</v>
      </c>
      <c r="G2515" s="4">
        <v>2</v>
      </c>
    </row>
    <row r="2516" spans="1:7" x14ac:dyDescent="0.15">
      <c r="A2516" s="4">
        <v>2515</v>
      </c>
      <c r="B2516" s="4">
        <v>1</v>
      </c>
      <c r="D2516" s="5">
        <v>11.736069016284437</v>
      </c>
      <c r="E2516" s="4">
        <v>1</v>
      </c>
      <c r="F2516" s="5">
        <v>3.713572066704308</v>
      </c>
      <c r="G2516" s="4">
        <v>7</v>
      </c>
    </row>
    <row r="2517" spans="1:7" x14ac:dyDescent="0.15">
      <c r="A2517" s="4">
        <v>2516</v>
      </c>
      <c r="B2517" s="4">
        <v>1</v>
      </c>
      <c r="D2517" s="5">
        <v>11.379394072345706</v>
      </c>
      <c r="E2517" s="4">
        <v>1</v>
      </c>
      <c r="F2517" s="5">
        <v>3.7612001156935624</v>
      </c>
      <c r="G2517" s="4">
        <v>5</v>
      </c>
    </row>
    <row r="2518" spans="1:7" x14ac:dyDescent="0.15">
      <c r="A2518" s="4">
        <v>2517</v>
      </c>
      <c r="B2518" s="4">
        <v>1</v>
      </c>
      <c r="D2518" s="5">
        <v>9.5287941030947181</v>
      </c>
      <c r="E2518" s="4">
        <v>1</v>
      </c>
      <c r="F2518" s="5">
        <v>3.0910424533583161</v>
      </c>
      <c r="G2518" s="4">
        <v>4</v>
      </c>
    </row>
    <row r="2519" spans="1:7" x14ac:dyDescent="0.15">
      <c r="A2519" s="4">
        <v>2518</v>
      </c>
      <c r="B2519" s="4">
        <v>2</v>
      </c>
      <c r="D2519" s="5">
        <v>11.736069016284437</v>
      </c>
      <c r="E2519" s="4">
        <v>1</v>
      </c>
      <c r="F2519" s="5">
        <v>3.713572066704308</v>
      </c>
      <c r="G2519" s="4">
        <v>2</v>
      </c>
    </row>
    <row r="2520" spans="1:7" x14ac:dyDescent="0.15">
      <c r="A2520" s="4">
        <v>2519</v>
      </c>
      <c r="B2520" s="4">
        <v>0</v>
      </c>
      <c r="D2520" s="5">
        <v>12.206072645530174</v>
      </c>
      <c r="E2520" s="4">
        <v>0</v>
      </c>
      <c r="F2520" s="5">
        <v>3.8286413964890951</v>
      </c>
      <c r="G2520" s="4">
        <v>5</v>
      </c>
    </row>
    <row r="2521" spans="1:7" x14ac:dyDescent="0.15">
      <c r="A2521" s="4">
        <v>2520</v>
      </c>
      <c r="B2521" s="4">
        <v>0</v>
      </c>
      <c r="D2521" s="5">
        <v>11.191341840842766</v>
      </c>
      <c r="E2521" s="4">
        <v>0</v>
      </c>
      <c r="F2521" s="5">
        <v>3.784189633918261</v>
      </c>
      <c r="G2521" s="4">
        <v>1</v>
      </c>
    </row>
    <row r="2522" spans="1:7" x14ac:dyDescent="0.15">
      <c r="A2522" s="4">
        <v>2521</v>
      </c>
      <c r="B2522" s="4">
        <v>0</v>
      </c>
      <c r="D2522" s="5">
        <v>10.532096211958502</v>
      </c>
      <c r="E2522" s="4">
        <v>0</v>
      </c>
      <c r="F2522" s="5">
        <v>2.5649493574615367</v>
      </c>
      <c r="G2522" s="4">
        <v>3</v>
      </c>
    </row>
    <row r="2523" spans="1:7" x14ac:dyDescent="0.15">
      <c r="A2523" s="4">
        <v>2522</v>
      </c>
      <c r="B2523" s="4">
        <v>0</v>
      </c>
      <c r="D2523" s="5">
        <v>10.915088464214607</v>
      </c>
      <c r="E2523" s="4">
        <v>1</v>
      </c>
      <c r="F2523" s="5">
        <v>3.6375861597263857</v>
      </c>
      <c r="G2523" s="4">
        <v>3</v>
      </c>
    </row>
    <row r="2524" spans="1:7" x14ac:dyDescent="0.15">
      <c r="A2524" s="4">
        <v>2523</v>
      </c>
      <c r="B2524" s="4">
        <v>0</v>
      </c>
      <c r="D2524" s="5">
        <v>11.191341840842766</v>
      </c>
      <c r="E2524" s="4">
        <v>1</v>
      </c>
      <c r="F2524" s="5">
        <v>3.6109179126442243</v>
      </c>
      <c r="G2524" s="4">
        <v>5</v>
      </c>
    </row>
    <row r="2525" spans="1:7" x14ac:dyDescent="0.15">
      <c r="A2525" s="4">
        <v>2524</v>
      </c>
      <c r="B2525" s="4">
        <v>0</v>
      </c>
      <c r="D2525" s="5">
        <v>11.191341840842766</v>
      </c>
      <c r="E2525" s="4">
        <v>1</v>
      </c>
      <c r="F2525" s="5">
        <v>2.3025850929940459</v>
      </c>
      <c r="G2525" s="4">
        <v>5</v>
      </c>
    </row>
    <row r="2526" spans="1:7" x14ac:dyDescent="0.15">
      <c r="A2526" s="4">
        <v>2525</v>
      </c>
      <c r="B2526" s="4">
        <v>0</v>
      </c>
      <c r="D2526" s="5">
        <v>11.379394072345706</v>
      </c>
      <c r="E2526" s="4">
        <v>1</v>
      </c>
      <c r="F2526" s="5">
        <v>3.5263605246161616</v>
      </c>
      <c r="G2526" s="4">
        <v>3</v>
      </c>
    </row>
    <row r="2527" spans="1:7" x14ac:dyDescent="0.15">
      <c r="A2527" s="4">
        <v>2526</v>
      </c>
      <c r="B2527" s="4">
        <v>0</v>
      </c>
      <c r="D2527" s="5">
        <v>10.532096211958502</v>
      </c>
      <c r="E2527" s="4">
        <v>1</v>
      </c>
      <c r="F2527" s="5">
        <v>3.4339872044851463</v>
      </c>
      <c r="G2527" s="4">
        <v>3</v>
      </c>
    </row>
    <row r="2528" spans="1:7" x14ac:dyDescent="0.15">
      <c r="A2528" s="4">
        <v>2527</v>
      </c>
      <c r="B2528" s="4">
        <v>0</v>
      </c>
      <c r="D2528" s="5">
        <v>10.915088464214607</v>
      </c>
      <c r="E2528" s="4">
        <v>1</v>
      </c>
      <c r="F2528" s="5">
        <v>3.7612001156935624</v>
      </c>
      <c r="G2528" s="4">
        <v>5</v>
      </c>
    </row>
    <row r="2529" spans="1:7" x14ac:dyDescent="0.15">
      <c r="A2529" s="4">
        <v>2528</v>
      </c>
      <c r="B2529" s="4">
        <v>0</v>
      </c>
      <c r="D2529" s="5">
        <v>10.915088464214607</v>
      </c>
      <c r="E2529" s="4">
        <v>1</v>
      </c>
      <c r="F2529" s="5">
        <v>2.7080502011022101</v>
      </c>
      <c r="G2529" s="4">
        <v>5</v>
      </c>
    </row>
    <row r="2530" spans="1:7" x14ac:dyDescent="0.15">
      <c r="A2530" s="4">
        <v>2529</v>
      </c>
      <c r="B2530" s="4">
        <v>0</v>
      </c>
      <c r="D2530" s="5">
        <v>9.5287941030947181</v>
      </c>
      <c r="E2530" s="4">
        <v>1</v>
      </c>
      <c r="F2530" s="5">
        <v>3.1780538303479458</v>
      </c>
      <c r="G2530" s="4">
        <v>1</v>
      </c>
    </row>
    <row r="2531" spans="1:7" x14ac:dyDescent="0.15">
      <c r="A2531" s="4">
        <v>2530</v>
      </c>
      <c r="B2531" s="4">
        <v>0</v>
      </c>
      <c r="D2531" s="5">
        <v>10.915088464214607</v>
      </c>
      <c r="E2531" s="4">
        <v>1</v>
      </c>
      <c r="F2531" s="5">
        <v>3.8066624897703196</v>
      </c>
      <c r="G2531" s="4">
        <v>1</v>
      </c>
    </row>
    <row r="2532" spans="1:7" x14ac:dyDescent="0.15">
      <c r="A2532" s="4">
        <v>2531</v>
      </c>
      <c r="B2532" s="4">
        <v>0</v>
      </c>
      <c r="D2532" s="5">
        <v>10.915088464214607</v>
      </c>
      <c r="E2532" s="4">
        <v>1</v>
      </c>
      <c r="F2532" s="5">
        <v>3.3672958299864741</v>
      </c>
      <c r="G2532" s="4">
        <v>1</v>
      </c>
    </row>
    <row r="2533" spans="1:7" x14ac:dyDescent="0.15">
      <c r="A2533" s="4">
        <v>2532</v>
      </c>
      <c r="B2533" s="4">
        <v>0</v>
      </c>
      <c r="D2533" s="5">
        <v>10.915088464214607</v>
      </c>
      <c r="E2533" s="4">
        <v>0</v>
      </c>
      <c r="F2533" s="5">
        <v>2.8332133440562162</v>
      </c>
      <c r="G2533" s="4">
        <v>4</v>
      </c>
    </row>
    <row r="2534" spans="1:7" x14ac:dyDescent="0.15">
      <c r="A2534" s="4">
        <v>2533</v>
      </c>
      <c r="B2534" s="4">
        <v>1</v>
      </c>
      <c r="D2534" s="5">
        <v>10.915088464214607</v>
      </c>
      <c r="E2534" s="4">
        <v>1</v>
      </c>
      <c r="F2534" s="5">
        <v>3.4965075614664802</v>
      </c>
      <c r="G2534" s="4">
        <v>4</v>
      </c>
    </row>
    <row r="2535" spans="1:7" x14ac:dyDescent="0.15">
      <c r="A2535" s="4">
        <v>2534</v>
      </c>
      <c r="B2535" s="4">
        <v>2</v>
      </c>
      <c r="D2535" s="5">
        <v>11.736069016284437</v>
      </c>
      <c r="E2535" s="4">
        <v>1</v>
      </c>
      <c r="F2535" s="5">
        <v>3.8066624897703196</v>
      </c>
      <c r="G2535" s="4">
        <v>1</v>
      </c>
    </row>
    <row r="2536" spans="1:7" x14ac:dyDescent="0.15">
      <c r="A2536" s="4">
        <v>2535</v>
      </c>
      <c r="B2536" s="4">
        <v>7</v>
      </c>
      <c r="D2536" s="5">
        <v>10.915088464214607</v>
      </c>
      <c r="E2536" s="4">
        <v>1</v>
      </c>
      <c r="F2536" s="5">
        <v>4.0775374439057197</v>
      </c>
      <c r="G2536" s="4">
        <v>2</v>
      </c>
    </row>
    <row r="2537" spans="1:7" x14ac:dyDescent="0.15">
      <c r="A2537" s="4">
        <v>2536</v>
      </c>
      <c r="B2537" s="4">
        <v>0</v>
      </c>
      <c r="D2537" s="5">
        <v>11.191341840842766</v>
      </c>
      <c r="E2537" s="4">
        <v>1</v>
      </c>
      <c r="F2537" s="5">
        <v>4.0604430105464191</v>
      </c>
      <c r="G2537" s="4">
        <v>2</v>
      </c>
    </row>
    <row r="2538" spans="1:7" x14ac:dyDescent="0.15">
      <c r="A2538" s="4">
        <v>2537</v>
      </c>
      <c r="B2538" s="4">
        <v>0</v>
      </c>
      <c r="D2538" s="5">
        <v>11.379394072345706</v>
      </c>
      <c r="E2538" s="4">
        <v>1</v>
      </c>
      <c r="F2538" s="5">
        <v>2.9444389791664403</v>
      </c>
      <c r="G2538" s="4">
        <v>3</v>
      </c>
    </row>
    <row r="2539" spans="1:7" x14ac:dyDescent="0.15">
      <c r="A2539" s="4">
        <v>2538</v>
      </c>
      <c r="B2539" s="4">
        <v>0</v>
      </c>
      <c r="D2539" s="5">
        <v>10.915088464214607</v>
      </c>
      <c r="E2539" s="4">
        <v>1</v>
      </c>
      <c r="F2539" s="5">
        <v>3.6109179126442243</v>
      </c>
      <c r="G2539" s="4">
        <v>4</v>
      </c>
    </row>
    <row r="2540" spans="1:7" x14ac:dyDescent="0.15">
      <c r="A2540" s="4">
        <v>2539</v>
      </c>
      <c r="B2540" s="4">
        <v>1</v>
      </c>
      <c r="D2540" s="5">
        <v>10.915088464214607</v>
      </c>
      <c r="E2540" s="4">
        <v>1</v>
      </c>
      <c r="F2540" s="5">
        <v>3.912023005428146</v>
      </c>
      <c r="G2540" s="4">
        <v>3</v>
      </c>
    </row>
    <row r="2541" spans="1:7" x14ac:dyDescent="0.15">
      <c r="A2541" s="4">
        <v>2540</v>
      </c>
      <c r="B2541" s="4">
        <v>0</v>
      </c>
      <c r="D2541" s="5">
        <v>10.915088464214607</v>
      </c>
      <c r="E2541" s="4">
        <v>1</v>
      </c>
      <c r="F2541" s="5">
        <v>2.5649493574615367</v>
      </c>
      <c r="G2541" s="4">
        <v>3</v>
      </c>
    </row>
    <row r="2542" spans="1:7" x14ac:dyDescent="0.15">
      <c r="A2542" s="4">
        <v>2541</v>
      </c>
      <c r="B2542" s="4">
        <v>0</v>
      </c>
      <c r="D2542" s="5">
        <v>11.379394072345706</v>
      </c>
      <c r="E2542" s="4">
        <v>1</v>
      </c>
      <c r="F2542" s="5">
        <v>2.7725887222397811</v>
      </c>
      <c r="G2542" s="4">
        <v>3</v>
      </c>
    </row>
    <row r="2543" spans="1:7" x14ac:dyDescent="0.15">
      <c r="A2543" s="4">
        <v>2542</v>
      </c>
      <c r="B2543" s="4">
        <v>1</v>
      </c>
      <c r="D2543" s="5">
        <v>11.379394072345706</v>
      </c>
      <c r="E2543" s="4">
        <v>1</v>
      </c>
      <c r="F2543" s="5">
        <v>4.0604430105464191</v>
      </c>
      <c r="G2543" s="4">
        <v>2</v>
      </c>
    </row>
    <row r="2544" spans="1:7" x14ac:dyDescent="0.15">
      <c r="A2544" s="4">
        <v>2543</v>
      </c>
      <c r="B2544" s="4">
        <v>0</v>
      </c>
      <c r="D2544" s="5">
        <v>9.5287941030947181</v>
      </c>
      <c r="E2544" s="4">
        <v>1</v>
      </c>
      <c r="F2544" s="5">
        <v>2.9957322735539909</v>
      </c>
      <c r="G2544" s="4">
        <v>2</v>
      </c>
    </row>
    <row r="2545" spans="1:7" x14ac:dyDescent="0.15">
      <c r="A2545" s="4">
        <v>2544</v>
      </c>
      <c r="B2545" s="4">
        <v>0</v>
      </c>
      <c r="D2545" s="5">
        <v>10.915088464214607</v>
      </c>
      <c r="E2545" s="4">
        <v>1</v>
      </c>
      <c r="F2545" s="5">
        <v>3.4657359027997265</v>
      </c>
      <c r="G2545" s="4">
        <v>2</v>
      </c>
    </row>
    <row r="2546" spans="1:7" x14ac:dyDescent="0.15">
      <c r="A2546" s="4">
        <v>2545</v>
      </c>
      <c r="B2546" s="4">
        <v>0</v>
      </c>
      <c r="D2546" s="5">
        <v>11.379394072345706</v>
      </c>
      <c r="E2546" s="4">
        <v>1</v>
      </c>
      <c r="F2546" s="5">
        <v>3.4965075614664802</v>
      </c>
      <c r="G2546" s="4">
        <v>3</v>
      </c>
    </row>
    <row r="2547" spans="1:7" x14ac:dyDescent="0.15">
      <c r="A2547" s="4">
        <v>2546</v>
      </c>
      <c r="B2547" s="4">
        <v>0</v>
      </c>
      <c r="D2547" s="5">
        <v>12.206072645530174</v>
      </c>
      <c r="E2547" s="4">
        <v>1</v>
      </c>
      <c r="F2547" s="5">
        <v>3.5553480614894135</v>
      </c>
      <c r="G2547" s="4">
        <v>6</v>
      </c>
    </row>
    <row r="2548" spans="1:7" x14ac:dyDescent="0.15">
      <c r="A2548" s="4">
        <v>2547</v>
      </c>
      <c r="B2548" s="4">
        <v>3</v>
      </c>
      <c r="D2548" s="5">
        <v>12.206072645530174</v>
      </c>
      <c r="E2548" s="4">
        <v>1</v>
      </c>
      <c r="F2548" s="5">
        <v>3.6375861597263857</v>
      </c>
      <c r="G2548" s="4">
        <v>3</v>
      </c>
    </row>
    <row r="2549" spans="1:7" x14ac:dyDescent="0.15">
      <c r="A2549" s="4">
        <v>2548</v>
      </c>
      <c r="B2549" s="4">
        <v>1</v>
      </c>
      <c r="D2549" s="5">
        <v>11.736069016284437</v>
      </c>
      <c r="E2549" s="4">
        <v>1</v>
      </c>
      <c r="F2549" s="5">
        <v>3.8501476017100584</v>
      </c>
      <c r="G2549" s="4">
        <v>3</v>
      </c>
    </row>
    <row r="2550" spans="1:7" x14ac:dyDescent="0.15">
      <c r="A2550" s="4">
        <v>2549</v>
      </c>
      <c r="B2550" s="4">
        <v>12</v>
      </c>
      <c r="D2550" s="5">
        <v>10.915088464214607</v>
      </c>
      <c r="E2550" s="4">
        <v>1</v>
      </c>
      <c r="F2550" s="5">
        <v>4.0604430105464191</v>
      </c>
      <c r="G2550" s="4">
        <v>3</v>
      </c>
    </row>
    <row r="2551" spans="1:7" x14ac:dyDescent="0.15">
      <c r="A2551" s="4">
        <v>2550</v>
      </c>
      <c r="B2551" s="4">
        <v>2</v>
      </c>
      <c r="D2551" s="5">
        <v>10.532096211958502</v>
      </c>
      <c r="E2551" s="4">
        <v>1</v>
      </c>
      <c r="F2551" s="5">
        <v>3.8712010109078911</v>
      </c>
      <c r="G2551" s="4">
        <v>1</v>
      </c>
    </row>
    <row r="2552" spans="1:7" x14ac:dyDescent="0.15">
      <c r="A2552" s="4">
        <v>2551</v>
      </c>
      <c r="B2552" s="4">
        <v>0</v>
      </c>
      <c r="D2552" s="5">
        <v>9.5287941030947181</v>
      </c>
      <c r="E2552" s="4">
        <v>1</v>
      </c>
      <c r="F2552" s="5">
        <v>3.1354942159291497</v>
      </c>
      <c r="G2552" s="4">
        <v>1</v>
      </c>
    </row>
    <row r="2553" spans="1:7" x14ac:dyDescent="0.15">
      <c r="A2553" s="4">
        <v>2552</v>
      </c>
      <c r="B2553" s="4">
        <v>0</v>
      </c>
      <c r="D2553" s="5">
        <v>11.736069016284437</v>
      </c>
      <c r="E2553" s="4">
        <v>1</v>
      </c>
      <c r="F2553" s="5">
        <v>3.3672958299864741</v>
      </c>
      <c r="G2553" s="4">
        <v>2</v>
      </c>
    </row>
    <row r="2554" spans="1:7" x14ac:dyDescent="0.15">
      <c r="A2554" s="4">
        <v>2553</v>
      </c>
      <c r="B2554" s="4">
        <v>0</v>
      </c>
      <c r="D2554" s="5">
        <v>10.532096211958502</v>
      </c>
      <c r="E2554" s="4">
        <v>1</v>
      </c>
      <c r="F2554" s="5">
        <v>3.4339872044851463</v>
      </c>
      <c r="G2554" s="4">
        <v>2</v>
      </c>
    </row>
    <row r="2555" spans="1:7" x14ac:dyDescent="0.15">
      <c r="A2555" s="4">
        <v>2554</v>
      </c>
      <c r="B2555" s="4">
        <v>0</v>
      </c>
      <c r="D2555" s="5">
        <v>10.021270588192511</v>
      </c>
      <c r="E2555" s="4">
        <v>0</v>
      </c>
      <c r="F2555" s="5">
        <v>3.1354942159291497</v>
      </c>
      <c r="G2555" s="4">
        <v>2</v>
      </c>
    </row>
    <row r="2556" spans="1:7" x14ac:dyDescent="0.15">
      <c r="A2556" s="4">
        <v>2555</v>
      </c>
      <c r="B2556" s="4">
        <v>1</v>
      </c>
      <c r="D2556" s="5">
        <v>10.915088464214607</v>
      </c>
      <c r="E2556" s="4">
        <v>1</v>
      </c>
      <c r="F2556" s="5">
        <v>3.713572066704308</v>
      </c>
      <c r="G2556" s="4">
        <v>3</v>
      </c>
    </row>
    <row r="2557" spans="1:7" x14ac:dyDescent="0.15">
      <c r="A2557" s="4">
        <v>2556</v>
      </c>
      <c r="B2557" s="4">
        <v>1</v>
      </c>
      <c r="D2557" s="5">
        <v>10.915088464214607</v>
      </c>
      <c r="E2557" s="4">
        <v>0</v>
      </c>
      <c r="F2557" s="5">
        <v>4.1431347263915326</v>
      </c>
      <c r="G2557" s="4">
        <v>2</v>
      </c>
    </row>
    <row r="2558" spans="1:7" x14ac:dyDescent="0.15">
      <c r="A2558" s="4">
        <v>2557</v>
      </c>
      <c r="B2558" s="4">
        <v>0</v>
      </c>
      <c r="D2558" s="5">
        <v>11.191341840842766</v>
      </c>
      <c r="E2558" s="4">
        <v>1</v>
      </c>
      <c r="F2558" s="5">
        <v>3.1354942159291497</v>
      </c>
      <c r="G2558" s="4">
        <v>6</v>
      </c>
    </row>
    <row r="2559" spans="1:7" x14ac:dyDescent="0.15">
      <c r="A2559" s="4">
        <v>2558</v>
      </c>
      <c r="B2559" s="4">
        <v>0</v>
      </c>
      <c r="D2559" s="5">
        <v>10.915088464214607</v>
      </c>
      <c r="E2559" s="4">
        <v>1</v>
      </c>
      <c r="F2559" s="5">
        <v>3.7376696182833684</v>
      </c>
      <c r="G2559" s="4">
        <v>5</v>
      </c>
    </row>
    <row r="2560" spans="1:7" x14ac:dyDescent="0.15">
      <c r="A2560" s="4">
        <v>2559</v>
      </c>
      <c r="B2560" s="4">
        <v>0</v>
      </c>
      <c r="D2560" s="5">
        <v>11.379394072345706</v>
      </c>
      <c r="E2560" s="4">
        <v>0</v>
      </c>
      <c r="F2560" s="5">
        <v>3.8712010109078911</v>
      </c>
      <c r="G2560" s="4">
        <v>2</v>
      </c>
    </row>
    <row r="2561" spans="1:7" x14ac:dyDescent="0.15">
      <c r="A2561" s="4">
        <v>2560</v>
      </c>
      <c r="B2561" s="4">
        <v>0</v>
      </c>
      <c r="D2561" s="5">
        <v>10.915088464214607</v>
      </c>
      <c r="E2561" s="4">
        <v>1</v>
      </c>
      <c r="F2561" s="5">
        <v>3.4011973816621555</v>
      </c>
      <c r="G2561" s="4">
        <v>4</v>
      </c>
    </row>
    <row r="2562" spans="1:7" x14ac:dyDescent="0.15">
      <c r="A2562" s="4">
        <v>2561</v>
      </c>
      <c r="B2562" s="4">
        <v>0</v>
      </c>
      <c r="D2562" s="5">
        <v>11.379394072345706</v>
      </c>
      <c r="E2562" s="4">
        <v>1</v>
      </c>
      <c r="F2562" s="5">
        <v>3.713572066704308</v>
      </c>
      <c r="G2562" s="4">
        <v>3</v>
      </c>
    </row>
    <row r="2563" spans="1:7" x14ac:dyDescent="0.15">
      <c r="A2563" s="4">
        <v>2562</v>
      </c>
      <c r="B2563" s="4">
        <v>0</v>
      </c>
      <c r="D2563" s="5">
        <v>11.379394072345706</v>
      </c>
      <c r="E2563" s="4">
        <v>0</v>
      </c>
      <c r="F2563" s="5">
        <v>3.8286413964890951</v>
      </c>
      <c r="G2563" s="4">
        <v>3</v>
      </c>
    </row>
    <row r="2564" spans="1:7" x14ac:dyDescent="0.15">
      <c r="A2564" s="4">
        <v>2563</v>
      </c>
      <c r="B2564" s="4">
        <v>0</v>
      </c>
      <c r="D2564" s="5">
        <v>11.379394072345706</v>
      </c>
      <c r="E2564" s="4">
        <v>1</v>
      </c>
      <c r="F2564" s="5">
        <v>3.4011973816621555</v>
      </c>
      <c r="G2564" s="4">
        <v>2</v>
      </c>
    </row>
    <row r="2565" spans="1:7" x14ac:dyDescent="0.15">
      <c r="A2565" s="4">
        <v>2564</v>
      </c>
      <c r="B2565" s="4">
        <v>0</v>
      </c>
      <c r="D2565" s="5">
        <v>10.532096211958502</v>
      </c>
      <c r="E2565" s="4">
        <v>1</v>
      </c>
      <c r="F2565" s="5">
        <v>3.8501476017100584</v>
      </c>
      <c r="G2565" s="4">
        <v>4</v>
      </c>
    </row>
    <row r="2566" spans="1:7" x14ac:dyDescent="0.15">
      <c r="A2566" s="4">
        <v>2565</v>
      </c>
      <c r="B2566" s="4">
        <v>0</v>
      </c>
      <c r="D2566" s="5">
        <v>11.191341840842766</v>
      </c>
      <c r="E2566" s="4">
        <v>1</v>
      </c>
      <c r="F2566" s="5">
        <v>3.8712010109078911</v>
      </c>
      <c r="G2566" s="4">
        <v>2</v>
      </c>
    </row>
    <row r="2567" spans="1:7" x14ac:dyDescent="0.15">
      <c r="A2567" s="4">
        <v>2566</v>
      </c>
      <c r="B2567" s="4">
        <v>3</v>
      </c>
      <c r="D2567" s="5">
        <v>11.736069016284437</v>
      </c>
      <c r="E2567" s="4">
        <v>1</v>
      </c>
      <c r="F2567" s="5">
        <v>3.970291913552122</v>
      </c>
      <c r="G2567" s="4">
        <v>2</v>
      </c>
    </row>
    <row r="2568" spans="1:7" x14ac:dyDescent="0.15">
      <c r="A2568" s="4">
        <v>2567</v>
      </c>
      <c r="B2568" s="4">
        <v>0</v>
      </c>
      <c r="D2568" s="5">
        <v>10.915088464214607</v>
      </c>
      <c r="E2568" s="4">
        <v>1</v>
      </c>
      <c r="F2568" s="5">
        <v>3.2958368660043291</v>
      </c>
      <c r="G2568" s="4">
        <v>2</v>
      </c>
    </row>
    <row r="2569" spans="1:7" x14ac:dyDescent="0.15">
      <c r="A2569" s="4">
        <v>2568</v>
      </c>
      <c r="B2569" s="4">
        <v>0</v>
      </c>
      <c r="D2569" s="5">
        <v>10.915088464214607</v>
      </c>
      <c r="E2569" s="4">
        <v>1</v>
      </c>
      <c r="F2569" s="5">
        <v>3.8066624897703196</v>
      </c>
      <c r="G2569" s="4">
        <v>1</v>
      </c>
    </row>
    <row r="2570" spans="1:7" x14ac:dyDescent="0.15">
      <c r="A2570" s="4">
        <v>2569</v>
      </c>
      <c r="B2570" s="4">
        <v>0</v>
      </c>
      <c r="D2570" s="5">
        <v>11.191341840842766</v>
      </c>
      <c r="E2570" s="4">
        <v>1</v>
      </c>
      <c r="F2570" s="5">
        <v>3.7376696182833684</v>
      </c>
      <c r="G2570" s="4">
        <v>3</v>
      </c>
    </row>
    <row r="2571" spans="1:7" x14ac:dyDescent="0.15">
      <c r="A2571" s="4">
        <v>2570</v>
      </c>
      <c r="B2571" s="4">
        <v>0</v>
      </c>
      <c r="D2571" s="5">
        <v>11.191341840842766</v>
      </c>
      <c r="E2571" s="4">
        <v>1</v>
      </c>
      <c r="F2571" s="5">
        <v>3.044522437723423</v>
      </c>
      <c r="G2571" s="4">
        <v>3</v>
      </c>
    </row>
    <row r="2572" spans="1:7" x14ac:dyDescent="0.15">
      <c r="A2572" s="4">
        <v>2571</v>
      </c>
      <c r="B2572" s="4">
        <v>1</v>
      </c>
      <c r="D2572" s="5">
        <v>10.915088464214607</v>
      </c>
      <c r="E2572" s="4">
        <v>0</v>
      </c>
      <c r="F2572" s="5">
        <v>4.219507705176107</v>
      </c>
      <c r="G2572" s="4">
        <v>2</v>
      </c>
    </row>
    <row r="2573" spans="1:7" x14ac:dyDescent="0.15">
      <c r="A2573" s="4">
        <v>2572</v>
      </c>
      <c r="B2573" s="4">
        <v>3</v>
      </c>
      <c r="D2573" s="5">
        <v>11.379394072345706</v>
      </c>
      <c r="E2573" s="4">
        <v>1</v>
      </c>
      <c r="F2573" s="5">
        <v>4.0775374439057197</v>
      </c>
      <c r="G2573" s="4">
        <v>3</v>
      </c>
    </row>
    <row r="2574" spans="1:7" x14ac:dyDescent="0.15">
      <c r="A2574" s="4">
        <v>2573</v>
      </c>
      <c r="B2574" s="4">
        <v>0</v>
      </c>
      <c r="D2574" s="5">
        <v>11.191341840842766</v>
      </c>
      <c r="E2574" s="4">
        <v>0</v>
      </c>
      <c r="F2574" s="5">
        <v>3.4011973816621555</v>
      </c>
      <c r="G2574" s="4">
        <v>2</v>
      </c>
    </row>
    <row r="2575" spans="1:7" x14ac:dyDescent="0.15">
      <c r="A2575" s="4">
        <v>2574</v>
      </c>
      <c r="B2575" s="4">
        <v>0</v>
      </c>
      <c r="D2575" s="5">
        <v>10.915088464214607</v>
      </c>
      <c r="E2575" s="4">
        <v>1</v>
      </c>
      <c r="F2575" s="5">
        <v>3.7376696182833684</v>
      </c>
      <c r="G2575" s="4">
        <v>2</v>
      </c>
    </row>
    <row r="2576" spans="1:7" x14ac:dyDescent="0.15">
      <c r="A2576" s="4">
        <v>2575</v>
      </c>
      <c r="B2576" s="4">
        <v>0</v>
      </c>
      <c r="D2576" s="5">
        <v>11.191341840842766</v>
      </c>
      <c r="E2576" s="4">
        <v>1</v>
      </c>
      <c r="F2576" s="5">
        <v>3.8286413964890951</v>
      </c>
      <c r="G2576" s="4">
        <v>4</v>
      </c>
    </row>
    <row r="2577" spans="1:7" x14ac:dyDescent="0.15">
      <c r="A2577" s="4">
        <v>2576</v>
      </c>
      <c r="B2577" s="4">
        <v>0</v>
      </c>
      <c r="D2577" s="5">
        <v>11.191341840842766</v>
      </c>
      <c r="E2577" s="4">
        <v>0</v>
      </c>
      <c r="F2577" s="5">
        <v>2.8332133440562162</v>
      </c>
      <c r="G2577" s="4">
        <v>4</v>
      </c>
    </row>
    <row r="2578" spans="1:7" x14ac:dyDescent="0.15">
      <c r="A2578" s="4">
        <v>2577</v>
      </c>
      <c r="B2578" s="4">
        <v>1</v>
      </c>
      <c r="D2578" s="5">
        <v>11.191341840842766</v>
      </c>
      <c r="E2578" s="4">
        <v>1</v>
      </c>
      <c r="F2578" s="5">
        <v>3.3672958299864741</v>
      </c>
      <c r="G2578" s="4">
        <v>4</v>
      </c>
    </row>
    <row r="2579" spans="1:7" x14ac:dyDescent="0.15">
      <c r="A2579" s="4">
        <v>2578</v>
      </c>
      <c r="B2579" s="4">
        <v>0</v>
      </c>
      <c r="D2579" s="5">
        <v>10.915088464214607</v>
      </c>
      <c r="E2579" s="4">
        <v>1</v>
      </c>
      <c r="F2579" s="5">
        <v>3.5263605246161616</v>
      </c>
      <c r="G2579" s="4">
        <v>6</v>
      </c>
    </row>
    <row r="2580" spans="1:7" x14ac:dyDescent="0.15">
      <c r="A2580" s="4">
        <v>2579</v>
      </c>
      <c r="B2580" s="4">
        <v>0</v>
      </c>
      <c r="D2580" s="5">
        <v>10.021270588192511</v>
      </c>
      <c r="E2580" s="4">
        <v>1</v>
      </c>
      <c r="F2580" s="5">
        <v>2.5649493574615367</v>
      </c>
      <c r="G2580" s="4">
        <v>4</v>
      </c>
    </row>
    <row r="2581" spans="1:7" x14ac:dyDescent="0.15">
      <c r="A2581" s="4">
        <v>2580</v>
      </c>
      <c r="B2581" s="4">
        <v>0</v>
      </c>
      <c r="D2581" s="5">
        <v>10.532096211958502</v>
      </c>
      <c r="E2581" s="4">
        <v>1</v>
      </c>
      <c r="F2581" s="5">
        <v>3.3322045101752038</v>
      </c>
      <c r="G2581" s="4">
        <v>3</v>
      </c>
    </row>
    <row r="2582" spans="1:7" x14ac:dyDescent="0.15">
      <c r="A2582" s="4">
        <v>2581</v>
      </c>
      <c r="B2582" s="4">
        <v>0</v>
      </c>
      <c r="D2582" s="5">
        <v>11.736069016284437</v>
      </c>
      <c r="E2582" s="4">
        <v>1</v>
      </c>
      <c r="F2582" s="5">
        <v>3.6635616461296463</v>
      </c>
      <c r="G2582" s="4">
        <v>4</v>
      </c>
    </row>
    <row r="2583" spans="1:7" x14ac:dyDescent="0.15">
      <c r="A2583" s="4">
        <v>2582</v>
      </c>
      <c r="B2583" s="4">
        <v>0</v>
      </c>
      <c r="D2583" s="5">
        <v>10.915088464214607</v>
      </c>
      <c r="E2583" s="4">
        <v>0</v>
      </c>
      <c r="F2583" s="5">
        <v>3.713572066704308</v>
      </c>
      <c r="G2583" s="4">
        <v>2</v>
      </c>
    </row>
    <row r="2584" spans="1:7" x14ac:dyDescent="0.15">
      <c r="A2584" s="4">
        <v>2583</v>
      </c>
      <c r="B2584" s="4">
        <v>4</v>
      </c>
      <c r="D2584" s="5">
        <v>11.191341840842766</v>
      </c>
      <c r="E2584" s="4">
        <v>1</v>
      </c>
      <c r="F2584" s="5">
        <v>3.4965075614664802</v>
      </c>
      <c r="G2584" s="4">
        <v>4</v>
      </c>
    </row>
    <row r="2585" spans="1:7" x14ac:dyDescent="0.15">
      <c r="A2585" s="4">
        <v>2584</v>
      </c>
      <c r="B2585" s="4">
        <v>0</v>
      </c>
      <c r="D2585" s="5">
        <v>11.191341840842766</v>
      </c>
      <c r="E2585" s="4">
        <v>1</v>
      </c>
      <c r="F2585" s="5">
        <v>4.0430512678345503</v>
      </c>
      <c r="G2585" s="4">
        <v>5</v>
      </c>
    </row>
    <row r="2586" spans="1:7" x14ac:dyDescent="0.15">
      <c r="A2586" s="4">
        <v>2585</v>
      </c>
      <c r="B2586" s="4">
        <v>0</v>
      </c>
      <c r="D2586" s="5">
        <v>11.191341840842766</v>
      </c>
      <c r="E2586" s="4">
        <v>1</v>
      </c>
      <c r="F2586" s="5">
        <v>3.2958368660043291</v>
      </c>
      <c r="G2586" s="4">
        <v>5</v>
      </c>
    </row>
    <row r="2587" spans="1:7" x14ac:dyDescent="0.15">
      <c r="A2587" s="4">
        <v>2586</v>
      </c>
      <c r="B2587" s="4">
        <v>0</v>
      </c>
      <c r="D2587" s="5">
        <v>10.021270588192511</v>
      </c>
      <c r="E2587" s="4">
        <v>1</v>
      </c>
      <c r="F2587" s="5">
        <v>3.6635616461296463</v>
      </c>
      <c r="G2587" s="4">
        <v>4</v>
      </c>
    </row>
    <row r="2588" spans="1:7" x14ac:dyDescent="0.15">
      <c r="A2588" s="4">
        <v>2587</v>
      </c>
      <c r="B2588" s="4">
        <v>0</v>
      </c>
      <c r="D2588" s="5">
        <v>12.206072645530174</v>
      </c>
      <c r="E2588" s="4">
        <v>0</v>
      </c>
      <c r="F2588" s="5">
        <v>3.0910424533583161</v>
      </c>
      <c r="G2588" s="4">
        <v>4</v>
      </c>
    </row>
    <row r="2589" spans="1:7" x14ac:dyDescent="0.15">
      <c r="A2589" s="4">
        <v>2588</v>
      </c>
      <c r="B2589" s="4">
        <v>1</v>
      </c>
      <c r="D2589" s="5">
        <v>11.191341840842766</v>
      </c>
      <c r="E2589" s="4">
        <v>0</v>
      </c>
      <c r="F2589" s="5">
        <v>2.7080502011022101</v>
      </c>
      <c r="G2589" s="4">
        <v>3</v>
      </c>
    </row>
    <row r="2590" spans="1:7" x14ac:dyDescent="0.15">
      <c r="A2590" s="4">
        <v>2589</v>
      </c>
      <c r="B2590" s="4">
        <v>0</v>
      </c>
      <c r="D2590" s="5">
        <v>10.532096211958502</v>
      </c>
      <c r="E2590" s="4">
        <v>0</v>
      </c>
      <c r="F2590" s="5">
        <v>3.9318256327243257</v>
      </c>
      <c r="G2590" s="4">
        <v>5</v>
      </c>
    </row>
    <row r="2591" spans="1:7" x14ac:dyDescent="0.15">
      <c r="A2591" s="4">
        <v>2590</v>
      </c>
      <c r="B2591" s="4">
        <v>0</v>
      </c>
      <c r="D2591" s="5">
        <v>11.379394072345706</v>
      </c>
      <c r="E2591" s="4">
        <v>1</v>
      </c>
      <c r="F2591" s="5">
        <v>3.7376696182833684</v>
      </c>
      <c r="G2591" s="4">
        <v>3</v>
      </c>
    </row>
    <row r="2592" spans="1:7" x14ac:dyDescent="0.15">
      <c r="A2592" s="4">
        <v>2591</v>
      </c>
      <c r="B2592" s="4">
        <v>0</v>
      </c>
      <c r="D2592" s="5">
        <v>11.379394072345706</v>
      </c>
      <c r="E2592" s="4">
        <v>1</v>
      </c>
      <c r="F2592" s="5">
        <v>2.6390573296152584</v>
      </c>
      <c r="G2592" s="4">
        <v>3</v>
      </c>
    </row>
    <row r="2593" spans="1:7" x14ac:dyDescent="0.15">
      <c r="A2593" s="4">
        <v>2592</v>
      </c>
      <c r="B2593" s="4">
        <v>0</v>
      </c>
      <c r="D2593" s="5">
        <v>10.915088464214607</v>
      </c>
      <c r="E2593" s="4">
        <v>1</v>
      </c>
      <c r="F2593" s="5">
        <v>3.2580965380214821</v>
      </c>
      <c r="G2593" s="4">
        <v>4</v>
      </c>
    </row>
    <row r="2594" spans="1:7" x14ac:dyDescent="0.15">
      <c r="A2594" s="4">
        <v>2593</v>
      </c>
      <c r="B2594" s="4">
        <v>0</v>
      </c>
      <c r="D2594" s="5">
        <v>11.379394072345706</v>
      </c>
      <c r="E2594" s="4">
        <v>1</v>
      </c>
      <c r="F2594" s="5">
        <v>3.8066624897703196</v>
      </c>
      <c r="G2594" s="4">
        <v>2</v>
      </c>
    </row>
    <row r="2595" spans="1:7" x14ac:dyDescent="0.15">
      <c r="A2595" s="4">
        <v>2594</v>
      </c>
      <c r="B2595" s="4">
        <v>0</v>
      </c>
      <c r="D2595" s="5">
        <v>10.532096211958502</v>
      </c>
      <c r="E2595" s="4">
        <v>1</v>
      </c>
      <c r="F2595" s="5">
        <v>3.2188758248682006</v>
      </c>
      <c r="G2595" s="4">
        <v>2</v>
      </c>
    </row>
    <row r="2596" spans="1:7" x14ac:dyDescent="0.15">
      <c r="A2596" s="4">
        <v>2595</v>
      </c>
      <c r="B2596" s="4">
        <v>0</v>
      </c>
      <c r="D2596" s="5">
        <v>10.915088464214607</v>
      </c>
      <c r="E2596" s="4">
        <v>1</v>
      </c>
      <c r="F2596" s="5">
        <v>3.4965075614664802</v>
      </c>
      <c r="G2596" s="4">
        <v>4</v>
      </c>
    </row>
    <row r="2597" spans="1:7" x14ac:dyDescent="0.15">
      <c r="A2597" s="4">
        <v>2596</v>
      </c>
      <c r="B2597" s="4">
        <v>1</v>
      </c>
      <c r="D2597" s="5">
        <v>11.379394072345706</v>
      </c>
      <c r="E2597" s="4">
        <v>1</v>
      </c>
      <c r="F2597" s="5">
        <v>3.713572066704308</v>
      </c>
      <c r="G2597" s="4">
        <v>4</v>
      </c>
    </row>
    <row r="2598" spans="1:7" x14ac:dyDescent="0.15">
      <c r="A2598" s="4">
        <v>2597</v>
      </c>
      <c r="B2598" s="4">
        <v>0</v>
      </c>
      <c r="D2598" s="5">
        <v>11.379394072345706</v>
      </c>
      <c r="E2598" s="4">
        <v>1</v>
      </c>
      <c r="F2598" s="5">
        <v>2.6390573296152584</v>
      </c>
      <c r="G2598" s="4">
        <v>4</v>
      </c>
    </row>
    <row r="2599" spans="1:7" x14ac:dyDescent="0.15">
      <c r="A2599" s="4">
        <v>2598</v>
      </c>
      <c r="B2599" s="4">
        <v>0</v>
      </c>
      <c r="D2599" s="5">
        <v>10.915088464214607</v>
      </c>
      <c r="E2599" s="4">
        <v>0</v>
      </c>
      <c r="F2599" s="5">
        <v>2.5649493574615367</v>
      </c>
      <c r="G2599" s="4">
        <v>6</v>
      </c>
    </row>
    <row r="2600" spans="1:7" x14ac:dyDescent="0.15">
      <c r="A2600" s="4">
        <v>2599</v>
      </c>
      <c r="B2600" s="4">
        <v>0</v>
      </c>
      <c r="D2600" s="5">
        <v>11.379394072345706</v>
      </c>
      <c r="E2600" s="4">
        <v>1</v>
      </c>
      <c r="F2600" s="5">
        <v>2.8332133440562162</v>
      </c>
      <c r="G2600" s="4">
        <v>4</v>
      </c>
    </row>
    <row r="2601" spans="1:7" x14ac:dyDescent="0.15">
      <c r="A2601" s="4">
        <v>2600</v>
      </c>
      <c r="B2601" s="4">
        <v>0</v>
      </c>
      <c r="D2601" s="5">
        <v>10.915088464214607</v>
      </c>
      <c r="E2601" s="4">
        <v>1</v>
      </c>
      <c r="F2601" s="5">
        <v>3.6109179126442243</v>
      </c>
      <c r="G2601" s="4">
        <v>3</v>
      </c>
    </row>
    <row r="2602" spans="1:7" x14ac:dyDescent="0.15">
      <c r="A2602" s="4">
        <v>2601</v>
      </c>
      <c r="B2602" s="4">
        <v>0</v>
      </c>
      <c r="D2602" s="5">
        <v>11.736069016284437</v>
      </c>
      <c r="E2602" s="4">
        <v>1</v>
      </c>
      <c r="F2602" s="5">
        <v>3.4339872044851463</v>
      </c>
      <c r="G2602" s="4">
        <v>4</v>
      </c>
    </row>
    <row r="2603" spans="1:7" x14ac:dyDescent="0.15">
      <c r="A2603" s="4">
        <v>2602</v>
      </c>
      <c r="B2603" s="4">
        <v>0</v>
      </c>
      <c r="D2603" s="5">
        <v>11.191341840842766</v>
      </c>
      <c r="E2603" s="4">
        <v>1</v>
      </c>
      <c r="F2603" s="5">
        <v>3.6888794541139363</v>
      </c>
      <c r="G2603" s="4">
        <v>4</v>
      </c>
    </row>
    <row r="2604" spans="1:7" x14ac:dyDescent="0.15">
      <c r="A2604" s="4">
        <v>2603</v>
      </c>
      <c r="B2604" s="4">
        <v>0</v>
      </c>
      <c r="D2604" s="5">
        <v>11.191341840842766</v>
      </c>
      <c r="E2604" s="4">
        <v>0</v>
      </c>
      <c r="F2604" s="5">
        <v>3.784189633918261</v>
      </c>
      <c r="G2604" s="4">
        <v>4</v>
      </c>
    </row>
    <row r="2605" spans="1:7" x14ac:dyDescent="0.15">
      <c r="A2605" s="4">
        <v>2604</v>
      </c>
      <c r="B2605" s="4">
        <v>1</v>
      </c>
      <c r="D2605" s="5">
        <v>10.915088464214607</v>
      </c>
      <c r="E2605" s="4">
        <v>0</v>
      </c>
      <c r="F2605" s="5">
        <v>3.8066624897703196</v>
      </c>
      <c r="G2605" s="4">
        <v>4</v>
      </c>
    </row>
    <row r="2606" spans="1:7" x14ac:dyDescent="0.15">
      <c r="A2606" s="4">
        <v>2605</v>
      </c>
      <c r="B2606" s="4">
        <v>0</v>
      </c>
      <c r="D2606" s="5">
        <v>10.532096211958502</v>
      </c>
      <c r="E2606" s="4">
        <v>1</v>
      </c>
      <c r="F2606" s="5">
        <v>2.5649493574615367</v>
      </c>
      <c r="G2606" s="4">
        <v>3</v>
      </c>
    </row>
    <row r="2607" spans="1:7" x14ac:dyDescent="0.15">
      <c r="A2607" s="4">
        <v>2606</v>
      </c>
      <c r="B2607" s="4">
        <v>0</v>
      </c>
      <c r="D2607" s="5">
        <v>11.736069016284437</v>
      </c>
      <c r="E2607" s="4">
        <v>1</v>
      </c>
      <c r="F2607" s="5">
        <v>2.8332133440562162</v>
      </c>
      <c r="G2607" s="4">
        <v>5</v>
      </c>
    </row>
    <row r="2608" spans="1:7" x14ac:dyDescent="0.15">
      <c r="A2608" s="4">
        <v>2607</v>
      </c>
      <c r="B2608" s="4">
        <v>0</v>
      </c>
      <c r="D2608" s="5">
        <v>11.379394072345706</v>
      </c>
      <c r="E2608" s="4">
        <v>1</v>
      </c>
      <c r="F2608" s="5">
        <v>3.7612001156935624</v>
      </c>
      <c r="G2608" s="4">
        <v>2</v>
      </c>
    </row>
    <row r="2609" spans="1:7" x14ac:dyDescent="0.15">
      <c r="A2609" s="4">
        <v>2608</v>
      </c>
      <c r="B2609" s="4">
        <v>0</v>
      </c>
      <c r="D2609" s="5">
        <v>11.736069016284437</v>
      </c>
      <c r="E2609" s="4">
        <v>0</v>
      </c>
      <c r="F2609" s="5">
        <v>3.8286413964890951</v>
      </c>
      <c r="G2609" s="4">
        <v>2</v>
      </c>
    </row>
    <row r="2610" spans="1:7" x14ac:dyDescent="0.15">
      <c r="A2610" s="4">
        <v>2609</v>
      </c>
      <c r="B2610" s="4">
        <v>0</v>
      </c>
      <c r="D2610" s="5">
        <v>11.379394072345706</v>
      </c>
      <c r="E2610" s="4">
        <v>1</v>
      </c>
      <c r="F2610" s="5">
        <v>2.9957322735539909</v>
      </c>
      <c r="G2610" s="4">
        <v>3</v>
      </c>
    </row>
    <row r="2611" spans="1:7" x14ac:dyDescent="0.15">
      <c r="A2611" s="4">
        <v>2610</v>
      </c>
      <c r="B2611" s="4">
        <v>0</v>
      </c>
      <c r="D2611" s="5">
        <v>10.532096211958502</v>
      </c>
      <c r="E2611" s="4">
        <v>1</v>
      </c>
      <c r="F2611" s="5">
        <v>3.4011973816621555</v>
      </c>
      <c r="G2611" s="4">
        <v>4</v>
      </c>
    </row>
    <row r="2612" spans="1:7" x14ac:dyDescent="0.15">
      <c r="A2612" s="4">
        <v>2611</v>
      </c>
      <c r="B2612" s="4">
        <v>0</v>
      </c>
      <c r="D2612" s="5">
        <v>10.532096211958502</v>
      </c>
      <c r="E2612" s="4">
        <v>0</v>
      </c>
      <c r="F2612" s="5">
        <v>3.4011973816621555</v>
      </c>
      <c r="G2612" s="4">
        <v>4</v>
      </c>
    </row>
    <row r="2613" spans="1:7" x14ac:dyDescent="0.15">
      <c r="A2613" s="4">
        <v>2612</v>
      </c>
      <c r="B2613" s="4">
        <v>0</v>
      </c>
      <c r="D2613" s="5">
        <v>11.379394072345706</v>
      </c>
      <c r="E2613" s="4">
        <v>1</v>
      </c>
      <c r="F2613" s="5">
        <v>3.8066624897703196</v>
      </c>
      <c r="G2613" s="4">
        <v>4</v>
      </c>
    </row>
    <row r="2614" spans="1:7" x14ac:dyDescent="0.15">
      <c r="A2614" s="4">
        <v>2613</v>
      </c>
      <c r="B2614" s="4">
        <v>0</v>
      </c>
      <c r="D2614" s="5">
        <v>12.206072645530174</v>
      </c>
      <c r="E2614" s="4">
        <v>1</v>
      </c>
      <c r="F2614" s="5">
        <v>2.8332133440562162</v>
      </c>
      <c r="G2614" s="4">
        <v>3</v>
      </c>
    </row>
    <row r="2615" spans="1:7" x14ac:dyDescent="0.15">
      <c r="A2615" s="4">
        <v>2614</v>
      </c>
      <c r="B2615" s="4">
        <v>0</v>
      </c>
      <c r="D2615" s="5">
        <v>11.379394072345706</v>
      </c>
      <c r="E2615" s="4">
        <v>1</v>
      </c>
      <c r="F2615" s="5">
        <v>2.8903717578961645</v>
      </c>
      <c r="G2615" s="4">
        <v>3</v>
      </c>
    </row>
    <row r="2616" spans="1:7" x14ac:dyDescent="0.15">
      <c r="A2616" s="4">
        <v>2615</v>
      </c>
      <c r="B2616" s="4">
        <v>0</v>
      </c>
      <c r="D2616" s="5">
        <v>11.736069016284437</v>
      </c>
      <c r="E2616" s="4">
        <v>1</v>
      </c>
      <c r="F2616" s="5">
        <v>2.5649493574615367</v>
      </c>
      <c r="G2616" s="4">
        <v>5</v>
      </c>
    </row>
    <row r="2617" spans="1:7" x14ac:dyDescent="0.15">
      <c r="A2617" s="4">
        <v>2616</v>
      </c>
      <c r="B2617" s="4">
        <v>1</v>
      </c>
      <c r="D2617" s="5">
        <v>11.379394072345706</v>
      </c>
      <c r="E2617" s="4">
        <v>1</v>
      </c>
      <c r="F2617" s="5">
        <v>3.8286413964890951</v>
      </c>
      <c r="G2617" s="4">
        <v>3</v>
      </c>
    </row>
    <row r="2618" spans="1:7" x14ac:dyDescent="0.15">
      <c r="A2618" s="4">
        <v>2617</v>
      </c>
      <c r="B2618" s="4">
        <v>0</v>
      </c>
      <c r="D2618" s="5">
        <v>10.915088464214607</v>
      </c>
      <c r="E2618" s="4">
        <v>1</v>
      </c>
      <c r="F2618" s="5">
        <v>3.8712010109078911</v>
      </c>
      <c r="G2618" s="4">
        <v>2</v>
      </c>
    </row>
    <row r="2619" spans="1:7" x14ac:dyDescent="0.15">
      <c r="A2619" s="4">
        <v>2618</v>
      </c>
      <c r="B2619" s="4">
        <v>0</v>
      </c>
      <c r="D2619" s="5">
        <v>10.532096211958502</v>
      </c>
      <c r="E2619" s="4">
        <v>1</v>
      </c>
      <c r="F2619" s="5">
        <v>3.9512437185814275</v>
      </c>
      <c r="G2619" s="4">
        <v>1</v>
      </c>
    </row>
    <row r="2620" spans="1:7" x14ac:dyDescent="0.15">
      <c r="A2620" s="4">
        <v>2619</v>
      </c>
      <c r="B2620" s="4">
        <v>0</v>
      </c>
      <c r="D2620" s="5">
        <v>10.915088464214607</v>
      </c>
      <c r="E2620" s="4">
        <v>1</v>
      </c>
      <c r="F2620" s="5">
        <v>3.6375861597263857</v>
      </c>
      <c r="G2620" s="4">
        <v>3</v>
      </c>
    </row>
    <row r="2621" spans="1:7" x14ac:dyDescent="0.15">
      <c r="A2621" s="4">
        <v>2620</v>
      </c>
      <c r="B2621" s="4">
        <v>0</v>
      </c>
      <c r="D2621" s="5">
        <v>10.915088464214607</v>
      </c>
      <c r="E2621" s="4">
        <v>1</v>
      </c>
      <c r="F2621" s="5">
        <v>2.7080502011022101</v>
      </c>
      <c r="G2621" s="4">
        <v>3</v>
      </c>
    </row>
    <row r="2622" spans="1:7" x14ac:dyDescent="0.15">
      <c r="A2622" s="4">
        <v>2621</v>
      </c>
      <c r="B2622" s="4">
        <v>0</v>
      </c>
      <c r="D2622" s="5">
        <v>10.915088464214607</v>
      </c>
      <c r="E2622" s="4">
        <v>1</v>
      </c>
      <c r="F2622" s="5">
        <v>2.7080502011022101</v>
      </c>
      <c r="G2622" s="4">
        <v>6</v>
      </c>
    </row>
    <row r="2623" spans="1:7" x14ac:dyDescent="0.15">
      <c r="A2623" s="4">
        <v>2622</v>
      </c>
      <c r="B2623" s="4">
        <v>0</v>
      </c>
      <c r="D2623" s="5">
        <v>10.915088464214607</v>
      </c>
      <c r="E2623" s="4">
        <v>0</v>
      </c>
      <c r="F2623" s="5">
        <v>3.6888794541139363</v>
      </c>
      <c r="G2623" s="4">
        <v>6</v>
      </c>
    </row>
    <row r="2624" spans="1:7" x14ac:dyDescent="0.15">
      <c r="A2624" s="4">
        <v>2623</v>
      </c>
      <c r="B2624" s="4">
        <v>0</v>
      </c>
      <c r="D2624" s="5">
        <v>10.915088464214607</v>
      </c>
      <c r="E2624" s="4">
        <v>1</v>
      </c>
      <c r="F2624" s="5">
        <v>2.6390573296152584</v>
      </c>
      <c r="G2624" s="4">
        <v>4</v>
      </c>
    </row>
    <row r="2625" spans="1:7" x14ac:dyDescent="0.15">
      <c r="A2625" s="4">
        <v>2624</v>
      </c>
      <c r="B2625" s="4">
        <v>4</v>
      </c>
      <c r="D2625" s="5">
        <v>10.915088464214607</v>
      </c>
      <c r="E2625" s="4">
        <v>1</v>
      </c>
      <c r="F2625" s="5">
        <v>3.0910424533583161</v>
      </c>
      <c r="G2625" s="4">
        <v>2</v>
      </c>
    </row>
    <row r="2626" spans="1:7" x14ac:dyDescent="0.15">
      <c r="A2626" s="4">
        <v>2625</v>
      </c>
      <c r="B2626" s="4">
        <v>0</v>
      </c>
      <c r="D2626" s="5">
        <v>10.021270588192511</v>
      </c>
      <c r="E2626" s="4">
        <v>1</v>
      </c>
      <c r="F2626" s="5">
        <v>4.1108738641733114</v>
      </c>
      <c r="G2626" s="4">
        <v>2</v>
      </c>
    </row>
    <row r="2627" spans="1:7" x14ac:dyDescent="0.15">
      <c r="A2627" s="4">
        <v>2626</v>
      </c>
      <c r="B2627" s="4">
        <v>0</v>
      </c>
      <c r="D2627" s="5">
        <v>11.736069016284437</v>
      </c>
      <c r="E2627" s="4">
        <v>1</v>
      </c>
      <c r="F2627" s="5">
        <v>3.1780538303479458</v>
      </c>
      <c r="G2627" s="4">
        <v>3</v>
      </c>
    </row>
    <row r="2628" spans="1:7" x14ac:dyDescent="0.15">
      <c r="A2628" s="4">
        <v>2627</v>
      </c>
      <c r="B2628" s="4">
        <v>0</v>
      </c>
      <c r="D2628" s="5">
        <v>11.379394072345706</v>
      </c>
      <c r="E2628" s="4">
        <v>0</v>
      </c>
      <c r="F2628" s="5">
        <v>3.4965075614664802</v>
      </c>
      <c r="G2628" s="4">
        <v>4</v>
      </c>
    </row>
    <row r="2629" spans="1:7" x14ac:dyDescent="0.15">
      <c r="A2629" s="4">
        <v>2628</v>
      </c>
      <c r="B2629" s="4">
        <v>0</v>
      </c>
      <c r="D2629" s="5">
        <v>10.532096211958502</v>
      </c>
      <c r="E2629" s="4">
        <v>1</v>
      </c>
      <c r="F2629" s="5">
        <v>2.9444389791664403</v>
      </c>
      <c r="G2629" s="4">
        <v>4</v>
      </c>
    </row>
    <row r="2630" spans="1:7" x14ac:dyDescent="0.15">
      <c r="A2630" s="4">
        <v>2629</v>
      </c>
      <c r="B2630" s="4">
        <v>0</v>
      </c>
      <c r="D2630" s="5">
        <v>10.915088464214607</v>
      </c>
      <c r="E2630" s="4">
        <v>1</v>
      </c>
      <c r="F2630" s="5">
        <v>3.3322045101752038</v>
      </c>
      <c r="G2630" s="4">
        <v>4</v>
      </c>
    </row>
    <row r="2631" spans="1:7" x14ac:dyDescent="0.15">
      <c r="A2631" s="4">
        <v>2630</v>
      </c>
      <c r="B2631" s="4">
        <v>3</v>
      </c>
      <c r="D2631" s="5">
        <v>11.379394072345706</v>
      </c>
      <c r="E2631" s="4">
        <v>1</v>
      </c>
      <c r="F2631" s="5">
        <v>3.6635616461296463</v>
      </c>
      <c r="G2631" s="4">
        <v>5</v>
      </c>
    </row>
    <row r="2632" spans="1:7" x14ac:dyDescent="0.15">
      <c r="A2632" s="4">
        <v>2631</v>
      </c>
      <c r="B2632" s="4">
        <v>0</v>
      </c>
      <c r="D2632" s="5">
        <v>10.915088464214607</v>
      </c>
      <c r="E2632" s="4">
        <v>1</v>
      </c>
      <c r="F2632" s="5">
        <v>3.3672958299864741</v>
      </c>
      <c r="G2632" s="4">
        <v>3</v>
      </c>
    </row>
    <row r="2633" spans="1:7" x14ac:dyDescent="0.15">
      <c r="A2633" s="4">
        <v>2632</v>
      </c>
      <c r="B2633" s="4">
        <v>1</v>
      </c>
      <c r="D2633" s="5">
        <v>9.5287941030947181</v>
      </c>
      <c r="E2633" s="4">
        <v>1</v>
      </c>
      <c r="F2633" s="5">
        <v>3.0910424533583161</v>
      </c>
      <c r="G2633" s="4">
        <v>1</v>
      </c>
    </row>
    <row r="2634" spans="1:7" x14ac:dyDescent="0.15">
      <c r="A2634" s="4">
        <v>2633</v>
      </c>
      <c r="B2634" s="4">
        <v>1</v>
      </c>
      <c r="D2634" s="5">
        <v>10.915088464214607</v>
      </c>
      <c r="E2634" s="4">
        <v>1</v>
      </c>
      <c r="F2634" s="5">
        <v>3.970291913552122</v>
      </c>
      <c r="G2634" s="4">
        <v>2</v>
      </c>
    </row>
    <row r="2635" spans="1:7" x14ac:dyDescent="0.15">
      <c r="A2635" s="4">
        <v>2634</v>
      </c>
      <c r="B2635" s="4">
        <v>0</v>
      </c>
      <c r="D2635" s="5">
        <v>10.915088464214607</v>
      </c>
      <c r="E2635" s="4">
        <v>1</v>
      </c>
      <c r="F2635" s="5">
        <v>3.6109179126442243</v>
      </c>
      <c r="G2635" s="4">
        <v>2</v>
      </c>
    </row>
    <row r="2636" spans="1:7" x14ac:dyDescent="0.15">
      <c r="A2636" s="4">
        <v>2635</v>
      </c>
      <c r="B2636" s="4">
        <v>0</v>
      </c>
      <c r="D2636" s="5">
        <v>10.915088464214607</v>
      </c>
      <c r="E2636" s="4">
        <v>1</v>
      </c>
      <c r="F2636" s="5">
        <v>2.5649493574615367</v>
      </c>
      <c r="G2636" s="4">
        <v>4</v>
      </c>
    </row>
    <row r="2637" spans="1:7" x14ac:dyDescent="0.15">
      <c r="A2637" s="4">
        <v>2636</v>
      </c>
      <c r="B2637" s="4">
        <v>0</v>
      </c>
      <c r="D2637" s="5">
        <v>11.379394072345706</v>
      </c>
      <c r="E2637" s="4">
        <v>0</v>
      </c>
      <c r="F2637" s="5">
        <v>2.3978952727983707</v>
      </c>
      <c r="G2637" s="4">
        <v>4</v>
      </c>
    </row>
    <row r="2638" spans="1:7" x14ac:dyDescent="0.15">
      <c r="A2638" s="4">
        <v>2637</v>
      </c>
      <c r="B2638" s="4">
        <v>0</v>
      </c>
      <c r="D2638" s="5">
        <v>10.915088464214607</v>
      </c>
      <c r="E2638" s="4">
        <v>1</v>
      </c>
      <c r="F2638" s="5">
        <v>2.6390573296152584</v>
      </c>
      <c r="G2638" s="4">
        <v>2</v>
      </c>
    </row>
    <row r="2639" spans="1:7" x14ac:dyDescent="0.15">
      <c r="A2639" s="4">
        <v>2638</v>
      </c>
      <c r="B2639" s="4">
        <v>0</v>
      </c>
      <c r="D2639" s="5">
        <v>11.191341840842766</v>
      </c>
      <c r="E2639" s="4">
        <v>1</v>
      </c>
      <c r="F2639" s="5">
        <v>3.8918202981106265</v>
      </c>
      <c r="G2639" s="4">
        <v>3</v>
      </c>
    </row>
    <row r="2640" spans="1:7" x14ac:dyDescent="0.15">
      <c r="A2640" s="4">
        <v>2639</v>
      </c>
      <c r="B2640" s="4">
        <v>0</v>
      </c>
      <c r="D2640" s="5">
        <v>11.191341840842766</v>
      </c>
      <c r="E2640" s="4">
        <v>1</v>
      </c>
      <c r="F2640" s="5">
        <v>3.2580965380214821</v>
      </c>
      <c r="G2640" s="4">
        <v>4</v>
      </c>
    </row>
    <row r="2641" spans="1:7" x14ac:dyDescent="0.15">
      <c r="A2641" s="4">
        <v>2640</v>
      </c>
      <c r="B2641" s="4">
        <v>0</v>
      </c>
      <c r="D2641" s="5">
        <v>10.915088464214607</v>
      </c>
      <c r="E2641" s="4">
        <v>1</v>
      </c>
      <c r="F2641" s="5">
        <v>2.9444389791664403</v>
      </c>
      <c r="G2641" s="4">
        <v>3</v>
      </c>
    </row>
    <row r="2642" spans="1:7" x14ac:dyDescent="0.15">
      <c r="A2642" s="4">
        <v>2641</v>
      </c>
      <c r="B2642" s="4">
        <v>0</v>
      </c>
      <c r="D2642" s="5">
        <v>11.736069016284437</v>
      </c>
      <c r="E2642" s="4">
        <v>1</v>
      </c>
      <c r="F2642" s="5">
        <v>3.4657359027997265</v>
      </c>
      <c r="G2642" s="4">
        <v>2</v>
      </c>
    </row>
    <row r="2643" spans="1:7" x14ac:dyDescent="0.15">
      <c r="A2643" s="4">
        <v>2642</v>
      </c>
      <c r="B2643" s="4">
        <v>1</v>
      </c>
      <c r="D2643" s="5">
        <v>10.915088464214607</v>
      </c>
      <c r="E2643" s="4">
        <v>1</v>
      </c>
      <c r="F2643" s="5">
        <v>2.7725887222397811</v>
      </c>
      <c r="G2643" s="4">
        <v>2</v>
      </c>
    </row>
    <row r="2644" spans="1:7" x14ac:dyDescent="0.15">
      <c r="A2644" s="4">
        <v>2643</v>
      </c>
      <c r="B2644" s="4">
        <v>0</v>
      </c>
      <c r="D2644" s="5">
        <v>11.379394072345706</v>
      </c>
      <c r="E2644" s="4">
        <v>1</v>
      </c>
      <c r="F2644" s="5">
        <v>2.6390573296152584</v>
      </c>
      <c r="G2644" s="4">
        <v>6</v>
      </c>
    </row>
    <row r="2645" spans="1:7" x14ac:dyDescent="0.15">
      <c r="A2645" s="4">
        <v>2644</v>
      </c>
      <c r="B2645" s="4">
        <v>0</v>
      </c>
      <c r="D2645" s="5">
        <v>11.736069016284437</v>
      </c>
      <c r="E2645" s="4">
        <v>1</v>
      </c>
      <c r="F2645" s="5">
        <v>3.6888794541139363</v>
      </c>
      <c r="G2645" s="4">
        <v>4</v>
      </c>
    </row>
    <row r="2646" spans="1:7" x14ac:dyDescent="0.15">
      <c r="A2646" s="4">
        <v>2645</v>
      </c>
      <c r="B2646" s="4">
        <v>2</v>
      </c>
      <c r="D2646" s="5">
        <v>11.736069016284437</v>
      </c>
      <c r="E2646" s="4">
        <v>1</v>
      </c>
      <c r="F2646" s="5">
        <v>3.8286413964890951</v>
      </c>
      <c r="G2646" s="4">
        <v>4</v>
      </c>
    </row>
    <row r="2647" spans="1:7" x14ac:dyDescent="0.15">
      <c r="A2647" s="4">
        <v>2646</v>
      </c>
      <c r="B2647" s="4">
        <v>0</v>
      </c>
      <c r="D2647" s="5">
        <v>11.736069016284437</v>
      </c>
      <c r="E2647" s="4">
        <v>0</v>
      </c>
      <c r="F2647" s="5">
        <v>2.6390573296152584</v>
      </c>
      <c r="G2647" s="4">
        <v>4</v>
      </c>
    </row>
    <row r="2648" spans="1:7" x14ac:dyDescent="0.15">
      <c r="A2648" s="4">
        <v>2647</v>
      </c>
      <c r="B2648" s="4">
        <v>0</v>
      </c>
      <c r="D2648" s="5">
        <v>10.915088464214607</v>
      </c>
      <c r="E2648" s="4">
        <v>1</v>
      </c>
      <c r="F2648" s="5">
        <v>2.7080502011022101</v>
      </c>
      <c r="G2648" s="4">
        <v>3</v>
      </c>
    </row>
    <row r="2649" spans="1:7" x14ac:dyDescent="0.15">
      <c r="A2649" s="4">
        <v>2648</v>
      </c>
      <c r="B2649" s="4">
        <v>0</v>
      </c>
      <c r="D2649" s="5">
        <v>11.736069016284437</v>
      </c>
      <c r="E2649" s="4">
        <v>0</v>
      </c>
      <c r="F2649" s="5">
        <v>3.4965075614664802</v>
      </c>
      <c r="G2649" s="4">
        <v>2</v>
      </c>
    </row>
    <row r="2650" spans="1:7" x14ac:dyDescent="0.15">
      <c r="A2650" s="4">
        <v>2649</v>
      </c>
      <c r="B2650" s="4">
        <v>0</v>
      </c>
      <c r="D2650" s="5">
        <v>11.191341840842766</v>
      </c>
      <c r="E2650" s="4">
        <v>1</v>
      </c>
      <c r="F2650" s="5">
        <v>3.8501476017100584</v>
      </c>
      <c r="G2650" s="4">
        <v>4</v>
      </c>
    </row>
    <row r="2651" spans="1:7" x14ac:dyDescent="0.15">
      <c r="A2651" s="4">
        <v>2650</v>
      </c>
      <c r="B2651" s="4">
        <v>0</v>
      </c>
      <c r="D2651" s="5">
        <v>10.532096211958502</v>
      </c>
      <c r="E2651" s="4">
        <v>0</v>
      </c>
      <c r="F2651" s="5">
        <v>3.9512437185814275</v>
      </c>
      <c r="G2651" s="4">
        <v>1</v>
      </c>
    </row>
    <row r="2652" spans="1:7" x14ac:dyDescent="0.15">
      <c r="A2652" s="4">
        <v>2651</v>
      </c>
      <c r="B2652" s="4">
        <v>0</v>
      </c>
      <c r="D2652" s="5">
        <v>12.206072645530174</v>
      </c>
      <c r="E2652" s="4">
        <v>1</v>
      </c>
      <c r="F2652" s="5">
        <v>4.0604430105464191</v>
      </c>
      <c r="G2652" s="4">
        <v>3</v>
      </c>
    </row>
    <row r="2653" spans="1:7" x14ac:dyDescent="0.15">
      <c r="A2653" s="4">
        <v>2652</v>
      </c>
      <c r="B2653" s="4">
        <v>4</v>
      </c>
      <c r="D2653" s="5">
        <v>11.379394072345706</v>
      </c>
      <c r="E2653" s="4">
        <v>1</v>
      </c>
      <c r="F2653" s="5">
        <v>3.4657359027997265</v>
      </c>
      <c r="G2653" s="4">
        <v>4</v>
      </c>
    </row>
    <row r="2654" spans="1:7" x14ac:dyDescent="0.15">
      <c r="A2654" s="4">
        <v>2653</v>
      </c>
      <c r="B2654" s="4">
        <v>0</v>
      </c>
      <c r="D2654" s="5">
        <v>10.532096211958502</v>
      </c>
      <c r="E2654" s="4">
        <v>1</v>
      </c>
      <c r="F2654" s="5">
        <v>3.044522437723423</v>
      </c>
      <c r="G2654" s="4">
        <v>4</v>
      </c>
    </row>
    <row r="2655" spans="1:7" x14ac:dyDescent="0.15">
      <c r="A2655" s="4">
        <v>2654</v>
      </c>
      <c r="B2655" s="4">
        <v>4</v>
      </c>
      <c r="D2655" s="5">
        <v>10.915088464214607</v>
      </c>
      <c r="E2655" s="4">
        <v>1</v>
      </c>
      <c r="F2655" s="5">
        <v>3.7612001156935624</v>
      </c>
      <c r="G2655" s="4">
        <v>4</v>
      </c>
    </row>
    <row r="2656" spans="1:7" x14ac:dyDescent="0.15">
      <c r="A2656" s="4">
        <v>2655</v>
      </c>
      <c r="B2656" s="4">
        <v>0</v>
      </c>
      <c r="D2656" s="5">
        <v>9.5287941030947181</v>
      </c>
      <c r="E2656" s="4">
        <v>1</v>
      </c>
      <c r="F2656" s="5">
        <v>3.1780538303479458</v>
      </c>
      <c r="G2656" s="4">
        <v>1</v>
      </c>
    </row>
    <row r="2657" spans="1:7" x14ac:dyDescent="0.15">
      <c r="A2657" s="4">
        <v>2656</v>
      </c>
      <c r="B2657" s="4">
        <v>0</v>
      </c>
      <c r="D2657" s="5">
        <v>10.532096211958502</v>
      </c>
      <c r="E2657" s="4">
        <v>0</v>
      </c>
      <c r="F2657" s="5">
        <v>3.970291913552122</v>
      </c>
      <c r="G2657" s="4">
        <v>4</v>
      </c>
    </row>
    <row r="2658" spans="1:7" x14ac:dyDescent="0.15">
      <c r="A2658" s="4">
        <v>2657</v>
      </c>
      <c r="B2658" s="4">
        <v>1</v>
      </c>
      <c r="D2658" s="5">
        <v>10.532096211958502</v>
      </c>
      <c r="E2658" s="4">
        <v>1</v>
      </c>
      <c r="F2658" s="5">
        <v>4.2626798770413155</v>
      </c>
      <c r="G2658" s="4">
        <v>1</v>
      </c>
    </row>
    <row r="2659" spans="1:7" x14ac:dyDescent="0.15">
      <c r="A2659" s="4">
        <v>2658</v>
      </c>
      <c r="B2659" s="4">
        <v>10</v>
      </c>
      <c r="D2659" s="5">
        <v>11.379394072345706</v>
      </c>
      <c r="E2659" s="4">
        <v>1</v>
      </c>
      <c r="F2659" s="5">
        <v>3.970291913552122</v>
      </c>
      <c r="G2659" s="4">
        <v>3</v>
      </c>
    </row>
    <row r="2660" spans="1:7" x14ac:dyDescent="0.15">
      <c r="A2660" s="4">
        <v>2659</v>
      </c>
      <c r="B2660" s="4">
        <v>0</v>
      </c>
      <c r="D2660" s="5">
        <v>11.191341840842766</v>
      </c>
      <c r="E2660" s="4">
        <v>1</v>
      </c>
      <c r="F2660" s="5">
        <v>3.1354942159291497</v>
      </c>
      <c r="G2660" s="4">
        <v>5</v>
      </c>
    </row>
    <row r="2661" spans="1:7" x14ac:dyDescent="0.15">
      <c r="A2661" s="4">
        <v>2660</v>
      </c>
      <c r="B2661" s="4">
        <v>4</v>
      </c>
      <c r="D2661" s="5">
        <v>11.191341840842766</v>
      </c>
      <c r="E2661" s="4">
        <v>1</v>
      </c>
      <c r="F2661" s="5">
        <v>3.9318256327243257</v>
      </c>
      <c r="G2661" s="4">
        <v>3</v>
      </c>
    </row>
    <row r="2662" spans="1:7" x14ac:dyDescent="0.15">
      <c r="A2662" s="4">
        <v>2661</v>
      </c>
      <c r="B2662" s="4">
        <v>1</v>
      </c>
      <c r="D2662" s="5">
        <v>11.379394072345706</v>
      </c>
      <c r="E2662" s="4">
        <v>1</v>
      </c>
      <c r="F2662" s="5">
        <v>3.784189633918261</v>
      </c>
      <c r="G2662" s="4">
        <v>2</v>
      </c>
    </row>
    <row r="2663" spans="1:7" x14ac:dyDescent="0.15">
      <c r="A2663" s="4">
        <v>2662</v>
      </c>
      <c r="B2663" s="4">
        <v>0</v>
      </c>
      <c r="D2663" s="5">
        <v>11.191341840842766</v>
      </c>
      <c r="E2663" s="4">
        <v>1</v>
      </c>
      <c r="F2663" s="5">
        <v>2.8903717578961645</v>
      </c>
      <c r="G2663" s="4">
        <v>4</v>
      </c>
    </row>
    <row r="2664" spans="1:7" x14ac:dyDescent="0.15">
      <c r="A2664" s="4">
        <v>2663</v>
      </c>
      <c r="B2664" s="4">
        <v>0</v>
      </c>
      <c r="D2664" s="5">
        <v>10.915088464214607</v>
      </c>
      <c r="E2664" s="4">
        <v>1</v>
      </c>
      <c r="F2664" s="5">
        <v>3.8501476017100584</v>
      </c>
      <c r="G2664" s="4">
        <v>1</v>
      </c>
    </row>
    <row r="2665" spans="1:7" x14ac:dyDescent="0.15">
      <c r="A2665" s="4">
        <v>2664</v>
      </c>
      <c r="B2665" s="4">
        <v>0</v>
      </c>
      <c r="D2665" s="5">
        <v>10.532096211958502</v>
      </c>
      <c r="E2665" s="4">
        <v>1</v>
      </c>
      <c r="F2665" s="5">
        <v>3.7612001156935624</v>
      </c>
      <c r="G2665" s="4">
        <v>3</v>
      </c>
    </row>
    <row r="2666" spans="1:7" x14ac:dyDescent="0.15">
      <c r="A2666" s="4">
        <v>2665</v>
      </c>
      <c r="B2666" s="4">
        <v>0</v>
      </c>
      <c r="D2666" s="5">
        <v>11.736069016284437</v>
      </c>
      <c r="E2666" s="4">
        <v>1</v>
      </c>
      <c r="F2666" s="5">
        <v>3.3322045101752038</v>
      </c>
      <c r="G2666" s="4">
        <v>2</v>
      </c>
    </row>
    <row r="2667" spans="1:7" x14ac:dyDescent="0.15">
      <c r="A2667" s="4">
        <v>2666</v>
      </c>
      <c r="B2667" s="4">
        <v>17</v>
      </c>
      <c r="D2667" s="5">
        <v>10.532096211958502</v>
      </c>
      <c r="E2667" s="4">
        <v>1</v>
      </c>
      <c r="F2667" s="5">
        <v>3.713572066704308</v>
      </c>
      <c r="G2667" s="4">
        <v>4</v>
      </c>
    </row>
    <row r="2668" spans="1:7" x14ac:dyDescent="0.15">
      <c r="A2668" s="4">
        <v>2667</v>
      </c>
      <c r="B2668" s="4">
        <v>1</v>
      </c>
      <c r="D2668" s="5">
        <v>10.915088464214607</v>
      </c>
      <c r="E2668" s="4">
        <v>1</v>
      </c>
      <c r="F2668" s="5">
        <v>3.7612001156935624</v>
      </c>
      <c r="G2668" s="4">
        <v>2</v>
      </c>
    </row>
    <row r="2669" spans="1:7" x14ac:dyDescent="0.15">
      <c r="A2669" s="4">
        <v>2668</v>
      </c>
      <c r="B2669" s="4">
        <v>0</v>
      </c>
      <c r="D2669" s="5">
        <v>11.379394072345706</v>
      </c>
      <c r="E2669" s="4">
        <v>1</v>
      </c>
      <c r="F2669" s="5">
        <v>3.5263605246161616</v>
      </c>
      <c r="G2669" s="4">
        <v>4</v>
      </c>
    </row>
    <row r="2670" spans="1:7" x14ac:dyDescent="0.15">
      <c r="A2670" s="4">
        <v>2669</v>
      </c>
      <c r="B2670" s="4">
        <v>0</v>
      </c>
      <c r="D2670" s="5">
        <v>11.379394072345706</v>
      </c>
      <c r="E2670" s="4">
        <v>1</v>
      </c>
      <c r="F2670" s="5">
        <v>3.970291913552122</v>
      </c>
      <c r="G2670" s="4">
        <v>3</v>
      </c>
    </row>
    <row r="2671" spans="1:7" x14ac:dyDescent="0.15">
      <c r="A2671" s="4">
        <v>2670</v>
      </c>
      <c r="B2671" s="4">
        <v>0</v>
      </c>
      <c r="D2671" s="5">
        <v>11.191341840842766</v>
      </c>
      <c r="E2671" s="4">
        <v>1</v>
      </c>
      <c r="F2671" s="5">
        <v>4.0430512678345503</v>
      </c>
      <c r="G2671" s="4">
        <v>2</v>
      </c>
    </row>
    <row r="2672" spans="1:7" x14ac:dyDescent="0.15">
      <c r="A2672" s="4">
        <v>2671</v>
      </c>
      <c r="B2672" s="4">
        <v>1</v>
      </c>
      <c r="D2672" s="5">
        <v>11.191341840842766</v>
      </c>
      <c r="E2672" s="4">
        <v>1</v>
      </c>
      <c r="F2672" s="5">
        <v>3.713572066704308</v>
      </c>
      <c r="G2672" s="4">
        <v>6</v>
      </c>
    </row>
    <row r="2673" spans="1:7" x14ac:dyDescent="0.15">
      <c r="A2673" s="4">
        <v>2672</v>
      </c>
      <c r="B2673" s="4">
        <v>0</v>
      </c>
      <c r="D2673" s="5">
        <v>10.915088464214607</v>
      </c>
      <c r="E2673" s="4">
        <v>1</v>
      </c>
      <c r="F2673" s="5">
        <v>3.912023005428146</v>
      </c>
      <c r="G2673" s="4">
        <v>2</v>
      </c>
    </row>
    <row r="2674" spans="1:7" x14ac:dyDescent="0.15">
      <c r="A2674" s="4">
        <v>2673</v>
      </c>
      <c r="B2674" s="4">
        <v>0</v>
      </c>
      <c r="D2674" s="5">
        <v>10.532096211958502</v>
      </c>
      <c r="E2674" s="4">
        <v>1</v>
      </c>
      <c r="F2674" s="5">
        <v>3.4657359027997265</v>
      </c>
      <c r="G2674" s="4">
        <v>1</v>
      </c>
    </row>
    <row r="2675" spans="1:7" x14ac:dyDescent="0.15">
      <c r="A2675" s="4">
        <v>2674</v>
      </c>
      <c r="B2675" s="4">
        <v>0</v>
      </c>
      <c r="D2675" s="5">
        <v>11.379394072345706</v>
      </c>
      <c r="E2675" s="4">
        <v>1</v>
      </c>
      <c r="F2675" s="5">
        <v>3.044522437723423</v>
      </c>
      <c r="G2675" s="4">
        <v>4</v>
      </c>
    </row>
    <row r="2676" spans="1:7" x14ac:dyDescent="0.15">
      <c r="A2676" s="4">
        <v>2675</v>
      </c>
      <c r="B2676" s="4">
        <v>0</v>
      </c>
      <c r="D2676" s="5">
        <v>11.379394072345706</v>
      </c>
      <c r="E2676" s="4">
        <v>1</v>
      </c>
      <c r="F2676" s="5">
        <v>3.5263605246161616</v>
      </c>
      <c r="G2676" s="4">
        <v>4</v>
      </c>
    </row>
    <row r="2677" spans="1:7" x14ac:dyDescent="0.15">
      <c r="A2677" s="4">
        <v>2676</v>
      </c>
      <c r="B2677" s="4">
        <v>0</v>
      </c>
      <c r="D2677" s="5">
        <v>10.532096211958502</v>
      </c>
      <c r="E2677" s="4">
        <v>1</v>
      </c>
      <c r="F2677" s="5">
        <v>2.7080502011022101</v>
      </c>
      <c r="G2677" s="4">
        <v>2</v>
      </c>
    </row>
    <row r="2678" spans="1:7" x14ac:dyDescent="0.15">
      <c r="A2678" s="4">
        <v>2677</v>
      </c>
      <c r="B2678" s="4">
        <v>0</v>
      </c>
      <c r="D2678" s="5">
        <v>11.191341840842766</v>
      </c>
      <c r="E2678" s="4">
        <v>1</v>
      </c>
      <c r="F2678" s="5">
        <v>4.1108738641733114</v>
      </c>
      <c r="G2678" s="4">
        <v>2</v>
      </c>
    </row>
    <row r="2679" spans="1:7" x14ac:dyDescent="0.15">
      <c r="A2679" s="4">
        <v>2678</v>
      </c>
      <c r="B2679" s="4">
        <v>0</v>
      </c>
      <c r="D2679" s="5">
        <v>10.532096211958502</v>
      </c>
      <c r="E2679" s="4">
        <v>1</v>
      </c>
      <c r="F2679" s="5">
        <v>2.9957322735539909</v>
      </c>
      <c r="G2679" s="4">
        <v>4</v>
      </c>
    </row>
    <row r="2680" spans="1:7" x14ac:dyDescent="0.15">
      <c r="A2680" s="4">
        <v>2679</v>
      </c>
      <c r="B2680" s="4">
        <v>0</v>
      </c>
      <c r="D2680" s="5">
        <v>10.915088464214607</v>
      </c>
      <c r="E2680" s="4">
        <v>0</v>
      </c>
      <c r="F2680" s="5">
        <v>3.713572066704308</v>
      </c>
      <c r="G2680" s="4">
        <v>4</v>
      </c>
    </row>
    <row r="2681" spans="1:7" x14ac:dyDescent="0.15">
      <c r="A2681" s="4">
        <v>2680</v>
      </c>
      <c r="B2681" s="4">
        <v>0</v>
      </c>
      <c r="D2681" s="5">
        <v>11.191341840842766</v>
      </c>
      <c r="E2681" s="4">
        <v>1</v>
      </c>
      <c r="F2681" s="5">
        <v>3.970291913552122</v>
      </c>
      <c r="G2681" s="4">
        <v>2</v>
      </c>
    </row>
    <row r="2682" spans="1:7" x14ac:dyDescent="0.15">
      <c r="A2682" s="4">
        <v>2681</v>
      </c>
      <c r="B2682" s="4">
        <v>0</v>
      </c>
      <c r="D2682" s="5">
        <v>11.191341840842766</v>
      </c>
      <c r="E2682" s="4">
        <v>1</v>
      </c>
      <c r="F2682" s="5">
        <v>2.9957322735539909</v>
      </c>
      <c r="G2682" s="4">
        <v>3</v>
      </c>
    </row>
    <row r="2683" spans="1:7" x14ac:dyDescent="0.15">
      <c r="A2683" s="4">
        <v>2682</v>
      </c>
      <c r="B2683" s="4">
        <v>0</v>
      </c>
      <c r="D2683" s="5">
        <v>11.736069016284437</v>
      </c>
      <c r="E2683" s="4">
        <v>1</v>
      </c>
      <c r="F2683" s="5">
        <v>3.8712010109078911</v>
      </c>
      <c r="G2683" s="4">
        <v>2</v>
      </c>
    </row>
    <row r="2684" spans="1:7" x14ac:dyDescent="0.15">
      <c r="A2684" s="4">
        <v>2683</v>
      </c>
      <c r="B2684" s="4">
        <v>0</v>
      </c>
      <c r="D2684" s="5">
        <v>10.532096211958502</v>
      </c>
      <c r="E2684" s="4">
        <v>0</v>
      </c>
      <c r="F2684" s="5">
        <v>3.2580965380214821</v>
      </c>
      <c r="G2684" s="4">
        <v>1</v>
      </c>
    </row>
    <row r="2685" spans="1:7" x14ac:dyDescent="0.15">
      <c r="A2685" s="4">
        <v>2684</v>
      </c>
      <c r="B2685" s="4">
        <v>0</v>
      </c>
      <c r="D2685" s="5">
        <v>10.915088464214607</v>
      </c>
      <c r="E2685" s="4">
        <v>1</v>
      </c>
      <c r="F2685" s="5">
        <v>3.7376696182833684</v>
      </c>
      <c r="G2685" s="4">
        <v>5</v>
      </c>
    </row>
    <row r="2686" spans="1:7" x14ac:dyDescent="0.15">
      <c r="A2686" s="4">
        <v>2685</v>
      </c>
      <c r="B2686" s="4">
        <v>0</v>
      </c>
      <c r="D2686" s="5">
        <v>10.915088464214607</v>
      </c>
      <c r="E2686" s="4">
        <v>1</v>
      </c>
      <c r="F2686" s="5">
        <v>3.3672958299864741</v>
      </c>
      <c r="G2686" s="4">
        <v>2</v>
      </c>
    </row>
    <row r="2687" spans="1:7" x14ac:dyDescent="0.15">
      <c r="A2687" s="4">
        <v>2686</v>
      </c>
      <c r="B2687" s="4">
        <v>0</v>
      </c>
      <c r="D2687" s="5">
        <v>11.379394072345706</v>
      </c>
      <c r="E2687" s="4">
        <v>0</v>
      </c>
      <c r="F2687" s="5">
        <v>3.4339872044851463</v>
      </c>
      <c r="G2687" s="4">
        <v>2</v>
      </c>
    </row>
    <row r="2688" spans="1:7" x14ac:dyDescent="0.15">
      <c r="A2688" s="4">
        <v>2687</v>
      </c>
      <c r="B2688" s="4">
        <v>0</v>
      </c>
      <c r="D2688" s="5">
        <v>11.379394072345706</v>
      </c>
      <c r="E2688" s="4">
        <v>1</v>
      </c>
      <c r="F2688" s="5">
        <v>2.8332133440562162</v>
      </c>
      <c r="G2688" s="4">
        <v>6</v>
      </c>
    </row>
    <row r="2689" spans="1:7" x14ac:dyDescent="0.15">
      <c r="A2689" s="4">
        <v>2688</v>
      </c>
      <c r="B2689" s="4">
        <v>0</v>
      </c>
      <c r="D2689" s="5">
        <v>10.532096211958502</v>
      </c>
      <c r="E2689" s="4">
        <v>1</v>
      </c>
      <c r="F2689" s="5">
        <v>3.4657359027997265</v>
      </c>
      <c r="G2689" s="4">
        <v>4</v>
      </c>
    </row>
    <row r="2690" spans="1:7" x14ac:dyDescent="0.15">
      <c r="A2690" s="4">
        <v>2689</v>
      </c>
      <c r="B2690" s="4">
        <v>0</v>
      </c>
      <c r="D2690" s="5">
        <v>10.915088464214607</v>
      </c>
      <c r="E2690" s="4">
        <v>0</v>
      </c>
      <c r="F2690" s="5">
        <v>4.0775374439057197</v>
      </c>
      <c r="G2690" s="4">
        <v>2</v>
      </c>
    </row>
    <row r="2691" spans="1:7" x14ac:dyDescent="0.15">
      <c r="A2691" s="4">
        <v>2690</v>
      </c>
      <c r="B2691" s="4">
        <v>0</v>
      </c>
      <c r="D2691" s="5">
        <v>10.532096211958502</v>
      </c>
      <c r="E2691" s="4">
        <v>1</v>
      </c>
      <c r="F2691" s="5">
        <v>3.6109179126442243</v>
      </c>
      <c r="G2691" s="4">
        <v>2</v>
      </c>
    </row>
    <row r="2692" spans="1:7" x14ac:dyDescent="0.15">
      <c r="A2692" s="4">
        <v>2691</v>
      </c>
      <c r="B2692" s="4">
        <v>0</v>
      </c>
      <c r="D2692" s="5">
        <v>10.532096211958502</v>
      </c>
      <c r="E2692" s="4">
        <v>0</v>
      </c>
      <c r="F2692" s="5">
        <v>2.7080502011022101</v>
      </c>
      <c r="G2692" s="4">
        <v>2</v>
      </c>
    </row>
    <row r="2693" spans="1:7" x14ac:dyDescent="0.15">
      <c r="A2693" s="4">
        <v>2692</v>
      </c>
      <c r="B2693" s="4">
        <v>0</v>
      </c>
      <c r="D2693" s="5">
        <v>10.915088464214607</v>
      </c>
      <c r="E2693" s="4">
        <v>1</v>
      </c>
      <c r="F2693" s="5">
        <v>3.6109179126442243</v>
      </c>
      <c r="G2693" s="4">
        <v>4</v>
      </c>
    </row>
    <row r="2694" spans="1:7" x14ac:dyDescent="0.15">
      <c r="A2694" s="4">
        <v>2693</v>
      </c>
      <c r="B2694" s="4">
        <v>0</v>
      </c>
      <c r="D2694" s="5">
        <v>11.191341840842766</v>
      </c>
      <c r="E2694" s="4">
        <v>1</v>
      </c>
      <c r="F2694" s="5">
        <v>3.6109179126442243</v>
      </c>
      <c r="G2694" s="4">
        <v>1</v>
      </c>
    </row>
    <row r="2695" spans="1:7" x14ac:dyDescent="0.15">
      <c r="A2695" s="4">
        <v>2694</v>
      </c>
      <c r="B2695" s="4">
        <v>0</v>
      </c>
      <c r="D2695" s="5">
        <v>10.915088464214607</v>
      </c>
      <c r="E2695" s="4">
        <v>1</v>
      </c>
      <c r="F2695" s="5">
        <v>3.784189633918261</v>
      </c>
      <c r="G2695" s="4">
        <v>1</v>
      </c>
    </row>
    <row r="2696" spans="1:7" x14ac:dyDescent="0.15">
      <c r="A2696" s="4">
        <v>2695</v>
      </c>
      <c r="B2696" s="4">
        <v>0</v>
      </c>
      <c r="D2696" s="5">
        <v>10.021270588192511</v>
      </c>
      <c r="E2696" s="4">
        <v>1</v>
      </c>
      <c r="F2696" s="5">
        <v>3.970291913552122</v>
      </c>
      <c r="G2696" s="4">
        <v>2</v>
      </c>
    </row>
    <row r="2697" spans="1:7" x14ac:dyDescent="0.15">
      <c r="A2697" s="4">
        <v>2696</v>
      </c>
      <c r="B2697" s="4">
        <v>0</v>
      </c>
      <c r="D2697" s="5">
        <v>10.915088464214607</v>
      </c>
      <c r="E2697" s="4">
        <v>1</v>
      </c>
      <c r="F2697" s="5">
        <v>3.912023005428146</v>
      </c>
      <c r="G2697" s="4">
        <v>2</v>
      </c>
    </row>
    <row r="2698" spans="1:7" x14ac:dyDescent="0.15">
      <c r="A2698" s="4">
        <v>2697</v>
      </c>
      <c r="B2698" s="4">
        <v>49</v>
      </c>
      <c r="D2698" s="5">
        <v>11.191341840842766</v>
      </c>
      <c r="E2698" s="4">
        <v>1</v>
      </c>
      <c r="F2698" s="5">
        <v>3.3672958299864741</v>
      </c>
      <c r="G2698" s="4">
        <v>4</v>
      </c>
    </row>
    <row r="2699" spans="1:7" x14ac:dyDescent="0.15">
      <c r="A2699" s="4">
        <v>2698</v>
      </c>
      <c r="B2699" s="4">
        <v>0</v>
      </c>
      <c r="D2699" s="5">
        <v>11.191341840842766</v>
      </c>
      <c r="E2699" s="4">
        <v>1</v>
      </c>
      <c r="F2699" s="5">
        <v>3.2188758248682006</v>
      </c>
      <c r="G2699" s="4">
        <v>4</v>
      </c>
    </row>
    <row r="2700" spans="1:7" x14ac:dyDescent="0.15">
      <c r="A2700" s="4">
        <v>2699</v>
      </c>
      <c r="B2700" s="4">
        <v>0</v>
      </c>
      <c r="D2700" s="5">
        <v>10.021270588192511</v>
      </c>
      <c r="E2700" s="4">
        <v>1</v>
      </c>
      <c r="F2700" s="5">
        <v>2.5649493574615367</v>
      </c>
      <c r="G2700" s="4">
        <v>5</v>
      </c>
    </row>
    <row r="2701" spans="1:7" x14ac:dyDescent="0.15">
      <c r="A2701" s="4">
        <v>2700</v>
      </c>
      <c r="B2701" s="4">
        <v>0</v>
      </c>
      <c r="D2701" s="5">
        <v>11.736069016284437</v>
      </c>
      <c r="E2701" s="4">
        <v>1</v>
      </c>
      <c r="F2701" s="5">
        <v>4.0073331852324712</v>
      </c>
      <c r="G2701" s="4">
        <v>2</v>
      </c>
    </row>
    <row r="2702" spans="1:7" x14ac:dyDescent="0.15">
      <c r="A2702" s="4">
        <v>2701</v>
      </c>
      <c r="B2702" s="4">
        <v>0</v>
      </c>
      <c r="D2702" s="5">
        <v>10.532096211958502</v>
      </c>
      <c r="E2702" s="4">
        <v>1</v>
      </c>
      <c r="F2702" s="5">
        <v>3.8286413964890951</v>
      </c>
      <c r="G2702" s="4">
        <v>1</v>
      </c>
    </row>
    <row r="2703" spans="1:7" x14ac:dyDescent="0.15">
      <c r="A2703" s="4">
        <v>2702</v>
      </c>
      <c r="B2703" s="4">
        <v>0</v>
      </c>
      <c r="D2703" s="5">
        <v>12.206072645530174</v>
      </c>
      <c r="E2703" s="4">
        <v>1</v>
      </c>
      <c r="F2703" s="5">
        <v>3.9889840465642745</v>
      </c>
      <c r="G2703" s="4">
        <v>3</v>
      </c>
    </row>
    <row r="2704" spans="1:7" x14ac:dyDescent="0.15">
      <c r="A2704" s="4">
        <v>2703</v>
      </c>
      <c r="B2704" s="4">
        <v>0</v>
      </c>
      <c r="D2704" s="5">
        <v>11.191341840842766</v>
      </c>
      <c r="E2704" s="4">
        <v>0</v>
      </c>
      <c r="F2704" s="5">
        <v>3.3672958299864741</v>
      </c>
      <c r="G2704" s="4">
        <v>3</v>
      </c>
    </row>
    <row r="2705" spans="1:7" x14ac:dyDescent="0.15">
      <c r="A2705" s="4">
        <v>2704</v>
      </c>
      <c r="B2705" s="4">
        <v>0</v>
      </c>
      <c r="D2705" s="5">
        <v>11.736069016284437</v>
      </c>
      <c r="E2705" s="4">
        <v>1</v>
      </c>
      <c r="F2705" s="5">
        <v>3.9889840465642745</v>
      </c>
      <c r="G2705" s="4">
        <v>3</v>
      </c>
    </row>
    <row r="2706" spans="1:7" x14ac:dyDescent="0.15">
      <c r="A2706" s="4">
        <v>2705</v>
      </c>
      <c r="B2706" s="4">
        <v>6</v>
      </c>
      <c r="D2706" s="5">
        <v>11.736069016284437</v>
      </c>
      <c r="E2706" s="4">
        <v>1</v>
      </c>
      <c r="F2706" s="5">
        <v>3.3322045101752038</v>
      </c>
      <c r="G2706" s="4">
        <v>4</v>
      </c>
    </row>
    <row r="2707" spans="1:7" x14ac:dyDescent="0.15">
      <c r="A2707" s="4">
        <v>2706</v>
      </c>
      <c r="B2707" s="4">
        <v>0</v>
      </c>
      <c r="D2707" s="5">
        <v>11.379394072345706</v>
      </c>
      <c r="E2707" s="4">
        <v>1</v>
      </c>
      <c r="F2707" s="5">
        <v>3.1354942159291497</v>
      </c>
      <c r="G2707" s="4">
        <v>3</v>
      </c>
    </row>
    <row r="2708" spans="1:7" x14ac:dyDescent="0.15">
      <c r="A2708" s="4">
        <v>2707</v>
      </c>
      <c r="B2708" s="4">
        <v>1</v>
      </c>
      <c r="D2708" s="5">
        <v>12.206072645530174</v>
      </c>
      <c r="E2708" s="4">
        <v>1</v>
      </c>
      <c r="F2708" s="5">
        <v>3.5835189384561099</v>
      </c>
      <c r="G2708" s="4">
        <v>4</v>
      </c>
    </row>
    <row r="2709" spans="1:7" x14ac:dyDescent="0.15">
      <c r="A2709" s="4">
        <v>2708</v>
      </c>
      <c r="B2709" s="4">
        <v>4</v>
      </c>
      <c r="D2709" s="5">
        <v>11.379394072345706</v>
      </c>
      <c r="E2709" s="4">
        <v>1</v>
      </c>
      <c r="F2709" s="5">
        <v>3.713572066704308</v>
      </c>
      <c r="G2709" s="4">
        <v>3</v>
      </c>
    </row>
    <row r="2710" spans="1:7" x14ac:dyDescent="0.15">
      <c r="A2710" s="4">
        <v>2709</v>
      </c>
      <c r="B2710" s="4">
        <v>0</v>
      </c>
      <c r="D2710" s="5">
        <v>12.206072645530174</v>
      </c>
      <c r="E2710" s="4">
        <v>1</v>
      </c>
      <c r="F2710" s="5">
        <v>3.784189633918261</v>
      </c>
      <c r="G2710" s="4">
        <v>4</v>
      </c>
    </row>
    <row r="2711" spans="1:7" x14ac:dyDescent="0.15">
      <c r="A2711" s="4">
        <v>2710</v>
      </c>
      <c r="B2711" s="4">
        <v>0</v>
      </c>
      <c r="D2711" s="5">
        <v>12.206072645530174</v>
      </c>
      <c r="E2711" s="4">
        <v>1</v>
      </c>
      <c r="F2711" s="5">
        <v>2.7725887222397811</v>
      </c>
      <c r="G2711" s="4">
        <v>4</v>
      </c>
    </row>
    <row r="2712" spans="1:7" x14ac:dyDescent="0.15">
      <c r="A2712" s="4">
        <v>2711</v>
      </c>
      <c r="B2712" s="4">
        <v>0</v>
      </c>
      <c r="D2712" s="5">
        <v>12.206072645530174</v>
      </c>
      <c r="E2712" s="4">
        <v>0</v>
      </c>
      <c r="F2712" s="5">
        <v>2.4849066497880004</v>
      </c>
      <c r="G2712" s="4">
        <v>4</v>
      </c>
    </row>
    <row r="2713" spans="1:7" x14ac:dyDescent="0.15">
      <c r="A2713" s="4">
        <v>2712</v>
      </c>
      <c r="B2713" s="4">
        <v>0</v>
      </c>
      <c r="D2713" s="5">
        <v>10.021270588192511</v>
      </c>
      <c r="E2713" s="4">
        <v>1</v>
      </c>
      <c r="F2713" s="5">
        <v>2.9957322735539909</v>
      </c>
      <c r="G2713" s="4">
        <v>2</v>
      </c>
    </row>
    <row r="2714" spans="1:7" x14ac:dyDescent="0.15">
      <c r="A2714" s="4">
        <v>2713</v>
      </c>
      <c r="B2714" s="4">
        <v>0</v>
      </c>
      <c r="D2714" s="5">
        <v>11.379394072345706</v>
      </c>
      <c r="E2714" s="4">
        <v>1</v>
      </c>
      <c r="F2714" s="5">
        <v>3.9318256327243257</v>
      </c>
      <c r="G2714" s="4">
        <v>2</v>
      </c>
    </row>
    <row r="2715" spans="1:7" x14ac:dyDescent="0.15">
      <c r="A2715" s="4">
        <v>2714</v>
      </c>
      <c r="B2715" s="4">
        <v>0</v>
      </c>
      <c r="D2715" s="5">
        <v>11.379394072345706</v>
      </c>
      <c r="E2715" s="4">
        <v>0</v>
      </c>
      <c r="F2715" s="5">
        <v>3.6888794541139363</v>
      </c>
      <c r="G2715" s="4">
        <v>2</v>
      </c>
    </row>
    <row r="2716" spans="1:7" x14ac:dyDescent="0.15">
      <c r="A2716" s="4">
        <v>2715</v>
      </c>
      <c r="B2716" s="4">
        <v>2</v>
      </c>
      <c r="D2716" s="5">
        <v>10.915088464214607</v>
      </c>
      <c r="E2716" s="4">
        <v>1</v>
      </c>
      <c r="F2716" s="5">
        <v>3.4965075614664802</v>
      </c>
      <c r="G2716" s="4">
        <v>2</v>
      </c>
    </row>
    <row r="2717" spans="1:7" x14ac:dyDescent="0.15">
      <c r="A2717" s="4">
        <v>2716</v>
      </c>
      <c r="B2717" s="4">
        <v>0</v>
      </c>
      <c r="D2717" s="5">
        <v>10.532096211958502</v>
      </c>
      <c r="E2717" s="4">
        <v>0</v>
      </c>
      <c r="F2717" s="5">
        <v>2.6390573296152584</v>
      </c>
      <c r="G2717" s="4">
        <v>5</v>
      </c>
    </row>
    <row r="2718" spans="1:7" x14ac:dyDescent="0.15">
      <c r="A2718" s="4">
        <v>2717</v>
      </c>
      <c r="B2718" s="4">
        <v>1</v>
      </c>
      <c r="D2718" s="5">
        <v>10.532096211958502</v>
      </c>
      <c r="E2718" s="4">
        <v>1</v>
      </c>
      <c r="F2718" s="5">
        <v>3.6635616461296463</v>
      </c>
      <c r="G2718" s="4">
        <v>1</v>
      </c>
    </row>
    <row r="2719" spans="1:7" x14ac:dyDescent="0.15">
      <c r="A2719" s="4">
        <v>2718</v>
      </c>
      <c r="B2719" s="4">
        <v>0</v>
      </c>
      <c r="D2719" s="5">
        <v>10.915088464214607</v>
      </c>
      <c r="E2719" s="4">
        <v>0</v>
      </c>
      <c r="F2719" s="5">
        <v>3.4965075614664802</v>
      </c>
      <c r="G2719" s="4">
        <v>2</v>
      </c>
    </row>
    <row r="2720" spans="1:7" x14ac:dyDescent="0.15">
      <c r="A2720" s="4">
        <v>2719</v>
      </c>
      <c r="B2720" s="4">
        <v>0</v>
      </c>
      <c r="D2720" s="5">
        <v>10.915088464214607</v>
      </c>
      <c r="E2720" s="4">
        <v>1</v>
      </c>
      <c r="F2720" s="5">
        <v>2.7725887222397811</v>
      </c>
      <c r="G2720" s="4">
        <v>5</v>
      </c>
    </row>
    <row r="2721" spans="1:7" x14ac:dyDescent="0.15">
      <c r="A2721" s="4">
        <v>2720</v>
      </c>
      <c r="B2721" s="4">
        <v>0</v>
      </c>
      <c r="D2721" s="5">
        <v>10.915088464214607</v>
      </c>
      <c r="E2721" s="4">
        <v>0</v>
      </c>
      <c r="F2721" s="5">
        <v>3.713572066704308</v>
      </c>
      <c r="G2721" s="4">
        <v>5</v>
      </c>
    </row>
    <row r="2722" spans="1:7" x14ac:dyDescent="0.15">
      <c r="A2722" s="4">
        <v>2721</v>
      </c>
      <c r="B2722" s="4">
        <v>0</v>
      </c>
      <c r="D2722" s="5">
        <v>10.915088464214607</v>
      </c>
      <c r="E2722" s="4">
        <v>1</v>
      </c>
      <c r="F2722" s="5">
        <v>4.0604430105464191</v>
      </c>
      <c r="G2722" s="4">
        <v>3</v>
      </c>
    </row>
    <row r="2723" spans="1:7" x14ac:dyDescent="0.15">
      <c r="A2723" s="4">
        <v>2722</v>
      </c>
      <c r="B2723" s="4">
        <v>0</v>
      </c>
      <c r="D2723" s="5">
        <v>11.736069016284437</v>
      </c>
      <c r="E2723" s="4">
        <v>1</v>
      </c>
      <c r="F2723" s="5">
        <v>3.8286413964890951</v>
      </c>
      <c r="G2723" s="4">
        <v>4</v>
      </c>
    </row>
    <row r="2724" spans="1:7" x14ac:dyDescent="0.15">
      <c r="A2724" s="4">
        <v>2723</v>
      </c>
      <c r="B2724" s="4">
        <v>0</v>
      </c>
      <c r="D2724" s="5">
        <v>11.191341840842766</v>
      </c>
      <c r="E2724" s="4">
        <v>1</v>
      </c>
      <c r="F2724" s="5">
        <v>3.4339872044851463</v>
      </c>
      <c r="G2724" s="4">
        <v>2</v>
      </c>
    </row>
    <row r="2725" spans="1:7" x14ac:dyDescent="0.15">
      <c r="A2725" s="4">
        <v>2724</v>
      </c>
      <c r="B2725" s="4">
        <v>0</v>
      </c>
      <c r="D2725" s="5">
        <v>9.5287941030947181</v>
      </c>
      <c r="E2725" s="4">
        <v>1</v>
      </c>
      <c r="F2725" s="5">
        <v>2.9444389791664403</v>
      </c>
      <c r="G2725" s="4">
        <v>2</v>
      </c>
    </row>
    <row r="2726" spans="1:7" x14ac:dyDescent="0.15">
      <c r="A2726" s="4">
        <v>2725</v>
      </c>
      <c r="B2726" s="4">
        <v>0</v>
      </c>
      <c r="D2726" s="5">
        <v>11.379394072345706</v>
      </c>
      <c r="E2726" s="4">
        <v>0</v>
      </c>
      <c r="F2726" s="5">
        <v>3.970291913552122</v>
      </c>
      <c r="G2726" s="4">
        <v>2</v>
      </c>
    </row>
    <row r="2727" spans="1:7" x14ac:dyDescent="0.15">
      <c r="A2727" s="4">
        <v>2726</v>
      </c>
      <c r="B2727" s="4">
        <v>0</v>
      </c>
      <c r="D2727" s="5">
        <v>11.191341840842766</v>
      </c>
      <c r="E2727" s="4">
        <v>1</v>
      </c>
      <c r="F2727" s="5">
        <v>3.044522437723423</v>
      </c>
      <c r="G2727" s="4">
        <v>3</v>
      </c>
    </row>
    <row r="2728" spans="1:7" x14ac:dyDescent="0.15">
      <c r="A2728" s="4">
        <v>2727</v>
      </c>
      <c r="B2728" s="4">
        <v>0</v>
      </c>
      <c r="D2728" s="5">
        <v>10.532096211958502</v>
      </c>
      <c r="E2728" s="4">
        <v>1</v>
      </c>
      <c r="F2728" s="5">
        <v>2.8903717578961645</v>
      </c>
      <c r="G2728" s="4">
        <v>4</v>
      </c>
    </row>
    <row r="2729" spans="1:7" x14ac:dyDescent="0.15">
      <c r="A2729" s="4">
        <v>2728</v>
      </c>
      <c r="B2729" s="4">
        <v>0</v>
      </c>
      <c r="D2729" s="5">
        <v>11.736069016284437</v>
      </c>
      <c r="E2729" s="4">
        <v>1</v>
      </c>
      <c r="F2729" s="5">
        <v>2.8332133440562162</v>
      </c>
      <c r="G2729" s="4">
        <v>3</v>
      </c>
    </row>
  </sheetData>
  <pageMargins left="0.75" right="0.75" top="1" bottom="1" header="0.5" footer="0.5"/>
  <pageSetup orientation="portrait" r:id="rId1"/>
  <headerFooter alignWithMargins="0">
    <oddHeader>&amp;CProblem 4 -- &amp;A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AE1CC-9369-9248-9122-4D1C4EF37C14}">
  <dimension ref="A1:E2729"/>
  <sheetViews>
    <sheetView workbookViewId="0">
      <selection activeCell="H34" sqref="H34"/>
    </sheetView>
  </sheetViews>
  <sheetFormatPr baseColWidth="10" defaultRowHeight="13" x14ac:dyDescent="0.15"/>
  <cols>
    <col min="5" max="5" width="13" bestFit="1" customWidth="1"/>
  </cols>
  <sheetData>
    <row r="1" spans="1:5" x14ac:dyDescent="0.15">
      <c r="A1" s="12" t="s">
        <v>13</v>
      </c>
      <c r="B1" s="12" t="s">
        <v>3</v>
      </c>
      <c r="D1" s="8" t="s">
        <v>26</v>
      </c>
      <c r="E1" t="s">
        <v>16</v>
      </c>
    </row>
    <row r="2" spans="1:5" x14ac:dyDescent="0.15">
      <c r="A2" s="7">
        <v>1</v>
      </c>
      <c r="B2" s="7">
        <v>0</v>
      </c>
      <c r="D2" s="9">
        <v>0</v>
      </c>
      <c r="E2">
        <v>2046</v>
      </c>
    </row>
    <row r="3" spans="1:5" x14ac:dyDescent="0.15">
      <c r="A3" s="7">
        <v>2</v>
      </c>
      <c r="B3" s="7">
        <v>5</v>
      </c>
      <c r="D3" s="9">
        <v>1</v>
      </c>
      <c r="E3">
        <v>318</v>
      </c>
    </row>
    <row r="4" spans="1:5" x14ac:dyDescent="0.15">
      <c r="A4" s="7">
        <v>3</v>
      </c>
      <c r="B4" s="7">
        <v>0</v>
      </c>
      <c r="D4" s="9">
        <v>2</v>
      </c>
      <c r="E4">
        <v>129</v>
      </c>
    </row>
    <row r="5" spans="1:5" x14ac:dyDescent="0.15">
      <c r="A5" s="7">
        <v>4</v>
      </c>
      <c r="B5" s="7">
        <v>0</v>
      </c>
      <c r="D5" s="9">
        <v>3</v>
      </c>
      <c r="E5">
        <v>66</v>
      </c>
    </row>
    <row r="6" spans="1:5" x14ac:dyDescent="0.15">
      <c r="A6" s="7">
        <v>5</v>
      </c>
      <c r="B6" s="7">
        <v>0</v>
      </c>
      <c r="D6" s="9">
        <v>4</v>
      </c>
      <c r="E6">
        <v>38</v>
      </c>
    </row>
    <row r="7" spans="1:5" x14ac:dyDescent="0.15">
      <c r="A7" s="7">
        <v>6</v>
      </c>
      <c r="B7" s="7">
        <v>0</v>
      </c>
      <c r="D7" s="9">
        <v>5</v>
      </c>
      <c r="E7">
        <v>30</v>
      </c>
    </row>
    <row r="8" spans="1:5" x14ac:dyDescent="0.15">
      <c r="A8" s="7">
        <v>7</v>
      </c>
      <c r="B8" s="7">
        <v>0</v>
      </c>
      <c r="D8" s="9">
        <v>6</v>
      </c>
      <c r="E8">
        <v>16</v>
      </c>
    </row>
    <row r="9" spans="1:5" x14ac:dyDescent="0.15">
      <c r="A9" s="7">
        <v>8</v>
      </c>
      <c r="B9" s="7">
        <v>1</v>
      </c>
      <c r="D9" s="9">
        <v>7</v>
      </c>
      <c r="E9">
        <v>11</v>
      </c>
    </row>
    <row r="10" spans="1:5" x14ac:dyDescent="0.15">
      <c r="A10" s="7">
        <v>9</v>
      </c>
      <c r="B10" s="7">
        <v>0</v>
      </c>
      <c r="D10" s="9">
        <v>8</v>
      </c>
      <c r="E10">
        <v>9</v>
      </c>
    </row>
    <row r="11" spans="1:5" x14ac:dyDescent="0.15">
      <c r="A11" s="7">
        <v>10</v>
      </c>
      <c r="B11" s="7">
        <v>0</v>
      </c>
      <c r="D11" s="9">
        <v>9</v>
      </c>
      <c r="E11">
        <v>10</v>
      </c>
    </row>
    <row r="12" spans="1:5" x14ac:dyDescent="0.15">
      <c r="A12" s="7">
        <v>11</v>
      </c>
      <c r="B12" s="7">
        <v>1</v>
      </c>
      <c r="D12" s="9">
        <v>10</v>
      </c>
      <c r="E12">
        <v>5</v>
      </c>
    </row>
    <row r="13" spans="1:5" x14ac:dyDescent="0.15">
      <c r="A13" s="7">
        <v>12</v>
      </c>
      <c r="B13" s="7">
        <v>0</v>
      </c>
      <c r="D13" s="9">
        <v>11</v>
      </c>
      <c r="E13">
        <v>6</v>
      </c>
    </row>
    <row r="14" spans="1:5" x14ac:dyDescent="0.15">
      <c r="A14" s="7">
        <v>13</v>
      </c>
      <c r="B14" s="7">
        <v>3</v>
      </c>
      <c r="D14" s="9">
        <v>12</v>
      </c>
      <c r="E14">
        <v>5</v>
      </c>
    </row>
    <row r="15" spans="1:5" x14ac:dyDescent="0.15">
      <c r="A15" s="7">
        <v>14</v>
      </c>
      <c r="B15" s="7">
        <v>0</v>
      </c>
      <c r="D15" s="9">
        <v>14</v>
      </c>
      <c r="E15">
        <v>4</v>
      </c>
    </row>
    <row r="16" spans="1:5" x14ac:dyDescent="0.15">
      <c r="A16" s="7">
        <v>15</v>
      </c>
      <c r="B16" s="7">
        <v>0</v>
      </c>
      <c r="D16" s="9">
        <v>15</v>
      </c>
      <c r="E16">
        <v>3</v>
      </c>
    </row>
    <row r="17" spans="1:5" x14ac:dyDescent="0.15">
      <c r="A17" s="7">
        <v>16</v>
      </c>
      <c r="B17" s="7">
        <v>1</v>
      </c>
      <c r="D17" s="9">
        <v>16</v>
      </c>
      <c r="E17">
        <v>8</v>
      </c>
    </row>
    <row r="18" spans="1:5" x14ac:dyDescent="0.15">
      <c r="A18" s="7">
        <v>17</v>
      </c>
      <c r="B18" s="7">
        <v>2</v>
      </c>
      <c r="D18" s="9">
        <v>17</v>
      </c>
      <c r="E18">
        <v>1</v>
      </c>
    </row>
    <row r="19" spans="1:5" x14ac:dyDescent="0.15">
      <c r="A19" s="7">
        <v>18</v>
      </c>
      <c r="B19" s="7">
        <v>0</v>
      </c>
      <c r="D19" s="9">
        <v>18</v>
      </c>
      <c r="E19">
        <v>2</v>
      </c>
    </row>
    <row r="20" spans="1:5" x14ac:dyDescent="0.15">
      <c r="A20" s="7">
        <v>19</v>
      </c>
      <c r="B20" s="7">
        <v>6</v>
      </c>
      <c r="D20" s="9">
        <v>20</v>
      </c>
      <c r="E20">
        <v>1</v>
      </c>
    </row>
    <row r="21" spans="1:5" x14ac:dyDescent="0.15">
      <c r="A21" s="7">
        <v>20</v>
      </c>
      <c r="B21" s="7">
        <v>0</v>
      </c>
      <c r="D21" s="9">
        <v>21</v>
      </c>
      <c r="E21">
        <v>2</v>
      </c>
    </row>
    <row r="22" spans="1:5" x14ac:dyDescent="0.15">
      <c r="A22" s="7">
        <v>21</v>
      </c>
      <c r="B22" s="7">
        <v>2</v>
      </c>
      <c r="D22" s="9">
        <v>22</v>
      </c>
      <c r="E22">
        <v>2</v>
      </c>
    </row>
    <row r="23" spans="1:5" x14ac:dyDescent="0.15">
      <c r="A23" s="7">
        <v>22</v>
      </c>
      <c r="B23" s="7">
        <v>0</v>
      </c>
      <c r="D23" s="9">
        <v>25</v>
      </c>
      <c r="E23">
        <v>3</v>
      </c>
    </row>
    <row r="24" spans="1:5" x14ac:dyDescent="0.15">
      <c r="A24" s="7">
        <v>23</v>
      </c>
      <c r="B24" s="7">
        <v>0</v>
      </c>
      <c r="D24" s="9">
        <v>26</v>
      </c>
      <c r="E24">
        <v>1</v>
      </c>
    </row>
    <row r="25" spans="1:5" x14ac:dyDescent="0.15">
      <c r="A25" s="7">
        <v>24</v>
      </c>
      <c r="B25" s="7">
        <v>2</v>
      </c>
      <c r="D25" s="9">
        <v>27</v>
      </c>
      <c r="E25">
        <v>1</v>
      </c>
    </row>
    <row r="26" spans="1:5" x14ac:dyDescent="0.15">
      <c r="A26" s="7">
        <v>25</v>
      </c>
      <c r="B26" s="7">
        <v>0</v>
      </c>
      <c r="D26" s="9">
        <v>28</v>
      </c>
      <c r="E26">
        <v>1</v>
      </c>
    </row>
    <row r="27" spans="1:5" x14ac:dyDescent="0.15">
      <c r="A27" s="7">
        <v>26</v>
      </c>
      <c r="B27" s="7">
        <v>0</v>
      </c>
      <c r="D27" s="9">
        <v>33</v>
      </c>
      <c r="E27">
        <v>1</v>
      </c>
    </row>
    <row r="28" spans="1:5" x14ac:dyDescent="0.15">
      <c r="A28" s="7">
        <v>27</v>
      </c>
      <c r="B28" s="7">
        <v>0</v>
      </c>
      <c r="D28" s="9">
        <v>34</v>
      </c>
      <c r="E28">
        <v>2</v>
      </c>
    </row>
    <row r="29" spans="1:5" x14ac:dyDescent="0.15">
      <c r="A29" s="7">
        <v>28</v>
      </c>
      <c r="B29" s="7">
        <v>0</v>
      </c>
      <c r="D29" s="9">
        <v>36</v>
      </c>
      <c r="E29">
        <v>1</v>
      </c>
    </row>
    <row r="30" spans="1:5" x14ac:dyDescent="0.15">
      <c r="A30" s="7">
        <v>29</v>
      </c>
      <c r="B30" s="7">
        <v>0</v>
      </c>
      <c r="D30" s="9">
        <v>40</v>
      </c>
      <c r="E30">
        <v>1</v>
      </c>
    </row>
    <row r="31" spans="1:5" x14ac:dyDescent="0.15">
      <c r="A31" s="7">
        <v>30</v>
      </c>
      <c r="B31" s="7">
        <v>0</v>
      </c>
      <c r="D31" s="9">
        <v>42</v>
      </c>
      <c r="E31">
        <v>1</v>
      </c>
    </row>
    <row r="32" spans="1:5" x14ac:dyDescent="0.15">
      <c r="A32" s="7">
        <v>31</v>
      </c>
      <c r="B32" s="7">
        <v>0</v>
      </c>
      <c r="D32" s="9">
        <v>49</v>
      </c>
      <c r="E32">
        <v>1</v>
      </c>
    </row>
    <row r="33" spans="1:5" x14ac:dyDescent="0.15">
      <c r="A33" s="7">
        <v>32</v>
      </c>
      <c r="B33" s="7">
        <v>0</v>
      </c>
      <c r="D33" s="9">
        <v>50</v>
      </c>
      <c r="E33">
        <v>1</v>
      </c>
    </row>
    <row r="34" spans="1:5" x14ac:dyDescent="0.15">
      <c r="A34" s="7">
        <v>33</v>
      </c>
      <c r="B34" s="7">
        <v>0</v>
      </c>
      <c r="D34" s="9">
        <v>62</v>
      </c>
      <c r="E34">
        <v>1</v>
      </c>
    </row>
    <row r="35" spans="1:5" x14ac:dyDescent="0.15">
      <c r="A35" s="7">
        <v>34</v>
      </c>
      <c r="B35" s="7">
        <v>0</v>
      </c>
      <c r="D35" s="9">
        <v>79</v>
      </c>
      <c r="E35">
        <v>1</v>
      </c>
    </row>
    <row r="36" spans="1:5" x14ac:dyDescent="0.15">
      <c r="A36" s="7">
        <v>35</v>
      </c>
      <c r="B36" s="7">
        <v>0</v>
      </c>
      <c r="D36" s="9" t="s">
        <v>14</v>
      </c>
    </row>
    <row r="37" spans="1:5" x14ac:dyDescent="0.15">
      <c r="A37" s="7">
        <v>36</v>
      </c>
      <c r="B37" s="7">
        <v>0</v>
      </c>
      <c r="D37" s="9" t="s">
        <v>15</v>
      </c>
      <c r="E37">
        <v>2728</v>
      </c>
    </row>
    <row r="38" spans="1:5" x14ac:dyDescent="0.15">
      <c r="A38" s="7">
        <v>37</v>
      </c>
      <c r="B38" s="7">
        <v>2</v>
      </c>
    </row>
    <row r="39" spans="1:5" x14ac:dyDescent="0.15">
      <c r="A39" s="7">
        <v>38</v>
      </c>
      <c r="B39" s="7">
        <v>2</v>
      </c>
    </row>
    <row r="40" spans="1:5" x14ac:dyDescent="0.15">
      <c r="A40" s="7">
        <v>39</v>
      </c>
      <c r="B40" s="7">
        <v>1</v>
      </c>
    </row>
    <row r="41" spans="1:5" x14ac:dyDescent="0.15">
      <c r="A41" s="7">
        <v>40</v>
      </c>
      <c r="B41" s="7">
        <v>0</v>
      </c>
    </row>
    <row r="42" spans="1:5" x14ac:dyDescent="0.15">
      <c r="A42" s="7">
        <v>41</v>
      </c>
      <c r="B42" s="7">
        <v>0</v>
      </c>
    </row>
    <row r="43" spans="1:5" x14ac:dyDescent="0.15">
      <c r="A43" s="7">
        <v>42</v>
      </c>
      <c r="B43" s="7">
        <v>0</v>
      </c>
    </row>
    <row r="44" spans="1:5" x14ac:dyDescent="0.15">
      <c r="A44" s="7">
        <v>43</v>
      </c>
      <c r="B44" s="7">
        <v>0</v>
      </c>
    </row>
    <row r="45" spans="1:5" x14ac:dyDescent="0.15">
      <c r="A45" s="7">
        <v>44</v>
      </c>
      <c r="B45" s="7">
        <v>0</v>
      </c>
    </row>
    <row r="46" spans="1:5" x14ac:dyDescent="0.15">
      <c r="A46" s="7">
        <v>45</v>
      </c>
      <c r="B46" s="7">
        <v>0</v>
      </c>
    </row>
    <row r="47" spans="1:5" x14ac:dyDescent="0.15">
      <c r="A47" s="7">
        <v>46</v>
      </c>
      <c r="B47" s="7">
        <v>0</v>
      </c>
    </row>
    <row r="48" spans="1:5" x14ac:dyDescent="0.15">
      <c r="A48" s="7">
        <v>47</v>
      </c>
      <c r="B48" s="7">
        <v>0</v>
      </c>
    </row>
    <row r="49" spans="1:2" x14ac:dyDescent="0.15">
      <c r="A49" s="7">
        <v>48</v>
      </c>
      <c r="B49" s="7">
        <v>0</v>
      </c>
    </row>
    <row r="50" spans="1:2" x14ac:dyDescent="0.15">
      <c r="A50" s="7">
        <v>49</v>
      </c>
      <c r="B50" s="7">
        <v>0</v>
      </c>
    </row>
    <row r="51" spans="1:2" x14ac:dyDescent="0.15">
      <c r="A51" s="7">
        <v>50</v>
      </c>
      <c r="B51" s="7">
        <v>0</v>
      </c>
    </row>
    <row r="52" spans="1:2" x14ac:dyDescent="0.15">
      <c r="A52" s="7">
        <v>51</v>
      </c>
      <c r="B52" s="7">
        <v>0</v>
      </c>
    </row>
    <row r="53" spans="1:2" x14ac:dyDescent="0.15">
      <c r="A53" s="7">
        <v>52</v>
      </c>
      <c r="B53" s="7">
        <v>6</v>
      </c>
    </row>
    <row r="54" spans="1:2" x14ac:dyDescent="0.15">
      <c r="A54" s="7">
        <v>53</v>
      </c>
      <c r="B54" s="7">
        <v>16</v>
      </c>
    </row>
    <row r="55" spans="1:2" x14ac:dyDescent="0.15">
      <c r="A55" s="7">
        <v>54</v>
      </c>
      <c r="B55" s="7">
        <v>1</v>
      </c>
    </row>
    <row r="56" spans="1:2" x14ac:dyDescent="0.15">
      <c r="A56" s="7">
        <v>55</v>
      </c>
      <c r="B56" s="7">
        <v>0</v>
      </c>
    </row>
    <row r="57" spans="1:2" x14ac:dyDescent="0.15">
      <c r="A57" s="7">
        <v>56</v>
      </c>
      <c r="B57" s="7">
        <v>0</v>
      </c>
    </row>
    <row r="58" spans="1:2" x14ac:dyDescent="0.15">
      <c r="A58" s="7">
        <v>57</v>
      </c>
      <c r="B58" s="7">
        <v>0</v>
      </c>
    </row>
    <row r="59" spans="1:2" x14ac:dyDescent="0.15">
      <c r="A59" s="7">
        <v>58</v>
      </c>
      <c r="B59" s="7">
        <v>1</v>
      </c>
    </row>
    <row r="60" spans="1:2" x14ac:dyDescent="0.15">
      <c r="A60" s="7">
        <v>59</v>
      </c>
      <c r="B60" s="7">
        <v>0</v>
      </c>
    </row>
    <row r="61" spans="1:2" x14ac:dyDescent="0.15">
      <c r="A61" s="7">
        <v>60</v>
      </c>
      <c r="B61" s="7">
        <v>0</v>
      </c>
    </row>
    <row r="62" spans="1:2" x14ac:dyDescent="0.15">
      <c r="A62" s="7">
        <v>61</v>
      </c>
      <c r="B62" s="7">
        <v>0</v>
      </c>
    </row>
    <row r="63" spans="1:2" x14ac:dyDescent="0.15">
      <c r="A63" s="7">
        <v>62</v>
      </c>
      <c r="B63" s="7">
        <v>0</v>
      </c>
    </row>
    <row r="64" spans="1:2" x14ac:dyDescent="0.15">
      <c r="A64" s="7">
        <v>63</v>
      </c>
      <c r="B64" s="7">
        <v>0</v>
      </c>
    </row>
    <row r="65" spans="1:2" x14ac:dyDescent="0.15">
      <c r="A65" s="7">
        <v>64</v>
      </c>
      <c r="B65" s="7">
        <v>0</v>
      </c>
    </row>
    <row r="66" spans="1:2" x14ac:dyDescent="0.15">
      <c r="A66" s="7">
        <v>65</v>
      </c>
      <c r="B66" s="7">
        <v>0</v>
      </c>
    </row>
    <row r="67" spans="1:2" x14ac:dyDescent="0.15">
      <c r="A67" s="7">
        <v>66</v>
      </c>
      <c r="B67" s="7">
        <v>0</v>
      </c>
    </row>
    <row r="68" spans="1:2" x14ac:dyDescent="0.15">
      <c r="A68" s="7">
        <v>67</v>
      </c>
      <c r="B68" s="7">
        <v>0</v>
      </c>
    </row>
    <row r="69" spans="1:2" x14ac:dyDescent="0.15">
      <c r="A69" s="7">
        <v>68</v>
      </c>
      <c r="B69" s="7">
        <v>0</v>
      </c>
    </row>
    <row r="70" spans="1:2" x14ac:dyDescent="0.15">
      <c r="A70" s="7">
        <v>69</v>
      </c>
      <c r="B70" s="7">
        <v>1</v>
      </c>
    </row>
    <row r="71" spans="1:2" x14ac:dyDescent="0.15">
      <c r="A71" s="7">
        <v>70</v>
      </c>
      <c r="B71" s="7">
        <v>2</v>
      </c>
    </row>
    <row r="72" spans="1:2" x14ac:dyDescent="0.15">
      <c r="A72" s="7">
        <v>71</v>
      </c>
      <c r="B72" s="7">
        <v>0</v>
      </c>
    </row>
    <row r="73" spans="1:2" x14ac:dyDescent="0.15">
      <c r="A73" s="7">
        <v>72</v>
      </c>
      <c r="B73" s="7">
        <v>0</v>
      </c>
    </row>
    <row r="74" spans="1:2" x14ac:dyDescent="0.15">
      <c r="A74" s="7">
        <v>73</v>
      </c>
      <c r="B74" s="7">
        <v>0</v>
      </c>
    </row>
    <row r="75" spans="1:2" x14ac:dyDescent="0.15">
      <c r="A75" s="7">
        <v>74</v>
      </c>
      <c r="B75" s="7">
        <v>1</v>
      </c>
    </row>
    <row r="76" spans="1:2" x14ac:dyDescent="0.15">
      <c r="A76" s="7">
        <v>75</v>
      </c>
      <c r="B76" s="7">
        <v>0</v>
      </c>
    </row>
    <row r="77" spans="1:2" x14ac:dyDescent="0.15">
      <c r="A77" s="7">
        <v>76</v>
      </c>
      <c r="B77" s="7">
        <v>3</v>
      </c>
    </row>
    <row r="78" spans="1:2" x14ac:dyDescent="0.15">
      <c r="A78" s="7">
        <v>77</v>
      </c>
      <c r="B78" s="7">
        <v>0</v>
      </c>
    </row>
    <row r="79" spans="1:2" x14ac:dyDescent="0.15">
      <c r="A79" s="7">
        <v>78</v>
      </c>
      <c r="B79" s="7">
        <v>0</v>
      </c>
    </row>
    <row r="80" spans="1:2" x14ac:dyDescent="0.15">
      <c r="A80" s="7">
        <v>79</v>
      </c>
      <c r="B80" s="7">
        <v>0</v>
      </c>
    </row>
    <row r="81" spans="1:2" x14ac:dyDescent="0.15">
      <c r="A81" s="7">
        <v>80</v>
      </c>
      <c r="B81" s="7">
        <v>0</v>
      </c>
    </row>
    <row r="82" spans="1:2" x14ac:dyDescent="0.15">
      <c r="A82" s="7">
        <v>81</v>
      </c>
      <c r="B82" s="7">
        <v>0</v>
      </c>
    </row>
    <row r="83" spans="1:2" x14ac:dyDescent="0.15">
      <c r="A83" s="7">
        <v>82</v>
      </c>
      <c r="B83" s="7">
        <v>1</v>
      </c>
    </row>
    <row r="84" spans="1:2" x14ac:dyDescent="0.15">
      <c r="A84" s="7">
        <v>83</v>
      </c>
      <c r="B84" s="7">
        <v>0</v>
      </c>
    </row>
    <row r="85" spans="1:2" x14ac:dyDescent="0.15">
      <c r="A85" s="7">
        <v>84</v>
      </c>
      <c r="B85" s="7">
        <v>0</v>
      </c>
    </row>
    <row r="86" spans="1:2" x14ac:dyDescent="0.15">
      <c r="A86" s="7">
        <v>85</v>
      </c>
      <c r="B86" s="7">
        <v>0</v>
      </c>
    </row>
    <row r="87" spans="1:2" x14ac:dyDescent="0.15">
      <c r="A87" s="7">
        <v>86</v>
      </c>
      <c r="B87" s="7">
        <v>0</v>
      </c>
    </row>
    <row r="88" spans="1:2" x14ac:dyDescent="0.15">
      <c r="A88" s="7">
        <v>87</v>
      </c>
      <c r="B88" s="7">
        <v>0</v>
      </c>
    </row>
    <row r="89" spans="1:2" x14ac:dyDescent="0.15">
      <c r="A89" s="7">
        <v>88</v>
      </c>
      <c r="B89" s="7">
        <v>0</v>
      </c>
    </row>
    <row r="90" spans="1:2" x14ac:dyDescent="0.15">
      <c r="A90" s="7">
        <v>89</v>
      </c>
      <c r="B90" s="7">
        <v>0</v>
      </c>
    </row>
    <row r="91" spans="1:2" x14ac:dyDescent="0.15">
      <c r="A91" s="7">
        <v>90</v>
      </c>
      <c r="B91" s="7">
        <v>1</v>
      </c>
    </row>
    <row r="92" spans="1:2" x14ac:dyDescent="0.15">
      <c r="A92" s="7">
        <v>91</v>
      </c>
      <c r="B92" s="7">
        <v>0</v>
      </c>
    </row>
    <row r="93" spans="1:2" x14ac:dyDescent="0.15">
      <c r="A93" s="7">
        <v>92</v>
      </c>
      <c r="B93" s="7">
        <v>0</v>
      </c>
    </row>
    <row r="94" spans="1:2" x14ac:dyDescent="0.15">
      <c r="A94" s="7">
        <v>93</v>
      </c>
      <c r="B94" s="7">
        <v>4</v>
      </c>
    </row>
    <row r="95" spans="1:2" x14ac:dyDescent="0.15">
      <c r="A95" s="7">
        <v>94</v>
      </c>
      <c r="B95" s="7">
        <v>0</v>
      </c>
    </row>
    <row r="96" spans="1:2" x14ac:dyDescent="0.15">
      <c r="A96" s="7">
        <v>95</v>
      </c>
      <c r="B96" s="7">
        <v>0</v>
      </c>
    </row>
    <row r="97" spans="1:2" x14ac:dyDescent="0.15">
      <c r="A97" s="7">
        <v>96</v>
      </c>
      <c r="B97" s="7">
        <v>0</v>
      </c>
    </row>
    <row r="98" spans="1:2" x14ac:dyDescent="0.15">
      <c r="A98" s="7">
        <v>97</v>
      </c>
      <c r="B98" s="7">
        <v>0</v>
      </c>
    </row>
    <row r="99" spans="1:2" x14ac:dyDescent="0.15">
      <c r="A99" s="7">
        <v>98</v>
      </c>
      <c r="B99" s="7">
        <v>0</v>
      </c>
    </row>
    <row r="100" spans="1:2" x14ac:dyDescent="0.15">
      <c r="A100" s="7">
        <v>99</v>
      </c>
      <c r="B100" s="7">
        <v>0</v>
      </c>
    </row>
    <row r="101" spans="1:2" x14ac:dyDescent="0.15">
      <c r="A101" s="7">
        <v>100</v>
      </c>
      <c r="B101" s="7">
        <v>9</v>
      </c>
    </row>
    <row r="102" spans="1:2" x14ac:dyDescent="0.15">
      <c r="A102" s="7">
        <v>101</v>
      </c>
      <c r="B102" s="7">
        <v>0</v>
      </c>
    </row>
    <row r="103" spans="1:2" x14ac:dyDescent="0.15">
      <c r="A103" s="7">
        <v>102</v>
      </c>
      <c r="B103" s="7">
        <v>0</v>
      </c>
    </row>
    <row r="104" spans="1:2" x14ac:dyDescent="0.15">
      <c r="A104" s="7">
        <v>103</v>
      </c>
      <c r="B104" s="7">
        <v>1</v>
      </c>
    </row>
    <row r="105" spans="1:2" x14ac:dyDescent="0.15">
      <c r="A105" s="7">
        <v>104</v>
      </c>
      <c r="B105" s="7">
        <v>0</v>
      </c>
    </row>
    <row r="106" spans="1:2" x14ac:dyDescent="0.15">
      <c r="A106" s="7">
        <v>105</v>
      </c>
      <c r="B106" s="7">
        <v>0</v>
      </c>
    </row>
    <row r="107" spans="1:2" x14ac:dyDescent="0.15">
      <c r="A107" s="7">
        <v>106</v>
      </c>
      <c r="B107" s="7">
        <v>0</v>
      </c>
    </row>
    <row r="108" spans="1:2" x14ac:dyDescent="0.15">
      <c r="A108" s="7">
        <v>107</v>
      </c>
      <c r="B108" s="7">
        <v>0</v>
      </c>
    </row>
    <row r="109" spans="1:2" x14ac:dyDescent="0.15">
      <c r="A109" s="7">
        <v>108</v>
      </c>
      <c r="B109" s="7">
        <v>0</v>
      </c>
    </row>
    <row r="110" spans="1:2" x14ac:dyDescent="0.15">
      <c r="A110" s="7">
        <v>109</v>
      </c>
      <c r="B110" s="7">
        <v>5</v>
      </c>
    </row>
    <row r="111" spans="1:2" x14ac:dyDescent="0.15">
      <c r="A111" s="7">
        <v>110</v>
      </c>
      <c r="B111" s="7">
        <v>0</v>
      </c>
    </row>
    <row r="112" spans="1:2" x14ac:dyDescent="0.15">
      <c r="A112" s="7">
        <v>111</v>
      </c>
      <c r="B112" s="7">
        <v>0</v>
      </c>
    </row>
    <row r="113" spans="1:2" x14ac:dyDescent="0.15">
      <c r="A113" s="7">
        <v>112</v>
      </c>
      <c r="B113" s="7">
        <v>3</v>
      </c>
    </row>
    <row r="114" spans="1:2" x14ac:dyDescent="0.15">
      <c r="A114" s="7">
        <v>113</v>
      </c>
      <c r="B114" s="7">
        <v>1</v>
      </c>
    </row>
    <row r="115" spans="1:2" x14ac:dyDescent="0.15">
      <c r="A115" s="7">
        <v>114</v>
      </c>
      <c r="B115" s="7">
        <v>0</v>
      </c>
    </row>
    <row r="116" spans="1:2" x14ac:dyDescent="0.15">
      <c r="A116" s="7">
        <v>115</v>
      </c>
      <c r="B116" s="7">
        <v>0</v>
      </c>
    </row>
    <row r="117" spans="1:2" x14ac:dyDescent="0.15">
      <c r="A117" s="7">
        <v>116</v>
      </c>
      <c r="B117" s="7">
        <v>0</v>
      </c>
    </row>
    <row r="118" spans="1:2" x14ac:dyDescent="0.15">
      <c r="A118" s="7">
        <v>117</v>
      </c>
      <c r="B118" s="7">
        <v>0</v>
      </c>
    </row>
    <row r="119" spans="1:2" x14ac:dyDescent="0.15">
      <c r="A119" s="7">
        <v>118</v>
      </c>
      <c r="B119" s="7">
        <v>1</v>
      </c>
    </row>
    <row r="120" spans="1:2" x14ac:dyDescent="0.15">
      <c r="A120" s="7">
        <v>119</v>
      </c>
      <c r="B120" s="7">
        <v>0</v>
      </c>
    </row>
    <row r="121" spans="1:2" x14ac:dyDescent="0.15">
      <c r="A121" s="7">
        <v>120</v>
      </c>
      <c r="B121" s="7">
        <v>0</v>
      </c>
    </row>
    <row r="122" spans="1:2" x14ac:dyDescent="0.15">
      <c r="A122" s="7">
        <v>121</v>
      </c>
      <c r="B122" s="7">
        <v>1</v>
      </c>
    </row>
    <row r="123" spans="1:2" x14ac:dyDescent="0.15">
      <c r="A123" s="7">
        <v>122</v>
      </c>
      <c r="B123" s="7">
        <v>0</v>
      </c>
    </row>
    <row r="124" spans="1:2" x14ac:dyDescent="0.15">
      <c r="A124" s="7">
        <v>123</v>
      </c>
      <c r="B124" s="7">
        <v>0</v>
      </c>
    </row>
    <row r="125" spans="1:2" x14ac:dyDescent="0.15">
      <c r="A125" s="7">
        <v>124</v>
      </c>
      <c r="B125" s="7">
        <v>0</v>
      </c>
    </row>
    <row r="126" spans="1:2" x14ac:dyDescent="0.15">
      <c r="A126" s="7">
        <v>125</v>
      </c>
      <c r="B126" s="7">
        <v>0</v>
      </c>
    </row>
    <row r="127" spans="1:2" x14ac:dyDescent="0.15">
      <c r="A127" s="7">
        <v>126</v>
      </c>
      <c r="B127" s="7">
        <v>0</v>
      </c>
    </row>
    <row r="128" spans="1:2" x14ac:dyDescent="0.15">
      <c r="A128" s="7">
        <v>127</v>
      </c>
      <c r="B128" s="7">
        <v>0</v>
      </c>
    </row>
    <row r="129" spans="1:2" x14ac:dyDescent="0.15">
      <c r="A129" s="7">
        <v>128</v>
      </c>
      <c r="B129" s="7">
        <v>0</v>
      </c>
    </row>
    <row r="130" spans="1:2" x14ac:dyDescent="0.15">
      <c r="A130" s="7">
        <v>129</v>
      </c>
      <c r="B130" s="7">
        <v>0</v>
      </c>
    </row>
    <row r="131" spans="1:2" x14ac:dyDescent="0.15">
      <c r="A131" s="7">
        <v>130</v>
      </c>
      <c r="B131" s="7">
        <v>0</v>
      </c>
    </row>
    <row r="132" spans="1:2" x14ac:dyDescent="0.15">
      <c r="A132" s="7">
        <v>131</v>
      </c>
      <c r="B132" s="7">
        <v>0</v>
      </c>
    </row>
    <row r="133" spans="1:2" x14ac:dyDescent="0.15">
      <c r="A133" s="7">
        <v>132</v>
      </c>
      <c r="B133" s="7">
        <v>0</v>
      </c>
    </row>
    <row r="134" spans="1:2" x14ac:dyDescent="0.15">
      <c r="A134" s="7">
        <v>133</v>
      </c>
      <c r="B134" s="7">
        <v>0</v>
      </c>
    </row>
    <row r="135" spans="1:2" x14ac:dyDescent="0.15">
      <c r="A135" s="7">
        <v>134</v>
      </c>
      <c r="B135" s="7">
        <v>0</v>
      </c>
    </row>
    <row r="136" spans="1:2" x14ac:dyDescent="0.15">
      <c r="A136" s="7">
        <v>135</v>
      </c>
      <c r="B136" s="7">
        <v>0</v>
      </c>
    </row>
    <row r="137" spans="1:2" x14ac:dyDescent="0.15">
      <c r="A137" s="7">
        <v>136</v>
      </c>
      <c r="B137" s="7">
        <v>8</v>
      </c>
    </row>
    <row r="138" spans="1:2" x14ac:dyDescent="0.15">
      <c r="A138" s="7">
        <v>137</v>
      </c>
      <c r="B138" s="7">
        <v>2</v>
      </c>
    </row>
    <row r="139" spans="1:2" x14ac:dyDescent="0.15">
      <c r="A139" s="7">
        <v>138</v>
      </c>
      <c r="B139" s="7">
        <v>0</v>
      </c>
    </row>
    <row r="140" spans="1:2" x14ac:dyDescent="0.15">
      <c r="A140" s="7">
        <v>139</v>
      </c>
      <c r="B140" s="7">
        <v>0</v>
      </c>
    </row>
    <row r="141" spans="1:2" x14ac:dyDescent="0.15">
      <c r="A141" s="7">
        <v>140</v>
      </c>
      <c r="B141" s="7">
        <v>0</v>
      </c>
    </row>
    <row r="142" spans="1:2" x14ac:dyDescent="0.15">
      <c r="A142" s="7">
        <v>141</v>
      </c>
      <c r="B142" s="7">
        <v>1</v>
      </c>
    </row>
    <row r="143" spans="1:2" x14ac:dyDescent="0.15">
      <c r="A143" s="7">
        <v>142</v>
      </c>
      <c r="B143" s="7">
        <v>2</v>
      </c>
    </row>
    <row r="144" spans="1:2" x14ac:dyDescent="0.15">
      <c r="A144" s="7">
        <v>143</v>
      </c>
      <c r="B144" s="7">
        <v>0</v>
      </c>
    </row>
    <row r="145" spans="1:2" x14ac:dyDescent="0.15">
      <c r="A145" s="7">
        <v>144</v>
      </c>
      <c r="B145" s="7">
        <v>6</v>
      </c>
    </row>
    <row r="146" spans="1:2" x14ac:dyDescent="0.15">
      <c r="A146" s="7">
        <v>145</v>
      </c>
      <c r="B146" s="7">
        <v>0</v>
      </c>
    </row>
    <row r="147" spans="1:2" x14ac:dyDescent="0.15">
      <c r="A147" s="7">
        <v>146</v>
      </c>
      <c r="B147" s="7">
        <v>1</v>
      </c>
    </row>
    <row r="148" spans="1:2" x14ac:dyDescent="0.15">
      <c r="A148" s="7">
        <v>147</v>
      </c>
      <c r="B148" s="7">
        <v>0</v>
      </c>
    </row>
    <row r="149" spans="1:2" x14ac:dyDescent="0.15">
      <c r="A149" s="7">
        <v>148</v>
      </c>
      <c r="B149" s="7">
        <v>0</v>
      </c>
    </row>
    <row r="150" spans="1:2" x14ac:dyDescent="0.15">
      <c r="A150" s="7">
        <v>149</v>
      </c>
      <c r="B150" s="7">
        <v>0</v>
      </c>
    </row>
    <row r="151" spans="1:2" x14ac:dyDescent="0.15">
      <c r="A151" s="7">
        <v>150</v>
      </c>
      <c r="B151" s="7">
        <v>0</v>
      </c>
    </row>
    <row r="152" spans="1:2" x14ac:dyDescent="0.15">
      <c r="A152" s="7">
        <v>151</v>
      </c>
      <c r="B152" s="7">
        <v>0</v>
      </c>
    </row>
    <row r="153" spans="1:2" x14ac:dyDescent="0.15">
      <c r="A153" s="7">
        <v>152</v>
      </c>
      <c r="B153" s="7">
        <v>0</v>
      </c>
    </row>
    <row r="154" spans="1:2" x14ac:dyDescent="0.15">
      <c r="A154" s="7">
        <v>153</v>
      </c>
      <c r="B154" s="7">
        <v>0</v>
      </c>
    </row>
    <row r="155" spans="1:2" x14ac:dyDescent="0.15">
      <c r="A155" s="7">
        <v>154</v>
      </c>
      <c r="B155" s="7">
        <v>0</v>
      </c>
    </row>
    <row r="156" spans="1:2" x14ac:dyDescent="0.15">
      <c r="A156" s="7">
        <v>155</v>
      </c>
      <c r="B156" s="7">
        <v>0</v>
      </c>
    </row>
    <row r="157" spans="1:2" x14ac:dyDescent="0.15">
      <c r="A157" s="7">
        <v>156</v>
      </c>
      <c r="B157" s="7">
        <v>0</v>
      </c>
    </row>
    <row r="158" spans="1:2" x14ac:dyDescent="0.15">
      <c r="A158" s="7">
        <v>157</v>
      </c>
      <c r="B158" s="7">
        <v>0</v>
      </c>
    </row>
    <row r="159" spans="1:2" x14ac:dyDescent="0.15">
      <c r="A159" s="7">
        <v>158</v>
      </c>
      <c r="B159" s="7">
        <v>0</v>
      </c>
    </row>
    <row r="160" spans="1:2" x14ac:dyDescent="0.15">
      <c r="A160" s="7">
        <v>159</v>
      </c>
      <c r="B160" s="7">
        <v>0</v>
      </c>
    </row>
    <row r="161" spans="1:2" x14ac:dyDescent="0.15">
      <c r="A161" s="7">
        <v>160</v>
      </c>
      <c r="B161" s="7">
        <v>0</v>
      </c>
    </row>
    <row r="162" spans="1:2" x14ac:dyDescent="0.15">
      <c r="A162" s="7">
        <v>161</v>
      </c>
      <c r="B162" s="7">
        <v>0</v>
      </c>
    </row>
    <row r="163" spans="1:2" x14ac:dyDescent="0.15">
      <c r="A163" s="7">
        <v>162</v>
      </c>
      <c r="B163" s="7">
        <v>16</v>
      </c>
    </row>
    <row r="164" spans="1:2" x14ac:dyDescent="0.15">
      <c r="A164" s="7">
        <v>163</v>
      </c>
      <c r="B164" s="7">
        <v>0</v>
      </c>
    </row>
    <row r="165" spans="1:2" x14ac:dyDescent="0.15">
      <c r="A165" s="7">
        <v>164</v>
      </c>
      <c r="B165" s="7">
        <v>0</v>
      </c>
    </row>
    <row r="166" spans="1:2" x14ac:dyDescent="0.15">
      <c r="A166" s="7">
        <v>165</v>
      </c>
      <c r="B166" s="7">
        <v>0</v>
      </c>
    </row>
    <row r="167" spans="1:2" x14ac:dyDescent="0.15">
      <c r="A167" s="7">
        <v>166</v>
      </c>
      <c r="B167" s="7">
        <v>0</v>
      </c>
    </row>
    <row r="168" spans="1:2" x14ac:dyDescent="0.15">
      <c r="A168" s="7">
        <v>167</v>
      </c>
      <c r="B168" s="7">
        <v>0</v>
      </c>
    </row>
    <row r="169" spans="1:2" x14ac:dyDescent="0.15">
      <c r="A169" s="7">
        <v>168</v>
      </c>
      <c r="B169" s="7">
        <v>0</v>
      </c>
    </row>
    <row r="170" spans="1:2" x14ac:dyDescent="0.15">
      <c r="A170" s="7">
        <v>169</v>
      </c>
      <c r="B170" s="7">
        <v>1</v>
      </c>
    </row>
    <row r="171" spans="1:2" x14ac:dyDescent="0.15">
      <c r="A171" s="7">
        <v>170</v>
      </c>
      <c r="B171" s="7">
        <v>0</v>
      </c>
    </row>
    <row r="172" spans="1:2" x14ac:dyDescent="0.15">
      <c r="A172" s="7">
        <v>171</v>
      </c>
      <c r="B172" s="7">
        <v>1</v>
      </c>
    </row>
    <row r="173" spans="1:2" x14ac:dyDescent="0.15">
      <c r="A173" s="7">
        <v>172</v>
      </c>
      <c r="B173" s="7">
        <v>0</v>
      </c>
    </row>
    <row r="174" spans="1:2" x14ac:dyDescent="0.15">
      <c r="A174" s="7">
        <v>173</v>
      </c>
      <c r="B174" s="7">
        <v>0</v>
      </c>
    </row>
    <row r="175" spans="1:2" x14ac:dyDescent="0.15">
      <c r="A175" s="7">
        <v>174</v>
      </c>
      <c r="B175" s="7">
        <v>0</v>
      </c>
    </row>
    <row r="176" spans="1:2" x14ac:dyDescent="0.15">
      <c r="A176" s="7">
        <v>175</v>
      </c>
      <c r="B176" s="7">
        <v>0</v>
      </c>
    </row>
    <row r="177" spans="1:2" x14ac:dyDescent="0.15">
      <c r="A177" s="7">
        <v>176</v>
      </c>
      <c r="B177" s="7">
        <v>0</v>
      </c>
    </row>
    <row r="178" spans="1:2" x14ac:dyDescent="0.15">
      <c r="A178" s="7">
        <v>177</v>
      </c>
      <c r="B178" s="7">
        <v>1</v>
      </c>
    </row>
    <row r="179" spans="1:2" x14ac:dyDescent="0.15">
      <c r="A179" s="7">
        <v>178</v>
      </c>
      <c r="B179" s="7">
        <v>0</v>
      </c>
    </row>
    <row r="180" spans="1:2" x14ac:dyDescent="0.15">
      <c r="A180" s="7">
        <v>179</v>
      </c>
      <c r="B180" s="7">
        <v>0</v>
      </c>
    </row>
    <row r="181" spans="1:2" x14ac:dyDescent="0.15">
      <c r="A181" s="7">
        <v>180</v>
      </c>
      <c r="B181" s="7">
        <v>0</v>
      </c>
    </row>
    <row r="182" spans="1:2" x14ac:dyDescent="0.15">
      <c r="A182" s="7">
        <v>181</v>
      </c>
      <c r="B182" s="7">
        <v>0</v>
      </c>
    </row>
    <row r="183" spans="1:2" x14ac:dyDescent="0.15">
      <c r="A183" s="7">
        <v>182</v>
      </c>
      <c r="B183" s="7">
        <v>0</v>
      </c>
    </row>
    <row r="184" spans="1:2" x14ac:dyDescent="0.15">
      <c r="A184" s="7">
        <v>183</v>
      </c>
      <c r="B184" s="7">
        <v>1</v>
      </c>
    </row>
    <row r="185" spans="1:2" x14ac:dyDescent="0.15">
      <c r="A185" s="7">
        <v>184</v>
      </c>
      <c r="B185" s="7">
        <v>0</v>
      </c>
    </row>
    <row r="186" spans="1:2" x14ac:dyDescent="0.15">
      <c r="A186" s="7">
        <v>185</v>
      </c>
      <c r="B186" s="7">
        <v>0</v>
      </c>
    </row>
    <row r="187" spans="1:2" x14ac:dyDescent="0.15">
      <c r="A187" s="7">
        <v>186</v>
      </c>
      <c r="B187" s="7">
        <v>0</v>
      </c>
    </row>
    <row r="188" spans="1:2" x14ac:dyDescent="0.15">
      <c r="A188" s="7">
        <v>187</v>
      </c>
      <c r="B188" s="7">
        <v>0</v>
      </c>
    </row>
    <row r="189" spans="1:2" x14ac:dyDescent="0.15">
      <c r="A189" s="7">
        <v>188</v>
      </c>
      <c r="B189" s="7">
        <v>0</v>
      </c>
    </row>
    <row r="190" spans="1:2" x14ac:dyDescent="0.15">
      <c r="A190" s="7">
        <v>189</v>
      </c>
      <c r="B190" s="7">
        <v>0</v>
      </c>
    </row>
    <row r="191" spans="1:2" x14ac:dyDescent="0.15">
      <c r="A191" s="7">
        <v>190</v>
      </c>
      <c r="B191" s="7">
        <v>0</v>
      </c>
    </row>
    <row r="192" spans="1:2" x14ac:dyDescent="0.15">
      <c r="A192" s="7">
        <v>191</v>
      </c>
      <c r="B192" s="7">
        <v>0</v>
      </c>
    </row>
    <row r="193" spans="1:2" x14ac:dyDescent="0.15">
      <c r="A193" s="7">
        <v>192</v>
      </c>
      <c r="B193" s="7">
        <v>0</v>
      </c>
    </row>
    <row r="194" spans="1:2" x14ac:dyDescent="0.15">
      <c r="A194" s="7">
        <v>193</v>
      </c>
      <c r="B194" s="7">
        <v>9</v>
      </c>
    </row>
    <row r="195" spans="1:2" x14ac:dyDescent="0.15">
      <c r="A195" s="7">
        <v>194</v>
      </c>
      <c r="B195" s="7">
        <v>0</v>
      </c>
    </row>
    <row r="196" spans="1:2" x14ac:dyDescent="0.15">
      <c r="A196" s="7">
        <v>195</v>
      </c>
      <c r="B196" s="7">
        <v>0</v>
      </c>
    </row>
    <row r="197" spans="1:2" x14ac:dyDescent="0.15">
      <c r="A197" s="7">
        <v>196</v>
      </c>
      <c r="B197" s="7">
        <v>0</v>
      </c>
    </row>
    <row r="198" spans="1:2" x14ac:dyDescent="0.15">
      <c r="A198" s="7">
        <v>197</v>
      </c>
      <c r="B198" s="7">
        <v>0</v>
      </c>
    </row>
    <row r="199" spans="1:2" x14ac:dyDescent="0.15">
      <c r="A199" s="7">
        <v>198</v>
      </c>
      <c r="B199" s="7">
        <v>0</v>
      </c>
    </row>
    <row r="200" spans="1:2" x14ac:dyDescent="0.15">
      <c r="A200" s="7">
        <v>199</v>
      </c>
      <c r="B200" s="7">
        <v>0</v>
      </c>
    </row>
    <row r="201" spans="1:2" x14ac:dyDescent="0.15">
      <c r="A201" s="7">
        <v>200</v>
      </c>
      <c r="B201" s="7">
        <v>4</v>
      </c>
    </row>
    <row r="202" spans="1:2" x14ac:dyDescent="0.15">
      <c r="A202" s="7">
        <v>201</v>
      </c>
      <c r="B202" s="7">
        <v>0</v>
      </c>
    </row>
    <row r="203" spans="1:2" x14ac:dyDescent="0.15">
      <c r="A203" s="7">
        <v>202</v>
      </c>
      <c r="B203" s="7">
        <v>0</v>
      </c>
    </row>
    <row r="204" spans="1:2" x14ac:dyDescent="0.15">
      <c r="A204" s="7">
        <v>203</v>
      </c>
      <c r="B204" s="7">
        <v>6</v>
      </c>
    </row>
    <row r="205" spans="1:2" x14ac:dyDescent="0.15">
      <c r="A205" s="7">
        <v>204</v>
      </c>
      <c r="B205" s="7">
        <v>2</v>
      </c>
    </row>
    <row r="206" spans="1:2" x14ac:dyDescent="0.15">
      <c r="A206" s="7">
        <v>205</v>
      </c>
      <c r="B206" s="7">
        <v>1</v>
      </c>
    </row>
    <row r="207" spans="1:2" x14ac:dyDescent="0.15">
      <c r="A207" s="7">
        <v>206</v>
      </c>
      <c r="B207" s="7">
        <v>0</v>
      </c>
    </row>
    <row r="208" spans="1:2" x14ac:dyDescent="0.15">
      <c r="A208" s="7">
        <v>207</v>
      </c>
      <c r="B208" s="7">
        <v>1</v>
      </c>
    </row>
    <row r="209" spans="1:2" x14ac:dyDescent="0.15">
      <c r="A209" s="7">
        <v>208</v>
      </c>
      <c r="B209" s="7">
        <v>1</v>
      </c>
    </row>
    <row r="210" spans="1:2" x14ac:dyDescent="0.15">
      <c r="A210" s="7">
        <v>209</v>
      </c>
      <c r="B210" s="7">
        <v>0</v>
      </c>
    </row>
    <row r="211" spans="1:2" x14ac:dyDescent="0.15">
      <c r="A211" s="7">
        <v>210</v>
      </c>
      <c r="B211" s="7">
        <v>0</v>
      </c>
    </row>
    <row r="212" spans="1:2" x14ac:dyDescent="0.15">
      <c r="A212" s="7">
        <v>211</v>
      </c>
      <c r="B212" s="7">
        <v>0</v>
      </c>
    </row>
    <row r="213" spans="1:2" x14ac:dyDescent="0.15">
      <c r="A213" s="7">
        <v>212</v>
      </c>
      <c r="B213" s="7">
        <v>0</v>
      </c>
    </row>
    <row r="214" spans="1:2" x14ac:dyDescent="0.15">
      <c r="A214" s="7">
        <v>213</v>
      </c>
      <c r="B214" s="7">
        <v>0</v>
      </c>
    </row>
    <row r="215" spans="1:2" x14ac:dyDescent="0.15">
      <c r="A215" s="7">
        <v>214</v>
      </c>
      <c r="B215" s="7">
        <v>0</v>
      </c>
    </row>
    <row r="216" spans="1:2" x14ac:dyDescent="0.15">
      <c r="A216" s="7">
        <v>215</v>
      </c>
      <c r="B216" s="7">
        <v>0</v>
      </c>
    </row>
    <row r="217" spans="1:2" x14ac:dyDescent="0.15">
      <c r="A217" s="7">
        <v>216</v>
      </c>
      <c r="B217" s="7">
        <v>0</v>
      </c>
    </row>
    <row r="218" spans="1:2" x14ac:dyDescent="0.15">
      <c r="A218" s="7">
        <v>217</v>
      </c>
      <c r="B218" s="7">
        <v>0</v>
      </c>
    </row>
    <row r="219" spans="1:2" x14ac:dyDescent="0.15">
      <c r="A219" s="7">
        <v>218</v>
      </c>
      <c r="B219" s="7">
        <v>0</v>
      </c>
    </row>
    <row r="220" spans="1:2" x14ac:dyDescent="0.15">
      <c r="A220" s="7">
        <v>219</v>
      </c>
      <c r="B220" s="7">
        <v>62</v>
      </c>
    </row>
    <row r="221" spans="1:2" x14ac:dyDescent="0.15">
      <c r="A221" s="7">
        <v>220</v>
      </c>
      <c r="B221" s="7">
        <v>0</v>
      </c>
    </row>
    <row r="222" spans="1:2" x14ac:dyDescent="0.15">
      <c r="A222" s="7">
        <v>221</v>
      </c>
      <c r="B222" s="7">
        <v>0</v>
      </c>
    </row>
    <row r="223" spans="1:2" x14ac:dyDescent="0.15">
      <c r="A223" s="7">
        <v>222</v>
      </c>
      <c r="B223" s="7">
        <v>2</v>
      </c>
    </row>
    <row r="224" spans="1:2" x14ac:dyDescent="0.15">
      <c r="A224" s="7">
        <v>223</v>
      </c>
      <c r="B224" s="7">
        <v>0</v>
      </c>
    </row>
    <row r="225" spans="1:2" x14ac:dyDescent="0.15">
      <c r="A225" s="7">
        <v>224</v>
      </c>
      <c r="B225" s="7">
        <v>0</v>
      </c>
    </row>
    <row r="226" spans="1:2" x14ac:dyDescent="0.15">
      <c r="A226" s="7">
        <v>225</v>
      </c>
      <c r="B226" s="7">
        <v>0</v>
      </c>
    </row>
    <row r="227" spans="1:2" x14ac:dyDescent="0.15">
      <c r="A227" s="7">
        <v>226</v>
      </c>
      <c r="B227" s="7">
        <v>0</v>
      </c>
    </row>
    <row r="228" spans="1:2" x14ac:dyDescent="0.15">
      <c r="A228" s="7">
        <v>227</v>
      </c>
      <c r="B228" s="7">
        <v>0</v>
      </c>
    </row>
    <row r="229" spans="1:2" x14ac:dyDescent="0.15">
      <c r="A229" s="7">
        <v>228</v>
      </c>
      <c r="B229" s="7">
        <v>3</v>
      </c>
    </row>
    <row r="230" spans="1:2" x14ac:dyDescent="0.15">
      <c r="A230" s="7">
        <v>229</v>
      </c>
      <c r="B230" s="7">
        <v>0</v>
      </c>
    </row>
    <row r="231" spans="1:2" x14ac:dyDescent="0.15">
      <c r="A231" s="7">
        <v>230</v>
      </c>
      <c r="B231" s="7">
        <v>0</v>
      </c>
    </row>
    <row r="232" spans="1:2" x14ac:dyDescent="0.15">
      <c r="A232" s="7">
        <v>231</v>
      </c>
      <c r="B232" s="7">
        <v>0</v>
      </c>
    </row>
    <row r="233" spans="1:2" x14ac:dyDescent="0.15">
      <c r="A233" s="7">
        <v>232</v>
      </c>
      <c r="B233" s="7">
        <v>0</v>
      </c>
    </row>
    <row r="234" spans="1:2" x14ac:dyDescent="0.15">
      <c r="A234" s="7">
        <v>233</v>
      </c>
      <c r="B234" s="7">
        <v>0</v>
      </c>
    </row>
    <row r="235" spans="1:2" x14ac:dyDescent="0.15">
      <c r="A235" s="7">
        <v>234</v>
      </c>
      <c r="B235" s="7">
        <v>0</v>
      </c>
    </row>
    <row r="236" spans="1:2" x14ac:dyDescent="0.15">
      <c r="A236" s="7">
        <v>235</v>
      </c>
      <c r="B236" s="7">
        <v>0</v>
      </c>
    </row>
    <row r="237" spans="1:2" x14ac:dyDescent="0.15">
      <c r="A237" s="7">
        <v>236</v>
      </c>
      <c r="B237" s="7">
        <v>0</v>
      </c>
    </row>
    <row r="238" spans="1:2" x14ac:dyDescent="0.15">
      <c r="A238" s="7">
        <v>237</v>
      </c>
      <c r="B238" s="7">
        <v>0</v>
      </c>
    </row>
    <row r="239" spans="1:2" x14ac:dyDescent="0.15">
      <c r="A239" s="7">
        <v>238</v>
      </c>
      <c r="B239" s="7">
        <v>3</v>
      </c>
    </row>
    <row r="240" spans="1:2" x14ac:dyDescent="0.15">
      <c r="A240" s="7">
        <v>239</v>
      </c>
      <c r="B240" s="7">
        <v>0</v>
      </c>
    </row>
    <row r="241" spans="1:2" x14ac:dyDescent="0.15">
      <c r="A241" s="7">
        <v>240</v>
      </c>
      <c r="B241" s="7">
        <v>2</v>
      </c>
    </row>
    <row r="242" spans="1:2" x14ac:dyDescent="0.15">
      <c r="A242" s="7">
        <v>241</v>
      </c>
      <c r="B242" s="7">
        <v>0</v>
      </c>
    </row>
    <row r="243" spans="1:2" x14ac:dyDescent="0.15">
      <c r="A243" s="7">
        <v>242</v>
      </c>
      <c r="B243" s="7">
        <v>0</v>
      </c>
    </row>
    <row r="244" spans="1:2" x14ac:dyDescent="0.15">
      <c r="A244" s="7">
        <v>243</v>
      </c>
      <c r="B244" s="7">
        <v>0</v>
      </c>
    </row>
    <row r="245" spans="1:2" x14ac:dyDescent="0.15">
      <c r="A245" s="7">
        <v>244</v>
      </c>
      <c r="B245" s="7">
        <v>2</v>
      </c>
    </row>
    <row r="246" spans="1:2" x14ac:dyDescent="0.15">
      <c r="A246" s="7">
        <v>245</v>
      </c>
      <c r="B246" s="7">
        <v>2</v>
      </c>
    </row>
    <row r="247" spans="1:2" x14ac:dyDescent="0.15">
      <c r="A247" s="7">
        <v>246</v>
      </c>
      <c r="B247" s="7">
        <v>3</v>
      </c>
    </row>
    <row r="248" spans="1:2" x14ac:dyDescent="0.15">
      <c r="A248" s="7">
        <v>247</v>
      </c>
      <c r="B248" s="7">
        <v>0</v>
      </c>
    </row>
    <row r="249" spans="1:2" x14ac:dyDescent="0.15">
      <c r="A249" s="7">
        <v>248</v>
      </c>
      <c r="B249" s="7">
        <v>3</v>
      </c>
    </row>
    <row r="250" spans="1:2" x14ac:dyDescent="0.15">
      <c r="A250" s="7">
        <v>249</v>
      </c>
      <c r="B250" s="7">
        <v>0</v>
      </c>
    </row>
    <row r="251" spans="1:2" x14ac:dyDescent="0.15">
      <c r="A251" s="7">
        <v>250</v>
      </c>
      <c r="B251" s="7">
        <v>0</v>
      </c>
    </row>
    <row r="252" spans="1:2" x14ac:dyDescent="0.15">
      <c r="A252" s="7">
        <v>251</v>
      </c>
      <c r="B252" s="7">
        <v>0</v>
      </c>
    </row>
    <row r="253" spans="1:2" x14ac:dyDescent="0.15">
      <c r="A253" s="7">
        <v>252</v>
      </c>
      <c r="B253" s="7">
        <v>1</v>
      </c>
    </row>
    <row r="254" spans="1:2" x14ac:dyDescent="0.15">
      <c r="A254" s="7">
        <v>253</v>
      </c>
      <c r="B254" s="7">
        <v>0</v>
      </c>
    </row>
    <row r="255" spans="1:2" x14ac:dyDescent="0.15">
      <c r="A255" s="7">
        <v>254</v>
      </c>
      <c r="B255" s="7">
        <v>0</v>
      </c>
    </row>
    <row r="256" spans="1:2" x14ac:dyDescent="0.15">
      <c r="A256" s="7">
        <v>255</v>
      </c>
      <c r="B256" s="7">
        <v>0</v>
      </c>
    </row>
    <row r="257" spans="1:2" x14ac:dyDescent="0.15">
      <c r="A257" s="7">
        <v>256</v>
      </c>
      <c r="B257" s="7">
        <v>12</v>
      </c>
    </row>
    <row r="258" spans="1:2" x14ac:dyDescent="0.15">
      <c r="A258" s="7">
        <v>257</v>
      </c>
      <c r="B258" s="7">
        <v>0</v>
      </c>
    </row>
    <row r="259" spans="1:2" x14ac:dyDescent="0.15">
      <c r="A259" s="7">
        <v>258</v>
      </c>
      <c r="B259" s="7">
        <v>0</v>
      </c>
    </row>
    <row r="260" spans="1:2" x14ac:dyDescent="0.15">
      <c r="A260" s="7">
        <v>259</v>
      </c>
      <c r="B260" s="7">
        <v>6</v>
      </c>
    </row>
    <row r="261" spans="1:2" x14ac:dyDescent="0.15">
      <c r="A261" s="7">
        <v>260</v>
      </c>
      <c r="B261" s="7">
        <v>0</v>
      </c>
    </row>
    <row r="262" spans="1:2" x14ac:dyDescent="0.15">
      <c r="A262" s="7">
        <v>261</v>
      </c>
      <c r="B262" s="7">
        <v>0</v>
      </c>
    </row>
    <row r="263" spans="1:2" x14ac:dyDescent="0.15">
      <c r="A263" s="7">
        <v>262</v>
      </c>
      <c r="B263" s="7">
        <v>0</v>
      </c>
    </row>
    <row r="264" spans="1:2" x14ac:dyDescent="0.15">
      <c r="A264" s="7">
        <v>263</v>
      </c>
      <c r="B264" s="7">
        <v>2</v>
      </c>
    </row>
    <row r="265" spans="1:2" x14ac:dyDescent="0.15">
      <c r="A265" s="7">
        <v>264</v>
      </c>
      <c r="B265" s="7">
        <v>0</v>
      </c>
    </row>
    <row r="266" spans="1:2" x14ac:dyDescent="0.15">
      <c r="A266" s="7">
        <v>265</v>
      </c>
      <c r="B266" s="7">
        <v>0</v>
      </c>
    </row>
    <row r="267" spans="1:2" x14ac:dyDescent="0.15">
      <c r="A267" s="7">
        <v>266</v>
      </c>
      <c r="B267" s="7">
        <v>1</v>
      </c>
    </row>
    <row r="268" spans="1:2" x14ac:dyDescent="0.15">
      <c r="A268" s="7">
        <v>267</v>
      </c>
      <c r="B268" s="7">
        <v>16</v>
      </c>
    </row>
    <row r="269" spans="1:2" x14ac:dyDescent="0.15">
      <c r="A269" s="7">
        <v>268</v>
      </c>
      <c r="B269" s="7">
        <v>0</v>
      </c>
    </row>
    <row r="270" spans="1:2" x14ac:dyDescent="0.15">
      <c r="A270" s="7">
        <v>269</v>
      </c>
      <c r="B270" s="7">
        <v>1</v>
      </c>
    </row>
    <row r="271" spans="1:2" x14ac:dyDescent="0.15">
      <c r="A271" s="7">
        <v>270</v>
      </c>
      <c r="B271" s="7">
        <v>0</v>
      </c>
    </row>
    <row r="272" spans="1:2" x14ac:dyDescent="0.15">
      <c r="A272" s="7">
        <v>271</v>
      </c>
      <c r="B272" s="7">
        <v>1</v>
      </c>
    </row>
    <row r="273" spans="1:2" x14ac:dyDescent="0.15">
      <c r="A273" s="7">
        <v>272</v>
      </c>
      <c r="B273" s="7">
        <v>1</v>
      </c>
    </row>
    <row r="274" spans="1:2" x14ac:dyDescent="0.15">
      <c r="A274" s="7">
        <v>273</v>
      </c>
      <c r="B274" s="7">
        <v>0</v>
      </c>
    </row>
    <row r="275" spans="1:2" x14ac:dyDescent="0.15">
      <c r="A275" s="7">
        <v>274</v>
      </c>
      <c r="B275" s="7">
        <v>0</v>
      </c>
    </row>
    <row r="276" spans="1:2" x14ac:dyDescent="0.15">
      <c r="A276" s="7">
        <v>275</v>
      </c>
      <c r="B276" s="7">
        <v>0</v>
      </c>
    </row>
    <row r="277" spans="1:2" x14ac:dyDescent="0.15">
      <c r="A277" s="7">
        <v>276</v>
      </c>
      <c r="B277" s="7">
        <v>1</v>
      </c>
    </row>
    <row r="278" spans="1:2" x14ac:dyDescent="0.15">
      <c r="A278" s="7">
        <v>277</v>
      </c>
      <c r="B278" s="7">
        <v>0</v>
      </c>
    </row>
    <row r="279" spans="1:2" x14ac:dyDescent="0.15">
      <c r="A279" s="7">
        <v>278</v>
      </c>
      <c r="B279" s="7">
        <v>0</v>
      </c>
    </row>
    <row r="280" spans="1:2" x14ac:dyDescent="0.15">
      <c r="A280" s="7">
        <v>279</v>
      </c>
      <c r="B280" s="7">
        <v>0</v>
      </c>
    </row>
    <row r="281" spans="1:2" x14ac:dyDescent="0.15">
      <c r="A281" s="7">
        <v>280</v>
      </c>
      <c r="B281" s="7">
        <v>0</v>
      </c>
    </row>
    <row r="282" spans="1:2" x14ac:dyDescent="0.15">
      <c r="A282" s="7">
        <v>281</v>
      </c>
      <c r="B282" s="7">
        <v>0</v>
      </c>
    </row>
    <row r="283" spans="1:2" x14ac:dyDescent="0.15">
      <c r="A283" s="7">
        <v>282</v>
      </c>
      <c r="B283" s="7">
        <v>0</v>
      </c>
    </row>
    <row r="284" spans="1:2" x14ac:dyDescent="0.15">
      <c r="A284" s="7">
        <v>283</v>
      </c>
      <c r="B284" s="7">
        <v>21</v>
      </c>
    </row>
    <row r="285" spans="1:2" x14ac:dyDescent="0.15">
      <c r="A285" s="7">
        <v>284</v>
      </c>
      <c r="B285" s="7">
        <v>0</v>
      </c>
    </row>
    <row r="286" spans="1:2" x14ac:dyDescent="0.15">
      <c r="A286" s="7">
        <v>285</v>
      </c>
      <c r="B286" s="7">
        <v>0</v>
      </c>
    </row>
    <row r="287" spans="1:2" x14ac:dyDescent="0.15">
      <c r="A287" s="7">
        <v>286</v>
      </c>
      <c r="B287" s="7">
        <v>0</v>
      </c>
    </row>
    <row r="288" spans="1:2" x14ac:dyDescent="0.15">
      <c r="A288" s="7">
        <v>287</v>
      </c>
      <c r="B288" s="7">
        <v>0</v>
      </c>
    </row>
    <row r="289" spans="1:2" x14ac:dyDescent="0.15">
      <c r="A289" s="7">
        <v>288</v>
      </c>
      <c r="B289" s="7">
        <v>0</v>
      </c>
    </row>
    <row r="290" spans="1:2" x14ac:dyDescent="0.15">
      <c r="A290" s="7">
        <v>289</v>
      </c>
      <c r="B290" s="7">
        <v>0</v>
      </c>
    </row>
    <row r="291" spans="1:2" x14ac:dyDescent="0.15">
      <c r="A291" s="7">
        <v>290</v>
      </c>
      <c r="B291" s="7">
        <v>0</v>
      </c>
    </row>
    <row r="292" spans="1:2" x14ac:dyDescent="0.15">
      <c r="A292" s="7">
        <v>291</v>
      </c>
      <c r="B292" s="7">
        <v>0</v>
      </c>
    </row>
    <row r="293" spans="1:2" x14ac:dyDescent="0.15">
      <c r="A293" s="7">
        <v>292</v>
      </c>
      <c r="B293" s="7">
        <v>1</v>
      </c>
    </row>
    <row r="294" spans="1:2" x14ac:dyDescent="0.15">
      <c r="A294" s="7">
        <v>293</v>
      </c>
      <c r="B294" s="7">
        <v>0</v>
      </c>
    </row>
    <row r="295" spans="1:2" x14ac:dyDescent="0.15">
      <c r="A295" s="7">
        <v>294</v>
      </c>
      <c r="B295" s="7">
        <v>0</v>
      </c>
    </row>
    <row r="296" spans="1:2" x14ac:dyDescent="0.15">
      <c r="A296" s="7">
        <v>295</v>
      </c>
      <c r="B296" s="7">
        <v>2</v>
      </c>
    </row>
    <row r="297" spans="1:2" x14ac:dyDescent="0.15">
      <c r="A297" s="7">
        <v>296</v>
      </c>
      <c r="B297" s="7">
        <v>0</v>
      </c>
    </row>
    <row r="298" spans="1:2" x14ac:dyDescent="0.15">
      <c r="A298" s="7">
        <v>297</v>
      </c>
      <c r="B298" s="7">
        <v>0</v>
      </c>
    </row>
    <row r="299" spans="1:2" x14ac:dyDescent="0.15">
      <c r="A299" s="7">
        <v>298</v>
      </c>
      <c r="B299" s="7">
        <v>0</v>
      </c>
    </row>
    <row r="300" spans="1:2" x14ac:dyDescent="0.15">
      <c r="A300" s="7">
        <v>299</v>
      </c>
      <c r="B300" s="7">
        <v>0</v>
      </c>
    </row>
    <row r="301" spans="1:2" x14ac:dyDescent="0.15">
      <c r="A301" s="7">
        <v>300</v>
      </c>
      <c r="B301" s="7">
        <v>0</v>
      </c>
    </row>
    <row r="302" spans="1:2" x14ac:dyDescent="0.15">
      <c r="A302" s="7">
        <v>301</v>
      </c>
      <c r="B302" s="7">
        <v>0</v>
      </c>
    </row>
    <row r="303" spans="1:2" x14ac:dyDescent="0.15">
      <c r="A303" s="7">
        <v>302</v>
      </c>
      <c r="B303" s="7">
        <v>0</v>
      </c>
    </row>
    <row r="304" spans="1:2" x14ac:dyDescent="0.15">
      <c r="A304" s="7">
        <v>303</v>
      </c>
      <c r="B304" s="7">
        <v>0</v>
      </c>
    </row>
    <row r="305" spans="1:2" x14ac:dyDescent="0.15">
      <c r="A305" s="7">
        <v>304</v>
      </c>
      <c r="B305" s="7">
        <v>0</v>
      </c>
    </row>
    <row r="306" spans="1:2" x14ac:dyDescent="0.15">
      <c r="A306" s="7">
        <v>305</v>
      </c>
      <c r="B306" s="7">
        <v>3</v>
      </c>
    </row>
    <row r="307" spans="1:2" x14ac:dyDescent="0.15">
      <c r="A307" s="7">
        <v>306</v>
      </c>
      <c r="B307" s="7">
        <v>0</v>
      </c>
    </row>
    <row r="308" spans="1:2" x14ac:dyDescent="0.15">
      <c r="A308" s="7">
        <v>307</v>
      </c>
      <c r="B308" s="7">
        <v>0</v>
      </c>
    </row>
    <row r="309" spans="1:2" x14ac:dyDescent="0.15">
      <c r="A309" s="7">
        <v>308</v>
      </c>
      <c r="B309" s="7">
        <v>3</v>
      </c>
    </row>
    <row r="310" spans="1:2" x14ac:dyDescent="0.15">
      <c r="A310" s="7">
        <v>309</v>
      </c>
      <c r="B310" s="7">
        <v>1</v>
      </c>
    </row>
    <row r="311" spans="1:2" x14ac:dyDescent="0.15">
      <c r="A311" s="7">
        <v>310</v>
      </c>
      <c r="B311" s="7">
        <v>0</v>
      </c>
    </row>
    <row r="312" spans="1:2" x14ac:dyDescent="0.15">
      <c r="A312" s="7">
        <v>311</v>
      </c>
      <c r="B312" s="7">
        <v>3</v>
      </c>
    </row>
    <row r="313" spans="1:2" x14ac:dyDescent="0.15">
      <c r="A313" s="7">
        <v>312</v>
      </c>
      <c r="B313" s="7">
        <v>0</v>
      </c>
    </row>
    <row r="314" spans="1:2" x14ac:dyDescent="0.15">
      <c r="A314" s="7">
        <v>313</v>
      </c>
      <c r="B314" s="7">
        <v>0</v>
      </c>
    </row>
    <row r="315" spans="1:2" x14ac:dyDescent="0.15">
      <c r="A315" s="7">
        <v>314</v>
      </c>
      <c r="B315" s="7">
        <v>0</v>
      </c>
    </row>
    <row r="316" spans="1:2" x14ac:dyDescent="0.15">
      <c r="A316" s="7">
        <v>315</v>
      </c>
      <c r="B316" s="7">
        <v>0</v>
      </c>
    </row>
    <row r="317" spans="1:2" x14ac:dyDescent="0.15">
      <c r="A317" s="7">
        <v>316</v>
      </c>
      <c r="B317" s="7">
        <v>0</v>
      </c>
    </row>
    <row r="318" spans="1:2" x14ac:dyDescent="0.15">
      <c r="A318" s="7">
        <v>317</v>
      </c>
      <c r="B318" s="7">
        <v>0</v>
      </c>
    </row>
    <row r="319" spans="1:2" x14ac:dyDescent="0.15">
      <c r="A319" s="7">
        <v>318</v>
      </c>
      <c r="B319" s="7">
        <v>2</v>
      </c>
    </row>
    <row r="320" spans="1:2" x14ac:dyDescent="0.15">
      <c r="A320" s="7">
        <v>319</v>
      </c>
      <c r="B320" s="7">
        <v>0</v>
      </c>
    </row>
    <row r="321" spans="1:2" x14ac:dyDescent="0.15">
      <c r="A321" s="7">
        <v>320</v>
      </c>
      <c r="B321" s="7">
        <v>3</v>
      </c>
    </row>
    <row r="322" spans="1:2" x14ac:dyDescent="0.15">
      <c r="A322" s="7">
        <v>321</v>
      </c>
      <c r="B322" s="7">
        <v>1</v>
      </c>
    </row>
    <row r="323" spans="1:2" x14ac:dyDescent="0.15">
      <c r="A323" s="7">
        <v>322</v>
      </c>
      <c r="B323" s="7">
        <v>28</v>
      </c>
    </row>
    <row r="324" spans="1:2" x14ac:dyDescent="0.15">
      <c r="A324" s="7">
        <v>323</v>
      </c>
      <c r="B324" s="7">
        <v>0</v>
      </c>
    </row>
    <row r="325" spans="1:2" x14ac:dyDescent="0.15">
      <c r="A325" s="7">
        <v>324</v>
      </c>
      <c r="B325" s="7">
        <v>0</v>
      </c>
    </row>
    <row r="326" spans="1:2" x14ac:dyDescent="0.15">
      <c r="A326" s="7">
        <v>325</v>
      </c>
      <c r="B326" s="7">
        <v>1</v>
      </c>
    </row>
    <row r="327" spans="1:2" x14ac:dyDescent="0.15">
      <c r="A327" s="7">
        <v>326</v>
      </c>
      <c r="B327" s="7">
        <v>0</v>
      </c>
    </row>
    <row r="328" spans="1:2" x14ac:dyDescent="0.15">
      <c r="A328" s="7">
        <v>327</v>
      </c>
      <c r="B328" s="7">
        <v>0</v>
      </c>
    </row>
    <row r="329" spans="1:2" x14ac:dyDescent="0.15">
      <c r="A329" s="7">
        <v>328</v>
      </c>
      <c r="B329" s="7">
        <v>1</v>
      </c>
    </row>
    <row r="330" spans="1:2" x14ac:dyDescent="0.15">
      <c r="A330" s="7">
        <v>329</v>
      </c>
      <c r="B330" s="7">
        <v>1</v>
      </c>
    </row>
    <row r="331" spans="1:2" x14ac:dyDescent="0.15">
      <c r="A331" s="7">
        <v>330</v>
      </c>
      <c r="B331" s="7">
        <v>0</v>
      </c>
    </row>
    <row r="332" spans="1:2" x14ac:dyDescent="0.15">
      <c r="A332" s="7">
        <v>331</v>
      </c>
      <c r="B332" s="7">
        <v>1</v>
      </c>
    </row>
    <row r="333" spans="1:2" x14ac:dyDescent="0.15">
      <c r="A333" s="7">
        <v>332</v>
      </c>
      <c r="B333" s="7">
        <v>0</v>
      </c>
    </row>
    <row r="334" spans="1:2" x14ac:dyDescent="0.15">
      <c r="A334" s="7">
        <v>333</v>
      </c>
      <c r="B334" s="7">
        <v>0</v>
      </c>
    </row>
    <row r="335" spans="1:2" x14ac:dyDescent="0.15">
      <c r="A335" s="7">
        <v>334</v>
      </c>
      <c r="B335" s="7">
        <v>2</v>
      </c>
    </row>
    <row r="336" spans="1:2" x14ac:dyDescent="0.15">
      <c r="A336" s="7">
        <v>335</v>
      </c>
      <c r="B336" s="7">
        <v>1</v>
      </c>
    </row>
    <row r="337" spans="1:2" x14ac:dyDescent="0.15">
      <c r="A337" s="7">
        <v>336</v>
      </c>
      <c r="B337" s="7">
        <v>0</v>
      </c>
    </row>
    <row r="338" spans="1:2" x14ac:dyDescent="0.15">
      <c r="A338" s="7">
        <v>337</v>
      </c>
      <c r="B338" s="7">
        <v>0</v>
      </c>
    </row>
    <row r="339" spans="1:2" x14ac:dyDescent="0.15">
      <c r="A339" s="7">
        <v>338</v>
      </c>
      <c r="B339" s="7">
        <v>0</v>
      </c>
    </row>
    <row r="340" spans="1:2" x14ac:dyDescent="0.15">
      <c r="A340" s="7">
        <v>339</v>
      </c>
      <c r="B340" s="7">
        <v>0</v>
      </c>
    </row>
    <row r="341" spans="1:2" x14ac:dyDescent="0.15">
      <c r="A341" s="7">
        <v>340</v>
      </c>
      <c r="B341" s="7">
        <v>0</v>
      </c>
    </row>
    <row r="342" spans="1:2" x14ac:dyDescent="0.15">
      <c r="A342" s="7">
        <v>341</v>
      </c>
      <c r="B342" s="7">
        <v>0</v>
      </c>
    </row>
    <row r="343" spans="1:2" x14ac:dyDescent="0.15">
      <c r="A343" s="7">
        <v>342</v>
      </c>
      <c r="B343" s="7">
        <v>1</v>
      </c>
    </row>
    <row r="344" spans="1:2" x14ac:dyDescent="0.15">
      <c r="A344" s="7">
        <v>343</v>
      </c>
      <c r="B344" s="7">
        <v>0</v>
      </c>
    </row>
    <row r="345" spans="1:2" x14ac:dyDescent="0.15">
      <c r="A345" s="7">
        <v>344</v>
      </c>
      <c r="B345" s="7">
        <v>0</v>
      </c>
    </row>
    <row r="346" spans="1:2" x14ac:dyDescent="0.15">
      <c r="A346" s="7">
        <v>345</v>
      </c>
      <c r="B346" s="7">
        <v>0</v>
      </c>
    </row>
    <row r="347" spans="1:2" x14ac:dyDescent="0.15">
      <c r="A347" s="7">
        <v>346</v>
      </c>
      <c r="B347" s="7">
        <v>1</v>
      </c>
    </row>
    <row r="348" spans="1:2" x14ac:dyDescent="0.15">
      <c r="A348" s="7">
        <v>347</v>
      </c>
      <c r="B348" s="7">
        <v>0</v>
      </c>
    </row>
    <row r="349" spans="1:2" x14ac:dyDescent="0.15">
      <c r="A349" s="7">
        <v>348</v>
      </c>
      <c r="B349" s="7">
        <v>0</v>
      </c>
    </row>
    <row r="350" spans="1:2" x14ac:dyDescent="0.15">
      <c r="A350" s="7">
        <v>349</v>
      </c>
      <c r="B350" s="7">
        <v>0</v>
      </c>
    </row>
    <row r="351" spans="1:2" x14ac:dyDescent="0.15">
      <c r="A351" s="7">
        <v>350</v>
      </c>
      <c r="B351" s="7">
        <v>0</v>
      </c>
    </row>
    <row r="352" spans="1:2" x14ac:dyDescent="0.15">
      <c r="A352" s="7">
        <v>351</v>
      </c>
      <c r="B352" s="7">
        <v>0</v>
      </c>
    </row>
    <row r="353" spans="1:2" x14ac:dyDescent="0.15">
      <c r="A353" s="7">
        <v>352</v>
      </c>
      <c r="B353" s="7">
        <v>0</v>
      </c>
    </row>
    <row r="354" spans="1:2" x14ac:dyDescent="0.15">
      <c r="A354" s="7">
        <v>353</v>
      </c>
      <c r="B354" s="7">
        <v>4</v>
      </c>
    </row>
    <row r="355" spans="1:2" x14ac:dyDescent="0.15">
      <c r="A355" s="7">
        <v>354</v>
      </c>
      <c r="B355" s="7">
        <v>0</v>
      </c>
    </row>
    <row r="356" spans="1:2" x14ac:dyDescent="0.15">
      <c r="A356" s="7">
        <v>355</v>
      </c>
      <c r="B356" s="7">
        <v>15</v>
      </c>
    </row>
    <row r="357" spans="1:2" x14ac:dyDescent="0.15">
      <c r="A357" s="7">
        <v>356</v>
      </c>
      <c r="B357" s="7">
        <v>12</v>
      </c>
    </row>
    <row r="358" spans="1:2" x14ac:dyDescent="0.15">
      <c r="A358" s="7">
        <v>357</v>
      </c>
      <c r="B358" s="7">
        <v>0</v>
      </c>
    </row>
    <row r="359" spans="1:2" x14ac:dyDescent="0.15">
      <c r="A359" s="7">
        <v>358</v>
      </c>
      <c r="B359" s="7">
        <v>4</v>
      </c>
    </row>
    <row r="360" spans="1:2" x14ac:dyDescent="0.15">
      <c r="A360" s="7">
        <v>359</v>
      </c>
      <c r="B360" s="7">
        <v>0</v>
      </c>
    </row>
    <row r="361" spans="1:2" x14ac:dyDescent="0.15">
      <c r="A361" s="7">
        <v>360</v>
      </c>
      <c r="B361" s="7">
        <v>1</v>
      </c>
    </row>
    <row r="362" spans="1:2" x14ac:dyDescent="0.15">
      <c r="A362" s="7">
        <v>361</v>
      </c>
      <c r="B362" s="7">
        <v>0</v>
      </c>
    </row>
    <row r="363" spans="1:2" x14ac:dyDescent="0.15">
      <c r="A363" s="7">
        <v>362</v>
      </c>
      <c r="B363" s="7">
        <v>0</v>
      </c>
    </row>
    <row r="364" spans="1:2" x14ac:dyDescent="0.15">
      <c r="A364" s="7">
        <v>363</v>
      </c>
      <c r="B364" s="7">
        <v>0</v>
      </c>
    </row>
    <row r="365" spans="1:2" x14ac:dyDescent="0.15">
      <c r="A365" s="7">
        <v>364</v>
      </c>
      <c r="B365" s="7">
        <v>0</v>
      </c>
    </row>
    <row r="366" spans="1:2" x14ac:dyDescent="0.15">
      <c r="A366" s="7">
        <v>365</v>
      </c>
      <c r="B366" s="7">
        <v>0</v>
      </c>
    </row>
    <row r="367" spans="1:2" x14ac:dyDescent="0.15">
      <c r="A367" s="7">
        <v>366</v>
      </c>
      <c r="B367" s="7">
        <v>0</v>
      </c>
    </row>
    <row r="368" spans="1:2" x14ac:dyDescent="0.15">
      <c r="A368" s="7">
        <v>367</v>
      </c>
      <c r="B368" s="7">
        <v>1</v>
      </c>
    </row>
    <row r="369" spans="1:2" x14ac:dyDescent="0.15">
      <c r="A369" s="7">
        <v>368</v>
      </c>
      <c r="B369" s="7">
        <v>2</v>
      </c>
    </row>
    <row r="370" spans="1:2" x14ac:dyDescent="0.15">
      <c r="A370" s="7">
        <v>369</v>
      </c>
      <c r="B370" s="7">
        <v>2</v>
      </c>
    </row>
    <row r="371" spans="1:2" x14ac:dyDescent="0.15">
      <c r="A371" s="7">
        <v>370</v>
      </c>
      <c r="B371" s="7">
        <v>0</v>
      </c>
    </row>
    <row r="372" spans="1:2" x14ac:dyDescent="0.15">
      <c r="A372" s="7">
        <v>371</v>
      </c>
      <c r="B372" s="7">
        <v>0</v>
      </c>
    </row>
    <row r="373" spans="1:2" x14ac:dyDescent="0.15">
      <c r="A373" s="7">
        <v>372</v>
      </c>
      <c r="B373" s="7">
        <v>0</v>
      </c>
    </row>
    <row r="374" spans="1:2" x14ac:dyDescent="0.15">
      <c r="A374" s="7">
        <v>373</v>
      </c>
      <c r="B374" s="7">
        <v>0</v>
      </c>
    </row>
    <row r="375" spans="1:2" x14ac:dyDescent="0.15">
      <c r="A375" s="7">
        <v>374</v>
      </c>
      <c r="B375" s="7">
        <v>25</v>
      </c>
    </row>
    <row r="376" spans="1:2" x14ac:dyDescent="0.15">
      <c r="A376" s="7">
        <v>375</v>
      </c>
      <c r="B376" s="7">
        <v>0</v>
      </c>
    </row>
    <row r="377" spans="1:2" x14ac:dyDescent="0.15">
      <c r="A377" s="7">
        <v>376</v>
      </c>
      <c r="B377" s="7">
        <v>0</v>
      </c>
    </row>
    <row r="378" spans="1:2" x14ac:dyDescent="0.15">
      <c r="A378" s="7">
        <v>377</v>
      </c>
      <c r="B378" s="7">
        <v>0</v>
      </c>
    </row>
    <row r="379" spans="1:2" x14ac:dyDescent="0.15">
      <c r="A379" s="7">
        <v>378</v>
      </c>
      <c r="B379" s="7">
        <v>1</v>
      </c>
    </row>
    <row r="380" spans="1:2" x14ac:dyDescent="0.15">
      <c r="A380" s="7">
        <v>379</v>
      </c>
      <c r="B380" s="7">
        <v>0</v>
      </c>
    </row>
    <row r="381" spans="1:2" x14ac:dyDescent="0.15">
      <c r="A381" s="7">
        <v>380</v>
      </c>
      <c r="B381" s="7">
        <v>0</v>
      </c>
    </row>
    <row r="382" spans="1:2" x14ac:dyDescent="0.15">
      <c r="A382" s="7">
        <v>381</v>
      </c>
      <c r="B382" s="7">
        <v>0</v>
      </c>
    </row>
    <row r="383" spans="1:2" x14ac:dyDescent="0.15">
      <c r="A383" s="7">
        <v>382</v>
      </c>
      <c r="B383" s="7">
        <v>0</v>
      </c>
    </row>
    <row r="384" spans="1:2" x14ac:dyDescent="0.15">
      <c r="A384" s="7">
        <v>383</v>
      </c>
      <c r="B384" s="7">
        <v>3</v>
      </c>
    </row>
    <row r="385" spans="1:2" x14ac:dyDescent="0.15">
      <c r="A385" s="7">
        <v>384</v>
      </c>
      <c r="B385" s="7">
        <v>0</v>
      </c>
    </row>
    <row r="386" spans="1:2" x14ac:dyDescent="0.15">
      <c r="A386" s="7">
        <v>385</v>
      </c>
      <c r="B386" s="7">
        <v>0</v>
      </c>
    </row>
    <row r="387" spans="1:2" x14ac:dyDescent="0.15">
      <c r="A387" s="7">
        <v>386</v>
      </c>
      <c r="B387" s="7">
        <v>1</v>
      </c>
    </row>
    <row r="388" spans="1:2" x14ac:dyDescent="0.15">
      <c r="A388" s="7">
        <v>387</v>
      </c>
      <c r="B388" s="7">
        <v>1</v>
      </c>
    </row>
    <row r="389" spans="1:2" x14ac:dyDescent="0.15">
      <c r="A389" s="7">
        <v>388</v>
      </c>
      <c r="B389" s="7">
        <v>0</v>
      </c>
    </row>
    <row r="390" spans="1:2" x14ac:dyDescent="0.15">
      <c r="A390" s="7">
        <v>389</v>
      </c>
      <c r="B390" s="7">
        <v>0</v>
      </c>
    </row>
    <row r="391" spans="1:2" x14ac:dyDescent="0.15">
      <c r="A391" s="7">
        <v>390</v>
      </c>
      <c r="B391" s="7">
        <v>0</v>
      </c>
    </row>
    <row r="392" spans="1:2" x14ac:dyDescent="0.15">
      <c r="A392" s="7">
        <v>391</v>
      </c>
      <c r="B392" s="7">
        <v>0</v>
      </c>
    </row>
    <row r="393" spans="1:2" x14ac:dyDescent="0.15">
      <c r="A393" s="7">
        <v>392</v>
      </c>
      <c r="B393" s="7">
        <v>0</v>
      </c>
    </row>
    <row r="394" spans="1:2" x14ac:dyDescent="0.15">
      <c r="A394" s="7">
        <v>393</v>
      </c>
      <c r="B394" s="7">
        <v>0</v>
      </c>
    </row>
    <row r="395" spans="1:2" x14ac:dyDescent="0.15">
      <c r="A395" s="7">
        <v>394</v>
      </c>
      <c r="B395" s="7">
        <v>0</v>
      </c>
    </row>
    <row r="396" spans="1:2" x14ac:dyDescent="0.15">
      <c r="A396" s="7">
        <v>395</v>
      </c>
      <c r="B396" s="7">
        <v>0</v>
      </c>
    </row>
    <row r="397" spans="1:2" x14ac:dyDescent="0.15">
      <c r="A397" s="7">
        <v>396</v>
      </c>
      <c r="B397" s="7">
        <v>1</v>
      </c>
    </row>
    <row r="398" spans="1:2" x14ac:dyDescent="0.15">
      <c r="A398" s="7">
        <v>397</v>
      </c>
      <c r="B398" s="7">
        <v>0</v>
      </c>
    </row>
    <row r="399" spans="1:2" x14ac:dyDescent="0.15">
      <c r="A399" s="7">
        <v>398</v>
      </c>
      <c r="B399" s="7">
        <v>0</v>
      </c>
    </row>
    <row r="400" spans="1:2" x14ac:dyDescent="0.15">
      <c r="A400" s="7">
        <v>399</v>
      </c>
      <c r="B400" s="7">
        <v>2</v>
      </c>
    </row>
    <row r="401" spans="1:2" x14ac:dyDescent="0.15">
      <c r="A401" s="7">
        <v>400</v>
      </c>
      <c r="B401" s="7">
        <v>0</v>
      </c>
    </row>
    <row r="402" spans="1:2" x14ac:dyDescent="0.15">
      <c r="A402" s="7">
        <v>401</v>
      </c>
      <c r="B402" s="7">
        <v>0</v>
      </c>
    </row>
    <row r="403" spans="1:2" x14ac:dyDescent="0.15">
      <c r="A403" s="7">
        <v>402</v>
      </c>
      <c r="B403" s="7">
        <v>5</v>
      </c>
    </row>
    <row r="404" spans="1:2" x14ac:dyDescent="0.15">
      <c r="A404" s="7">
        <v>403</v>
      </c>
      <c r="B404" s="7">
        <v>0</v>
      </c>
    </row>
    <row r="405" spans="1:2" x14ac:dyDescent="0.15">
      <c r="A405" s="7">
        <v>404</v>
      </c>
      <c r="B405" s="7">
        <v>0</v>
      </c>
    </row>
    <row r="406" spans="1:2" x14ac:dyDescent="0.15">
      <c r="A406" s="7">
        <v>405</v>
      </c>
      <c r="B406" s="7">
        <v>4</v>
      </c>
    </row>
    <row r="407" spans="1:2" x14ac:dyDescent="0.15">
      <c r="A407" s="7">
        <v>406</v>
      </c>
      <c r="B407" s="7">
        <v>0</v>
      </c>
    </row>
    <row r="408" spans="1:2" x14ac:dyDescent="0.15">
      <c r="A408" s="7">
        <v>407</v>
      </c>
      <c r="B408" s="7">
        <v>0</v>
      </c>
    </row>
    <row r="409" spans="1:2" x14ac:dyDescent="0.15">
      <c r="A409" s="7">
        <v>408</v>
      </c>
      <c r="B409" s="7">
        <v>1</v>
      </c>
    </row>
    <row r="410" spans="1:2" x14ac:dyDescent="0.15">
      <c r="A410" s="7">
        <v>409</v>
      </c>
      <c r="B410" s="7">
        <v>0</v>
      </c>
    </row>
    <row r="411" spans="1:2" x14ac:dyDescent="0.15">
      <c r="A411" s="7">
        <v>410</v>
      </c>
      <c r="B411" s="7">
        <v>0</v>
      </c>
    </row>
    <row r="412" spans="1:2" x14ac:dyDescent="0.15">
      <c r="A412" s="7">
        <v>411</v>
      </c>
      <c r="B412" s="7">
        <v>0</v>
      </c>
    </row>
    <row r="413" spans="1:2" x14ac:dyDescent="0.15">
      <c r="A413" s="7">
        <v>412</v>
      </c>
      <c r="B413" s="7">
        <v>0</v>
      </c>
    </row>
    <row r="414" spans="1:2" x14ac:dyDescent="0.15">
      <c r="A414" s="7">
        <v>413</v>
      </c>
      <c r="B414" s="7">
        <v>0</v>
      </c>
    </row>
    <row r="415" spans="1:2" x14ac:dyDescent="0.15">
      <c r="A415" s="7">
        <v>414</v>
      </c>
      <c r="B415" s="7">
        <v>0</v>
      </c>
    </row>
    <row r="416" spans="1:2" x14ac:dyDescent="0.15">
      <c r="A416" s="7">
        <v>415</v>
      </c>
      <c r="B416" s="7">
        <v>0</v>
      </c>
    </row>
    <row r="417" spans="1:2" x14ac:dyDescent="0.15">
      <c r="A417" s="7">
        <v>416</v>
      </c>
      <c r="B417" s="7">
        <v>0</v>
      </c>
    </row>
    <row r="418" spans="1:2" x14ac:dyDescent="0.15">
      <c r="A418" s="7">
        <v>417</v>
      </c>
      <c r="B418" s="7">
        <v>0</v>
      </c>
    </row>
    <row r="419" spans="1:2" x14ac:dyDescent="0.15">
      <c r="A419" s="7">
        <v>418</v>
      </c>
      <c r="B419" s="7">
        <v>0</v>
      </c>
    </row>
    <row r="420" spans="1:2" x14ac:dyDescent="0.15">
      <c r="A420" s="7">
        <v>419</v>
      </c>
      <c r="B420" s="7">
        <v>0</v>
      </c>
    </row>
    <row r="421" spans="1:2" x14ac:dyDescent="0.15">
      <c r="A421" s="7">
        <v>420</v>
      </c>
      <c r="B421" s="7">
        <v>1</v>
      </c>
    </row>
    <row r="422" spans="1:2" x14ac:dyDescent="0.15">
      <c r="A422" s="7">
        <v>421</v>
      </c>
      <c r="B422" s="7">
        <v>0</v>
      </c>
    </row>
    <row r="423" spans="1:2" x14ac:dyDescent="0.15">
      <c r="A423" s="7">
        <v>422</v>
      </c>
      <c r="B423" s="7">
        <v>0</v>
      </c>
    </row>
    <row r="424" spans="1:2" x14ac:dyDescent="0.15">
      <c r="A424" s="7">
        <v>423</v>
      </c>
      <c r="B424" s="7">
        <v>3</v>
      </c>
    </row>
    <row r="425" spans="1:2" x14ac:dyDescent="0.15">
      <c r="A425" s="7">
        <v>424</v>
      </c>
      <c r="B425" s="7">
        <v>0</v>
      </c>
    </row>
    <row r="426" spans="1:2" x14ac:dyDescent="0.15">
      <c r="A426" s="7">
        <v>425</v>
      </c>
      <c r="B426" s="7">
        <v>0</v>
      </c>
    </row>
    <row r="427" spans="1:2" x14ac:dyDescent="0.15">
      <c r="A427" s="7">
        <v>426</v>
      </c>
      <c r="B427" s="7">
        <v>1</v>
      </c>
    </row>
    <row r="428" spans="1:2" x14ac:dyDescent="0.15">
      <c r="A428" s="7">
        <v>427</v>
      </c>
      <c r="B428" s="7">
        <v>1</v>
      </c>
    </row>
    <row r="429" spans="1:2" x14ac:dyDescent="0.15">
      <c r="A429" s="7">
        <v>428</v>
      </c>
      <c r="B429" s="7">
        <v>5</v>
      </c>
    </row>
    <row r="430" spans="1:2" x14ac:dyDescent="0.15">
      <c r="A430" s="7">
        <v>429</v>
      </c>
      <c r="B430" s="7">
        <v>2</v>
      </c>
    </row>
    <row r="431" spans="1:2" x14ac:dyDescent="0.15">
      <c r="A431" s="7">
        <v>430</v>
      </c>
      <c r="B431" s="7">
        <v>0</v>
      </c>
    </row>
    <row r="432" spans="1:2" x14ac:dyDescent="0.15">
      <c r="A432" s="7">
        <v>431</v>
      </c>
      <c r="B432" s="7">
        <v>0</v>
      </c>
    </row>
    <row r="433" spans="1:2" x14ac:dyDescent="0.15">
      <c r="A433" s="7">
        <v>432</v>
      </c>
      <c r="B433" s="7">
        <v>0</v>
      </c>
    </row>
    <row r="434" spans="1:2" x14ac:dyDescent="0.15">
      <c r="A434" s="7">
        <v>433</v>
      </c>
      <c r="B434" s="7">
        <v>1</v>
      </c>
    </row>
    <row r="435" spans="1:2" x14ac:dyDescent="0.15">
      <c r="A435" s="7">
        <v>434</v>
      </c>
      <c r="B435" s="7">
        <v>5</v>
      </c>
    </row>
    <row r="436" spans="1:2" x14ac:dyDescent="0.15">
      <c r="A436" s="7">
        <v>435</v>
      </c>
      <c r="B436" s="7">
        <v>0</v>
      </c>
    </row>
    <row r="437" spans="1:2" x14ac:dyDescent="0.15">
      <c r="A437" s="7">
        <v>436</v>
      </c>
      <c r="B437" s="7">
        <v>0</v>
      </c>
    </row>
    <row r="438" spans="1:2" x14ac:dyDescent="0.15">
      <c r="A438" s="7">
        <v>437</v>
      </c>
      <c r="B438" s="7">
        <v>0</v>
      </c>
    </row>
    <row r="439" spans="1:2" x14ac:dyDescent="0.15">
      <c r="A439" s="7">
        <v>438</v>
      </c>
      <c r="B439" s="7">
        <v>18</v>
      </c>
    </row>
    <row r="440" spans="1:2" x14ac:dyDescent="0.15">
      <c r="A440" s="7">
        <v>439</v>
      </c>
      <c r="B440" s="7">
        <v>4</v>
      </c>
    </row>
    <row r="441" spans="1:2" x14ac:dyDescent="0.15">
      <c r="A441" s="7">
        <v>440</v>
      </c>
      <c r="B441" s="7">
        <v>1</v>
      </c>
    </row>
    <row r="442" spans="1:2" x14ac:dyDescent="0.15">
      <c r="A442" s="7">
        <v>441</v>
      </c>
      <c r="B442" s="7">
        <v>0</v>
      </c>
    </row>
    <row r="443" spans="1:2" x14ac:dyDescent="0.15">
      <c r="A443" s="7">
        <v>442</v>
      </c>
      <c r="B443" s="7">
        <v>0</v>
      </c>
    </row>
    <row r="444" spans="1:2" x14ac:dyDescent="0.15">
      <c r="A444" s="7">
        <v>443</v>
      </c>
      <c r="B444" s="7">
        <v>1</v>
      </c>
    </row>
    <row r="445" spans="1:2" x14ac:dyDescent="0.15">
      <c r="A445" s="7">
        <v>444</v>
      </c>
      <c r="B445" s="7">
        <v>0</v>
      </c>
    </row>
    <row r="446" spans="1:2" x14ac:dyDescent="0.15">
      <c r="A446" s="7">
        <v>445</v>
      </c>
      <c r="B446" s="7">
        <v>0</v>
      </c>
    </row>
    <row r="447" spans="1:2" x14ac:dyDescent="0.15">
      <c r="A447" s="7">
        <v>446</v>
      </c>
      <c r="B447" s="7">
        <v>0</v>
      </c>
    </row>
    <row r="448" spans="1:2" x14ac:dyDescent="0.15">
      <c r="A448" s="7">
        <v>447</v>
      </c>
      <c r="B448" s="7">
        <v>5</v>
      </c>
    </row>
    <row r="449" spans="1:2" x14ac:dyDescent="0.15">
      <c r="A449" s="7">
        <v>448</v>
      </c>
      <c r="B449" s="7">
        <v>0</v>
      </c>
    </row>
    <row r="450" spans="1:2" x14ac:dyDescent="0.15">
      <c r="A450" s="7">
        <v>449</v>
      </c>
      <c r="B450" s="7">
        <v>1</v>
      </c>
    </row>
    <row r="451" spans="1:2" x14ac:dyDescent="0.15">
      <c r="A451" s="7">
        <v>450</v>
      </c>
      <c r="B451" s="7">
        <v>0</v>
      </c>
    </row>
    <row r="452" spans="1:2" x14ac:dyDescent="0.15">
      <c r="A452" s="7">
        <v>451</v>
      </c>
      <c r="B452" s="7">
        <v>0</v>
      </c>
    </row>
    <row r="453" spans="1:2" x14ac:dyDescent="0.15">
      <c r="A453" s="7">
        <v>452</v>
      </c>
      <c r="B453" s="7">
        <v>0</v>
      </c>
    </row>
    <row r="454" spans="1:2" x14ac:dyDescent="0.15">
      <c r="A454" s="7">
        <v>453</v>
      </c>
      <c r="B454" s="7">
        <v>2</v>
      </c>
    </row>
    <row r="455" spans="1:2" x14ac:dyDescent="0.15">
      <c r="A455" s="7">
        <v>454</v>
      </c>
      <c r="B455" s="7">
        <v>0</v>
      </c>
    </row>
    <row r="456" spans="1:2" x14ac:dyDescent="0.15">
      <c r="A456" s="7">
        <v>455</v>
      </c>
      <c r="B456" s="7">
        <v>0</v>
      </c>
    </row>
    <row r="457" spans="1:2" x14ac:dyDescent="0.15">
      <c r="A457" s="7">
        <v>456</v>
      </c>
      <c r="B457" s="7">
        <v>0</v>
      </c>
    </row>
    <row r="458" spans="1:2" x14ac:dyDescent="0.15">
      <c r="A458" s="7">
        <v>457</v>
      </c>
      <c r="B458" s="7">
        <v>0</v>
      </c>
    </row>
    <row r="459" spans="1:2" x14ac:dyDescent="0.15">
      <c r="A459" s="7">
        <v>458</v>
      </c>
      <c r="B459" s="7">
        <v>0</v>
      </c>
    </row>
    <row r="460" spans="1:2" x14ac:dyDescent="0.15">
      <c r="A460" s="7">
        <v>459</v>
      </c>
      <c r="B460" s="7">
        <v>0</v>
      </c>
    </row>
    <row r="461" spans="1:2" x14ac:dyDescent="0.15">
      <c r="A461" s="7">
        <v>460</v>
      </c>
      <c r="B461" s="7">
        <v>2</v>
      </c>
    </row>
    <row r="462" spans="1:2" x14ac:dyDescent="0.15">
      <c r="A462" s="7">
        <v>461</v>
      </c>
      <c r="B462" s="7">
        <v>0</v>
      </c>
    </row>
    <row r="463" spans="1:2" x14ac:dyDescent="0.15">
      <c r="A463" s="7">
        <v>462</v>
      </c>
      <c r="B463" s="7">
        <v>0</v>
      </c>
    </row>
    <row r="464" spans="1:2" x14ac:dyDescent="0.15">
      <c r="A464" s="7">
        <v>463</v>
      </c>
      <c r="B464" s="7">
        <v>0</v>
      </c>
    </row>
    <row r="465" spans="1:2" x14ac:dyDescent="0.15">
      <c r="A465" s="7">
        <v>464</v>
      </c>
      <c r="B465" s="7">
        <v>9</v>
      </c>
    </row>
    <row r="466" spans="1:2" x14ac:dyDescent="0.15">
      <c r="A466" s="7">
        <v>465</v>
      </c>
      <c r="B466" s="7">
        <v>0</v>
      </c>
    </row>
    <row r="467" spans="1:2" x14ac:dyDescent="0.15">
      <c r="A467" s="7">
        <v>466</v>
      </c>
      <c r="B467" s="7">
        <v>0</v>
      </c>
    </row>
    <row r="468" spans="1:2" x14ac:dyDescent="0.15">
      <c r="A468" s="7">
        <v>467</v>
      </c>
      <c r="B468" s="7">
        <v>0</v>
      </c>
    </row>
    <row r="469" spans="1:2" x14ac:dyDescent="0.15">
      <c r="A469" s="7">
        <v>468</v>
      </c>
      <c r="B469" s="7">
        <v>2</v>
      </c>
    </row>
    <row r="470" spans="1:2" x14ac:dyDescent="0.15">
      <c r="A470" s="7">
        <v>469</v>
      </c>
      <c r="B470" s="7">
        <v>3</v>
      </c>
    </row>
    <row r="471" spans="1:2" x14ac:dyDescent="0.15">
      <c r="A471" s="7">
        <v>470</v>
      </c>
      <c r="B471" s="7">
        <v>0</v>
      </c>
    </row>
    <row r="472" spans="1:2" x14ac:dyDescent="0.15">
      <c r="A472" s="7">
        <v>471</v>
      </c>
      <c r="B472" s="7">
        <v>0</v>
      </c>
    </row>
    <row r="473" spans="1:2" x14ac:dyDescent="0.15">
      <c r="A473" s="7">
        <v>472</v>
      </c>
      <c r="B473" s="7">
        <v>0</v>
      </c>
    </row>
    <row r="474" spans="1:2" x14ac:dyDescent="0.15">
      <c r="A474" s="7">
        <v>473</v>
      </c>
      <c r="B474" s="7">
        <v>0</v>
      </c>
    </row>
    <row r="475" spans="1:2" x14ac:dyDescent="0.15">
      <c r="A475" s="7">
        <v>474</v>
      </c>
      <c r="B475" s="7">
        <v>0</v>
      </c>
    </row>
    <row r="476" spans="1:2" x14ac:dyDescent="0.15">
      <c r="A476" s="7">
        <v>475</v>
      </c>
      <c r="B476" s="7">
        <v>2</v>
      </c>
    </row>
    <row r="477" spans="1:2" x14ac:dyDescent="0.15">
      <c r="A477" s="7">
        <v>476</v>
      </c>
      <c r="B477" s="7">
        <v>1</v>
      </c>
    </row>
    <row r="478" spans="1:2" x14ac:dyDescent="0.15">
      <c r="A478" s="7">
        <v>477</v>
      </c>
      <c r="B478" s="7">
        <v>0</v>
      </c>
    </row>
    <row r="479" spans="1:2" x14ac:dyDescent="0.15">
      <c r="A479" s="7">
        <v>478</v>
      </c>
      <c r="B479" s="7">
        <v>79</v>
      </c>
    </row>
    <row r="480" spans="1:2" x14ac:dyDescent="0.15">
      <c r="A480" s="7">
        <v>479</v>
      </c>
      <c r="B480" s="7">
        <v>1</v>
      </c>
    </row>
    <row r="481" spans="1:2" x14ac:dyDescent="0.15">
      <c r="A481" s="7">
        <v>480</v>
      </c>
      <c r="B481" s="7">
        <v>5</v>
      </c>
    </row>
    <row r="482" spans="1:2" x14ac:dyDescent="0.15">
      <c r="A482" s="7">
        <v>481</v>
      </c>
      <c r="B482" s="7">
        <v>0</v>
      </c>
    </row>
    <row r="483" spans="1:2" x14ac:dyDescent="0.15">
      <c r="A483" s="7">
        <v>482</v>
      </c>
      <c r="B483" s="7">
        <v>0</v>
      </c>
    </row>
    <row r="484" spans="1:2" x14ac:dyDescent="0.15">
      <c r="A484" s="7">
        <v>483</v>
      </c>
      <c r="B484" s="7">
        <v>8</v>
      </c>
    </row>
    <row r="485" spans="1:2" x14ac:dyDescent="0.15">
      <c r="A485" s="7">
        <v>484</v>
      </c>
      <c r="B485" s="7">
        <v>0</v>
      </c>
    </row>
    <row r="486" spans="1:2" x14ac:dyDescent="0.15">
      <c r="A486" s="7">
        <v>485</v>
      </c>
      <c r="B486" s="7">
        <v>1</v>
      </c>
    </row>
    <row r="487" spans="1:2" x14ac:dyDescent="0.15">
      <c r="A487" s="7">
        <v>486</v>
      </c>
      <c r="B487" s="7">
        <v>0</v>
      </c>
    </row>
    <row r="488" spans="1:2" x14ac:dyDescent="0.15">
      <c r="A488" s="7">
        <v>487</v>
      </c>
      <c r="B488" s="7">
        <v>0</v>
      </c>
    </row>
    <row r="489" spans="1:2" x14ac:dyDescent="0.15">
      <c r="A489" s="7">
        <v>488</v>
      </c>
      <c r="B489" s="7">
        <v>0</v>
      </c>
    </row>
    <row r="490" spans="1:2" x14ac:dyDescent="0.15">
      <c r="A490" s="7">
        <v>489</v>
      </c>
      <c r="B490" s="7">
        <v>1</v>
      </c>
    </row>
    <row r="491" spans="1:2" x14ac:dyDescent="0.15">
      <c r="A491" s="7">
        <v>490</v>
      </c>
      <c r="B491" s="7">
        <v>0</v>
      </c>
    </row>
    <row r="492" spans="1:2" x14ac:dyDescent="0.15">
      <c r="A492" s="7">
        <v>491</v>
      </c>
      <c r="B492" s="7">
        <v>0</v>
      </c>
    </row>
    <row r="493" spans="1:2" x14ac:dyDescent="0.15">
      <c r="A493" s="7">
        <v>492</v>
      </c>
      <c r="B493" s="7">
        <v>0</v>
      </c>
    </row>
    <row r="494" spans="1:2" x14ac:dyDescent="0.15">
      <c r="A494" s="7">
        <v>493</v>
      </c>
      <c r="B494" s="7">
        <v>0</v>
      </c>
    </row>
    <row r="495" spans="1:2" x14ac:dyDescent="0.15">
      <c r="A495" s="7">
        <v>494</v>
      </c>
      <c r="B495" s="7">
        <v>0</v>
      </c>
    </row>
    <row r="496" spans="1:2" x14ac:dyDescent="0.15">
      <c r="A496" s="7">
        <v>495</v>
      </c>
      <c r="B496" s="7">
        <v>0</v>
      </c>
    </row>
    <row r="497" spans="1:2" x14ac:dyDescent="0.15">
      <c r="A497" s="7">
        <v>496</v>
      </c>
      <c r="B497" s="7">
        <v>2</v>
      </c>
    </row>
    <row r="498" spans="1:2" x14ac:dyDescent="0.15">
      <c r="A498" s="7">
        <v>497</v>
      </c>
      <c r="B498" s="7">
        <v>0</v>
      </c>
    </row>
    <row r="499" spans="1:2" x14ac:dyDescent="0.15">
      <c r="A499" s="7">
        <v>498</v>
      </c>
      <c r="B499" s="7">
        <v>0</v>
      </c>
    </row>
    <row r="500" spans="1:2" x14ac:dyDescent="0.15">
      <c r="A500" s="7">
        <v>499</v>
      </c>
      <c r="B500" s="7">
        <v>1</v>
      </c>
    </row>
    <row r="501" spans="1:2" x14ac:dyDescent="0.15">
      <c r="A501" s="7">
        <v>500</v>
      </c>
      <c r="B501" s="7">
        <v>0</v>
      </c>
    </row>
    <row r="502" spans="1:2" x14ac:dyDescent="0.15">
      <c r="A502" s="7">
        <v>501</v>
      </c>
      <c r="B502" s="7">
        <v>0</v>
      </c>
    </row>
    <row r="503" spans="1:2" x14ac:dyDescent="0.15">
      <c r="A503" s="7">
        <v>502</v>
      </c>
      <c r="B503" s="7">
        <v>0</v>
      </c>
    </row>
    <row r="504" spans="1:2" x14ac:dyDescent="0.15">
      <c r="A504" s="7">
        <v>503</v>
      </c>
      <c r="B504" s="7">
        <v>0</v>
      </c>
    </row>
    <row r="505" spans="1:2" x14ac:dyDescent="0.15">
      <c r="A505" s="7">
        <v>504</v>
      </c>
      <c r="B505" s="7">
        <v>0</v>
      </c>
    </row>
    <row r="506" spans="1:2" x14ac:dyDescent="0.15">
      <c r="A506" s="7">
        <v>505</v>
      </c>
      <c r="B506" s="7">
        <v>0</v>
      </c>
    </row>
    <row r="507" spans="1:2" x14ac:dyDescent="0.15">
      <c r="A507" s="7">
        <v>506</v>
      </c>
      <c r="B507" s="7">
        <v>0</v>
      </c>
    </row>
    <row r="508" spans="1:2" x14ac:dyDescent="0.15">
      <c r="A508" s="7">
        <v>507</v>
      </c>
      <c r="B508" s="7">
        <v>3</v>
      </c>
    </row>
    <row r="509" spans="1:2" x14ac:dyDescent="0.15">
      <c r="A509" s="7">
        <v>508</v>
      </c>
      <c r="B509" s="7">
        <v>0</v>
      </c>
    </row>
    <row r="510" spans="1:2" x14ac:dyDescent="0.15">
      <c r="A510" s="7">
        <v>509</v>
      </c>
      <c r="B510" s="7">
        <v>0</v>
      </c>
    </row>
    <row r="511" spans="1:2" x14ac:dyDescent="0.15">
      <c r="A511" s="7">
        <v>510</v>
      </c>
      <c r="B511" s="7">
        <v>0</v>
      </c>
    </row>
    <row r="512" spans="1:2" x14ac:dyDescent="0.15">
      <c r="A512" s="7">
        <v>511</v>
      </c>
      <c r="B512" s="7">
        <v>0</v>
      </c>
    </row>
    <row r="513" spans="1:2" x14ac:dyDescent="0.15">
      <c r="A513" s="7">
        <v>512</v>
      </c>
      <c r="B513" s="7">
        <v>0</v>
      </c>
    </row>
    <row r="514" spans="1:2" x14ac:dyDescent="0.15">
      <c r="A514" s="7">
        <v>513</v>
      </c>
      <c r="B514" s="7">
        <v>2</v>
      </c>
    </row>
    <row r="515" spans="1:2" x14ac:dyDescent="0.15">
      <c r="A515" s="7">
        <v>514</v>
      </c>
      <c r="B515" s="7">
        <v>2</v>
      </c>
    </row>
    <row r="516" spans="1:2" x14ac:dyDescent="0.15">
      <c r="A516" s="7">
        <v>515</v>
      </c>
      <c r="B516" s="7">
        <v>1</v>
      </c>
    </row>
    <row r="517" spans="1:2" x14ac:dyDescent="0.15">
      <c r="A517" s="7">
        <v>516</v>
      </c>
      <c r="B517" s="7">
        <v>16</v>
      </c>
    </row>
    <row r="518" spans="1:2" x14ac:dyDescent="0.15">
      <c r="A518" s="7">
        <v>517</v>
      </c>
      <c r="B518" s="7">
        <v>0</v>
      </c>
    </row>
    <row r="519" spans="1:2" x14ac:dyDescent="0.15">
      <c r="A519" s="7">
        <v>518</v>
      </c>
      <c r="B519" s="7">
        <v>0</v>
      </c>
    </row>
    <row r="520" spans="1:2" x14ac:dyDescent="0.15">
      <c r="A520" s="7">
        <v>519</v>
      </c>
      <c r="B520" s="7">
        <v>5</v>
      </c>
    </row>
    <row r="521" spans="1:2" x14ac:dyDescent="0.15">
      <c r="A521" s="7">
        <v>520</v>
      </c>
      <c r="B521" s="7">
        <v>0</v>
      </c>
    </row>
    <row r="522" spans="1:2" x14ac:dyDescent="0.15">
      <c r="A522" s="7">
        <v>521</v>
      </c>
      <c r="B522" s="7">
        <v>0</v>
      </c>
    </row>
    <row r="523" spans="1:2" x14ac:dyDescent="0.15">
      <c r="A523" s="7">
        <v>522</v>
      </c>
      <c r="B523" s="7">
        <v>1</v>
      </c>
    </row>
    <row r="524" spans="1:2" x14ac:dyDescent="0.15">
      <c r="A524" s="7">
        <v>523</v>
      </c>
      <c r="B524" s="7">
        <v>0</v>
      </c>
    </row>
    <row r="525" spans="1:2" x14ac:dyDescent="0.15">
      <c r="A525" s="7">
        <v>524</v>
      </c>
      <c r="B525" s="7">
        <v>0</v>
      </c>
    </row>
    <row r="526" spans="1:2" x14ac:dyDescent="0.15">
      <c r="A526" s="7">
        <v>525</v>
      </c>
      <c r="B526" s="7">
        <v>0</v>
      </c>
    </row>
    <row r="527" spans="1:2" x14ac:dyDescent="0.15">
      <c r="A527" s="7">
        <v>526</v>
      </c>
      <c r="B527" s="7">
        <v>1</v>
      </c>
    </row>
    <row r="528" spans="1:2" x14ac:dyDescent="0.15">
      <c r="A528" s="7">
        <v>527</v>
      </c>
      <c r="B528" s="7">
        <v>0</v>
      </c>
    </row>
    <row r="529" spans="1:2" x14ac:dyDescent="0.15">
      <c r="A529" s="7">
        <v>528</v>
      </c>
      <c r="B529" s="7">
        <v>0</v>
      </c>
    </row>
    <row r="530" spans="1:2" x14ac:dyDescent="0.15">
      <c r="A530" s="7">
        <v>529</v>
      </c>
      <c r="B530" s="7">
        <v>0</v>
      </c>
    </row>
    <row r="531" spans="1:2" x14ac:dyDescent="0.15">
      <c r="A531" s="7">
        <v>530</v>
      </c>
      <c r="B531" s="7">
        <v>0</v>
      </c>
    </row>
    <row r="532" spans="1:2" x14ac:dyDescent="0.15">
      <c r="A532" s="7">
        <v>531</v>
      </c>
      <c r="B532" s="7">
        <v>0</v>
      </c>
    </row>
    <row r="533" spans="1:2" x14ac:dyDescent="0.15">
      <c r="A533" s="7">
        <v>532</v>
      </c>
      <c r="B533" s="7">
        <v>0</v>
      </c>
    </row>
    <row r="534" spans="1:2" x14ac:dyDescent="0.15">
      <c r="A534" s="7">
        <v>533</v>
      </c>
      <c r="B534" s="7">
        <v>0</v>
      </c>
    </row>
    <row r="535" spans="1:2" x14ac:dyDescent="0.15">
      <c r="A535" s="7">
        <v>534</v>
      </c>
      <c r="B535" s="7">
        <v>0</v>
      </c>
    </row>
    <row r="536" spans="1:2" x14ac:dyDescent="0.15">
      <c r="A536" s="7">
        <v>535</v>
      </c>
      <c r="B536" s="7">
        <v>0</v>
      </c>
    </row>
    <row r="537" spans="1:2" x14ac:dyDescent="0.15">
      <c r="A537" s="7">
        <v>536</v>
      </c>
      <c r="B537" s="7">
        <v>0</v>
      </c>
    </row>
    <row r="538" spans="1:2" x14ac:dyDescent="0.15">
      <c r="A538" s="7">
        <v>537</v>
      </c>
      <c r="B538" s="7">
        <v>0</v>
      </c>
    </row>
    <row r="539" spans="1:2" x14ac:dyDescent="0.15">
      <c r="A539" s="7">
        <v>538</v>
      </c>
      <c r="B539" s="7">
        <v>0</v>
      </c>
    </row>
    <row r="540" spans="1:2" x14ac:dyDescent="0.15">
      <c r="A540" s="7">
        <v>539</v>
      </c>
      <c r="B540" s="7">
        <v>0</v>
      </c>
    </row>
    <row r="541" spans="1:2" x14ac:dyDescent="0.15">
      <c r="A541" s="7">
        <v>540</v>
      </c>
      <c r="B541" s="7">
        <v>1</v>
      </c>
    </row>
    <row r="542" spans="1:2" x14ac:dyDescent="0.15">
      <c r="A542" s="7">
        <v>541</v>
      </c>
      <c r="B542" s="7">
        <v>2</v>
      </c>
    </row>
    <row r="543" spans="1:2" x14ac:dyDescent="0.15">
      <c r="A543" s="7">
        <v>542</v>
      </c>
      <c r="B543" s="7">
        <v>10</v>
      </c>
    </row>
    <row r="544" spans="1:2" x14ac:dyDescent="0.15">
      <c r="A544" s="7">
        <v>543</v>
      </c>
      <c r="B544" s="7">
        <v>16</v>
      </c>
    </row>
    <row r="545" spans="1:2" x14ac:dyDescent="0.15">
      <c r="A545" s="7">
        <v>544</v>
      </c>
      <c r="B545" s="7">
        <v>0</v>
      </c>
    </row>
    <row r="546" spans="1:2" x14ac:dyDescent="0.15">
      <c r="A546" s="7">
        <v>545</v>
      </c>
      <c r="B546" s="7">
        <v>1</v>
      </c>
    </row>
    <row r="547" spans="1:2" x14ac:dyDescent="0.15">
      <c r="A547" s="7">
        <v>546</v>
      </c>
      <c r="B547" s="7">
        <v>5</v>
      </c>
    </row>
    <row r="548" spans="1:2" x14ac:dyDescent="0.15">
      <c r="A548" s="7">
        <v>547</v>
      </c>
      <c r="B548" s="7">
        <v>0</v>
      </c>
    </row>
    <row r="549" spans="1:2" x14ac:dyDescent="0.15">
      <c r="A549" s="7">
        <v>548</v>
      </c>
      <c r="B549" s="7">
        <v>1</v>
      </c>
    </row>
    <row r="550" spans="1:2" x14ac:dyDescent="0.15">
      <c r="A550" s="7">
        <v>549</v>
      </c>
      <c r="B550" s="7">
        <v>0</v>
      </c>
    </row>
    <row r="551" spans="1:2" x14ac:dyDescent="0.15">
      <c r="A551" s="7">
        <v>550</v>
      </c>
      <c r="B551" s="7">
        <v>0</v>
      </c>
    </row>
    <row r="552" spans="1:2" x14ac:dyDescent="0.15">
      <c r="A552" s="7">
        <v>551</v>
      </c>
      <c r="B552" s="7">
        <v>0</v>
      </c>
    </row>
    <row r="553" spans="1:2" x14ac:dyDescent="0.15">
      <c r="A553" s="7">
        <v>552</v>
      </c>
      <c r="B553" s="7">
        <v>5</v>
      </c>
    </row>
    <row r="554" spans="1:2" x14ac:dyDescent="0.15">
      <c r="A554" s="7">
        <v>553</v>
      </c>
      <c r="B554" s="7">
        <v>0</v>
      </c>
    </row>
    <row r="555" spans="1:2" x14ac:dyDescent="0.15">
      <c r="A555" s="7">
        <v>554</v>
      </c>
      <c r="B555" s="7">
        <v>0</v>
      </c>
    </row>
    <row r="556" spans="1:2" x14ac:dyDescent="0.15">
      <c r="A556" s="7">
        <v>555</v>
      </c>
      <c r="B556" s="7">
        <v>0</v>
      </c>
    </row>
    <row r="557" spans="1:2" x14ac:dyDescent="0.15">
      <c r="A557" s="7">
        <v>556</v>
      </c>
      <c r="B557" s="7">
        <v>0</v>
      </c>
    </row>
    <row r="558" spans="1:2" x14ac:dyDescent="0.15">
      <c r="A558" s="7">
        <v>557</v>
      </c>
      <c r="B558" s="7">
        <v>1</v>
      </c>
    </row>
    <row r="559" spans="1:2" x14ac:dyDescent="0.15">
      <c r="A559" s="7">
        <v>558</v>
      </c>
      <c r="B559" s="7">
        <v>0</v>
      </c>
    </row>
    <row r="560" spans="1:2" x14ac:dyDescent="0.15">
      <c r="A560" s="7">
        <v>559</v>
      </c>
      <c r="B560" s="7">
        <v>3</v>
      </c>
    </row>
    <row r="561" spans="1:2" x14ac:dyDescent="0.15">
      <c r="A561" s="7">
        <v>560</v>
      </c>
      <c r="B561" s="7">
        <v>0</v>
      </c>
    </row>
    <row r="562" spans="1:2" x14ac:dyDescent="0.15">
      <c r="A562" s="7">
        <v>561</v>
      </c>
      <c r="B562" s="7">
        <v>0</v>
      </c>
    </row>
    <row r="563" spans="1:2" x14ac:dyDescent="0.15">
      <c r="A563" s="7">
        <v>562</v>
      </c>
      <c r="B563" s="7">
        <v>0</v>
      </c>
    </row>
    <row r="564" spans="1:2" x14ac:dyDescent="0.15">
      <c r="A564" s="7">
        <v>563</v>
      </c>
      <c r="B564" s="7">
        <v>22</v>
      </c>
    </row>
    <row r="565" spans="1:2" x14ac:dyDescent="0.15">
      <c r="A565" s="7">
        <v>564</v>
      </c>
      <c r="B565" s="7">
        <v>0</v>
      </c>
    </row>
    <row r="566" spans="1:2" x14ac:dyDescent="0.15">
      <c r="A566" s="7">
        <v>565</v>
      </c>
      <c r="B566" s="7">
        <v>0</v>
      </c>
    </row>
    <row r="567" spans="1:2" x14ac:dyDescent="0.15">
      <c r="A567" s="7">
        <v>566</v>
      </c>
      <c r="B567" s="7">
        <v>0</v>
      </c>
    </row>
    <row r="568" spans="1:2" x14ac:dyDescent="0.15">
      <c r="A568" s="7">
        <v>567</v>
      </c>
      <c r="B568" s="7">
        <v>2</v>
      </c>
    </row>
    <row r="569" spans="1:2" x14ac:dyDescent="0.15">
      <c r="A569" s="7">
        <v>568</v>
      </c>
      <c r="B569" s="7">
        <v>0</v>
      </c>
    </row>
    <row r="570" spans="1:2" x14ac:dyDescent="0.15">
      <c r="A570" s="7">
        <v>569</v>
      </c>
      <c r="B570" s="7">
        <v>3</v>
      </c>
    </row>
    <row r="571" spans="1:2" x14ac:dyDescent="0.15">
      <c r="A571" s="7">
        <v>570</v>
      </c>
      <c r="B571" s="7">
        <v>0</v>
      </c>
    </row>
    <row r="572" spans="1:2" x14ac:dyDescent="0.15">
      <c r="A572" s="7">
        <v>571</v>
      </c>
      <c r="B572" s="7">
        <v>0</v>
      </c>
    </row>
    <row r="573" spans="1:2" x14ac:dyDescent="0.15">
      <c r="A573" s="7">
        <v>572</v>
      </c>
      <c r="B573" s="7">
        <v>0</v>
      </c>
    </row>
    <row r="574" spans="1:2" x14ac:dyDescent="0.15">
      <c r="A574" s="7">
        <v>573</v>
      </c>
      <c r="B574" s="7">
        <v>0</v>
      </c>
    </row>
    <row r="575" spans="1:2" x14ac:dyDescent="0.15">
      <c r="A575" s="7">
        <v>574</v>
      </c>
      <c r="B575" s="7">
        <v>0</v>
      </c>
    </row>
    <row r="576" spans="1:2" x14ac:dyDescent="0.15">
      <c r="A576" s="7">
        <v>575</v>
      </c>
      <c r="B576" s="7">
        <v>1</v>
      </c>
    </row>
    <row r="577" spans="1:2" x14ac:dyDescent="0.15">
      <c r="A577" s="7">
        <v>576</v>
      </c>
      <c r="B577" s="7">
        <v>0</v>
      </c>
    </row>
    <row r="578" spans="1:2" x14ac:dyDescent="0.15">
      <c r="A578" s="7">
        <v>577</v>
      </c>
      <c r="B578" s="7">
        <v>0</v>
      </c>
    </row>
    <row r="579" spans="1:2" x14ac:dyDescent="0.15">
      <c r="A579" s="7">
        <v>578</v>
      </c>
      <c r="B579" s="7">
        <v>0</v>
      </c>
    </row>
    <row r="580" spans="1:2" x14ac:dyDescent="0.15">
      <c r="A580" s="7">
        <v>579</v>
      </c>
      <c r="B580" s="7">
        <v>0</v>
      </c>
    </row>
    <row r="581" spans="1:2" x14ac:dyDescent="0.15">
      <c r="A581" s="7">
        <v>580</v>
      </c>
      <c r="B581" s="7">
        <v>0</v>
      </c>
    </row>
    <row r="582" spans="1:2" x14ac:dyDescent="0.15">
      <c r="A582" s="7">
        <v>581</v>
      </c>
      <c r="B582" s="7">
        <v>0</v>
      </c>
    </row>
    <row r="583" spans="1:2" x14ac:dyDescent="0.15">
      <c r="A583" s="7">
        <v>582</v>
      </c>
      <c r="B583" s="7">
        <v>1</v>
      </c>
    </row>
    <row r="584" spans="1:2" x14ac:dyDescent="0.15">
      <c r="A584" s="7">
        <v>583</v>
      </c>
      <c r="B584" s="7">
        <v>0</v>
      </c>
    </row>
    <row r="585" spans="1:2" x14ac:dyDescent="0.15">
      <c r="A585" s="7">
        <v>584</v>
      </c>
      <c r="B585" s="7">
        <v>5</v>
      </c>
    </row>
    <row r="586" spans="1:2" x14ac:dyDescent="0.15">
      <c r="A586" s="7">
        <v>585</v>
      </c>
      <c r="B586" s="7">
        <v>0</v>
      </c>
    </row>
    <row r="587" spans="1:2" x14ac:dyDescent="0.15">
      <c r="A587" s="7">
        <v>586</v>
      </c>
      <c r="B587" s="7">
        <v>2</v>
      </c>
    </row>
    <row r="588" spans="1:2" x14ac:dyDescent="0.15">
      <c r="A588" s="7">
        <v>587</v>
      </c>
      <c r="B588" s="7">
        <v>0</v>
      </c>
    </row>
    <row r="589" spans="1:2" x14ac:dyDescent="0.15">
      <c r="A589" s="7">
        <v>588</v>
      </c>
      <c r="B589" s="7">
        <v>0</v>
      </c>
    </row>
    <row r="590" spans="1:2" x14ac:dyDescent="0.15">
      <c r="A590" s="7">
        <v>589</v>
      </c>
      <c r="B590" s="7">
        <v>0</v>
      </c>
    </row>
    <row r="591" spans="1:2" x14ac:dyDescent="0.15">
      <c r="A591" s="7">
        <v>590</v>
      </c>
      <c r="B591" s="7">
        <v>0</v>
      </c>
    </row>
    <row r="592" spans="1:2" x14ac:dyDescent="0.15">
      <c r="A592" s="7">
        <v>591</v>
      </c>
      <c r="B592" s="7">
        <v>0</v>
      </c>
    </row>
    <row r="593" spans="1:2" x14ac:dyDescent="0.15">
      <c r="A593" s="7">
        <v>592</v>
      </c>
      <c r="B593" s="7">
        <v>0</v>
      </c>
    </row>
    <row r="594" spans="1:2" x14ac:dyDescent="0.15">
      <c r="A594" s="7">
        <v>593</v>
      </c>
      <c r="B594" s="7">
        <v>0</v>
      </c>
    </row>
    <row r="595" spans="1:2" x14ac:dyDescent="0.15">
      <c r="A595" s="7">
        <v>594</v>
      </c>
      <c r="B595" s="7">
        <v>0</v>
      </c>
    </row>
    <row r="596" spans="1:2" x14ac:dyDescent="0.15">
      <c r="A596" s="7">
        <v>595</v>
      </c>
      <c r="B596" s="7">
        <v>15</v>
      </c>
    </row>
    <row r="597" spans="1:2" x14ac:dyDescent="0.15">
      <c r="A597" s="7">
        <v>596</v>
      </c>
      <c r="B597" s="7">
        <v>1</v>
      </c>
    </row>
    <row r="598" spans="1:2" x14ac:dyDescent="0.15">
      <c r="A598" s="7">
        <v>597</v>
      </c>
      <c r="B598" s="7">
        <v>0</v>
      </c>
    </row>
    <row r="599" spans="1:2" x14ac:dyDescent="0.15">
      <c r="A599" s="7">
        <v>598</v>
      </c>
      <c r="B599" s="7">
        <v>0</v>
      </c>
    </row>
    <row r="600" spans="1:2" x14ac:dyDescent="0.15">
      <c r="A600" s="7">
        <v>599</v>
      </c>
      <c r="B600" s="7">
        <v>0</v>
      </c>
    </row>
    <row r="601" spans="1:2" x14ac:dyDescent="0.15">
      <c r="A601" s="7">
        <v>600</v>
      </c>
      <c r="B601" s="7">
        <v>0</v>
      </c>
    </row>
    <row r="602" spans="1:2" x14ac:dyDescent="0.15">
      <c r="A602" s="7">
        <v>601</v>
      </c>
      <c r="B602" s="7">
        <v>0</v>
      </c>
    </row>
    <row r="603" spans="1:2" x14ac:dyDescent="0.15">
      <c r="A603" s="7">
        <v>602</v>
      </c>
      <c r="B603" s="7">
        <v>0</v>
      </c>
    </row>
    <row r="604" spans="1:2" x14ac:dyDescent="0.15">
      <c r="A604" s="7">
        <v>603</v>
      </c>
      <c r="B604" s="7">
        <v>0</v>
      </c>
    </row>
    <row r="605" spans="1:2" x14ac:dyDescent="0.15">
      <c r="A605" s="7">
        <v>604</v>
      </c>
      <c r="B605" s="7">
        <v>0</v>
      </c>
    </row>
    <row r="606" spans="1:2" x14ac:dyDescent="0.15">
      <c r="A606" s="7">
        <v>605</v>
      </c>
      <c r="B606" s="7">
        <v>0</v>
      </c>
    </row>
    <row r="607" spans="1:2" x14ac:dyDescent="0.15">
      <c r="A607" s="7">
        <v>606</v>
      </c>
      <c r="B607" s="7">
        <v>2</v>
      </c>
    </row>
    <row r="608" spans="1:2" x14ac:dyDescent="0.15">
      <c r="A608" s="7">
        <v>607</v>
      </c>
      <c r="B608" s="7">
        <v>0</v>
      </c>
    </row>
    <row r="609" spans="1:2" x14ac:dyDescent="0.15">
      <c r="A609" s="7">
        <v>608</v>
      </c>
      <c r="B609" s="7">
        <v>0</v>
      </c>
    </row>
    <row r="610" spans="1:2" x14ac:dyDescent="0.15">
      <c r="A610" s="7">
        <v>609</v>
      </c>
      <c r="B610" s="7">
        <v>0</v>
      </c>
    </row>
    <row r="611" spans="1:2" x14ac:dyDescent="0.15">
      <c r="A611" s="7">
        <v>610</v>
      </c>
      <c r="B611" s="7">
        <v>0</v>
      </c>
    </row>
    <row r="612" spans="1:2" x14ac:dyDescent="0.15">
      <c r="A612" s="7">
        <v>611</v>
      </c>
      <c r="B612" s="7">
        <v>0</v>
      </c>
    </row>
    <row r="613" spans="1:2" x14ac:dyDescent="0.15">
      <c r="A613" s="7">
        <v>612</v>
      </c>
      <c r="B613" s="7">
        <v>0</v>
      </c>
    </row>
    <row r="614" spans="1:2" x14ac:dyDescent="0.15">
      <c r="A614" s="7">
        <v>613</v>
      </c>
      <c r="B614" s="7">
        <v>1</v>
      </c>
    </row>
    <row r="615" spans="1:2" x14ac:dyDescent="0.15">
      <c r="A615" s="7">
        <v>614</v>
      </c>
      <c r="B615" s="7">
        <v>0</v>
      </c>
    </row>
    <row r="616" spans="1:2" x14ac:dyDescent="0.15">
      <c r="A616" s="7">
        <v>615</v>
      </c>
      <c r="B616" s="7">
        <v>0</v>
      </c>
    </row>
    <row r="617" spans="1:2" x14ac:dyDescent="0.15">
      <c r="A617" s="7">
        <v>616</v>
      </c>
      <c r="B617" s="7">
        <v>0</v>
      </c>
    </row>
    <row r="618" spans="1:2" x14ac:dyDescent="0.15">
      <c r="A618" s="7">
        <v>617</v>
      </c>
      <c r="B618" s="7">
        <v>0</v>
      </c>
    </row>
    <row r="619" spans="1:2" x14ac:dyDescent="0.15">
      <c r="A619" s="7">
        <v>618</v>
      </c>
      <c r="B619" s="7">
        <v>2</v>
      </c>
    </row>
    <row r="620" spans="1:2" x14ac:dyDescent="0.15">
      <c r="A620" s="7">
        <v>619</v>
      </c>
      <c r="B620" s="7">
        <v>1</v>
      </c>
    </row>
    <row r="621" spans="1:2" x14ac:dyDescent="0.15">
      <c r="A621" s="7">
        <v>620</v>
      </c>
      <c r="B621" s="7">
        <v>0</v>
      </c>
    </row>
    <row r="622" spans="1:2" x14ac:dyDescent="0.15">
      <c r="A622" s="7">
        <v>621</v>
      </c>
      <c r="B622" s="7">
        <v>0</v>
      </c>
    </row>
    <row r="623" spans="1:2" x14ac:dyDescent="0.15">
      <c r="A623" s="7">
        <v>622</v>
      </c>
      <c r="B623" s="7">
        <v>1</v>
      </c>
    </row>
    <row r="624" spans="1:2" x14ac:dyDescent="0.15">
      <c r="A624" s="7">
        <v>623</v>
      </c>
      <c r="B624" s="7">
        <v>2</v>
      </c>
    </row>
    <row r="625" spans="1:2" x14ac:dyDescent="0.15">
      <c r="A625" s="7">
        <v>624</v>
      </c>
      <c r="B625" s="7">
        <v>0</v>
      </c>
    </row>
    <row r="626" spans="1:2" x14ac:dyDescent="0.15">
      <c r="A626" s="7">
        <v>625</v>
      </c>
      <c r="B626" s="7">
        <v>0</v>
      </c>
    </row>
    <row r="627" spans="1:2" x14ac:dyDescent="0.15">
      <c r="A627" s="7">
        <v>626</v>
      </c>
      <c r="B627" s="7">
        <v>0</v>
      </c>
    </row>
    <row r="628" spans="1:2" x14ac:dyDescent="0.15">
      <c r="A628" s="7">
        <v>627</v>
      </c>
      <c r="B628" s="7">
        <v>0</v>
      </c>
    </row>
    <row r="629" spans="1:2" x14ac:dyDescent="0.15">
      <c r="A629" s="7">
        <v>628</v>
      </c>
      <c r="B629" s="7">
        <v>0</v>
      </c>
    </row>
    <row r="630" spans="1:2" x14ac:dyDescent="0.15">
      <c r="A630" s="7">
        <v>629</v>
      </c>
      <c r="B630" s="7">
        <v>1</v>
      </c>
    </row>
    <row r="631" spans="1:2" x14ac:dyDescent="0.15">
      <c r="A631" s="7">
        <v>630</v>
      </c>
      <c r="B631" s="7">
        <v>0</v>
      </c>
    </row>
    <row r="632" spans="1:2" x14ac:dyDescent="0.15">
      <c r="A632" s="7">
        <v>631</v>
      </c>
      <c r="B632" s="7">
        <v>0</v>
      </c>
    </row>
    <row r="633" spans="1:2" x14ac:dyDescent="0.15">
      <c r="A633" s="7">
        <v>632</v>
      </c>
      <c r="B633" s="7">
        <v>0</v>
      </c>
    </row>
    <row r="634" spans="1:2" x14ac:dyDescent="0.15">
      <c r="A634" s="7">
        <v>633</v>
      </c>
      <c r="B634" s="7">
        <v>0</v>
      </c>
    </row>
    <row r="635" spans="1:2" x14ac:dyDescent="0.15">
      <c r="A635" s="7">
        <v>634</v>
      </c>
      <c r="B635" s="7">
        <v>0</v>
      </c>
    </row>
    <row r="636" spans="1:2" x14ac:dyDescent="0.15">
      <c r="A636" s="7">
        <v>635</v>
      </c>
      <c r="B636" s="7">
        <v>1</v>
      </c>
    </row>
    <row r="637" spans="1:2" x14ac:dyDescent="0.15">
      <c r="A637" s="7">
        <v>636</v>
      </c>
      <c r="B637" s="7">
        <v>1</v>
      </c>
    </row>
    <row r="638" spans="1:2" x14ac:dyDescent="0.15">
      <c r="A638" s="7">
        <v>637</v>
      </c>
      <c r="B638" s="7">
        <v>0</v>
      </c>
    </row>
    <row r="639" spans="1:2" x14ac:dyDescent="0.15">
      <c r="A639" s="7">
        <v>638</v>
      </c>
      <c r="B639" s="7">
        <v>0</v>
      </c>
    </row>
    <row r="640" spans="1:2" x14ac:dyDescent="0.15">
      <c r="A640" s="7">
        <v>639</v>
      </c>
      <c r="B640" s="7">
        <v>1</v>
      </c>
    </row>
    <row r="641" spans="1:2" x14ac:dyDescent="0.15">
      <c r="A641" s="7">
        <v>640</v>
      </c>
      <c r="B641" s="7">
        <v>0</v>
      </c>
    </row>
    <row r="642" spans="1:2" x14ac:dyDescent="0.15">
      <c r="A642" s="7">
        <v>641</v>
      </c>
      <c r="B642" s="7">
        <v>1</v>
      </c>
    </row>
    <row r="643" spans="1:2" x14ac:dyDescent="0.15">
      <c r="A643" s="7">
        <v>642</v>
      </c>
      <c r="B643" s="7">
        <v>0</v>
      </c>
    </row>
    <row r="644" spans="1:2" x14ac:dyDescent="0.15">
      <c r="A644" s="7">
        <v>643</v>
      </c>
      <c r="B644" s="7">
        <v>1</v>
      </c>
    </row>
    <row r="645" spans="1:2" x14ac:dyDescent="0.15">
      <c r="A645" s="7">
        <v>644</v>
      </c>
      <c r="B645" s="7">
        <v>0</v>
      </c>
    </row>
    <row r="646" spans="1:2" x14ac:dyDescent="0.15">
      <c r="A646" s="7">
        <v>645</v>
      </c>
      <c r="B646" s="7">
        <v>0</v>
      </c>
    </row>
    <row r="647" spans="1:2" x14ac:dyDescent="0.15">
      <c r="A647" s="7">
        <v>646</v>
      </c>
      <c r="B647" s="7">
        <v>0</v>
      </c>
    </row>
    <row r="648" spans="1:2" x14ac:dyDescent="0.15">
      <c r="A648" s="7">
        <v>647</v>
      </c>
      <c r="B648" s="7">
        <v>0</v>
      </c>
    </row>
    <row r="649" spans="1:2" x14ac:dyDescent="0.15">
      <c r="A649" s="7">
        <v>648</v>
      </c>
      <c r="B649" s="7">
        <v>12</v>
      </c>
    </row>
    <row r="650" spans="1:2" x14ac:dyDescent="0.15">
      <c r="A650" s="7">
        <v>649</v>
      </c>
      <c r="B650" s="7">
        <v>8</v>
      </c>
    </row>
    <row r="651" spans="1:2" x14ac:dyDescent="0.15">
      <c r="A651" s="7">
        <v>650</v>
      </c>
      <c r="B651" s="7">
        <v>0</v>
      </c>
    </row>
    <row r="652" spans="1:2" x14ac:dyDescent="0.15">
      <c r="A652" s="7">
        <v>651</v>
      </c>
      <c r="B652" s="7">
        <v>0</v>
      </c>
    </row>
    <row r="653" spans="1:2" x14ac:dyDescent="0.15">
      <c r="A653" s="7">
        <v>652</v>
      </c>
      <c r="B653" s="7">
        <v>0</v>
      </c>
    </row>
    <row r="654" spans="1:2" x14ac:dyDescent="0.15">
      <c r="A654" s="7">
        <v>653</v>
      </c>
      <c r="B654" s="7">
        <v>1</v>
      </c>
    </row>
    <row r="655" spans="1:2" x14ac:dyDescent="0.15">
      <c r="A655" s="7">
        <v>654</v>
      </c>
      <c r="B655" s="7">
        <v>0</v>
      </c>
    </row>
    <row r="656" spans="1:2" x14ac:dyDescent="0.15">
      <c r="A656" s="7">
        <v>655</v>
      </c>
      <c r="B656" s="7">
        <v>2</v>
      </c>
    </row>
    <row r="657" spans="1:2" x14ac:dyDescent="0.15">
      <c r="A657" s="7">
        <v>656</v>
      </c>
      <c r="B657" s="7">
        <v>0</v>
      </c>
    </row>
    <row r="658" spans="1:2" x14ac:dyDescent="0.15">
      <c r="A658" s="7">
        <v>657</v>
      </c>
      <c r="B658" s="7">
        <v>1</v>
      </c>
    </row>
    <row r="659" spans="1:2" x14ac:dyDescent="0.15">
      <c r="A659" s="7">
        <v>658</v>
      </c>
      <c r="B659" s="7">
        <v>0</v>
      </c>
    </row>
    <row r="660" spans="1:2" x14ac:dyDescent="0.15">
      <c r="A660" s="7">
        <v>659</v>
      </c>
      <c r="B660" s="7">
        <v>5</v>
      </c>
    </row>
    <row r="661" spans="1:2" x14ac:dyDescent="0.15">
      <c r="A661" s="7">
        <v>660</v>
      </c>
      <c r="B661" s="7">
        <v>0</v>
      </c>
    </row>
    <row r="662" spans="1:2" x14ac:dyDescent="0.15">
      <c r="A662" s="7">
        <v>661</v>
      </c>
      <c r="B662" s="7">
        <v>0</v>
      </c>
    </row>
    <row r="663" spans="1:2" x14ac:dyDescent="0.15">
      <c r="A663" s="7">
        <v>662</v>
      </c>
      <c r="B663" s="7">
        <v>0</v>
      </c>
    </row>
    <row r="664" spans="1:2" x14ac:dyDescent="0.15">
      <c r="A664" s="7">
        <v>663</v>
      </c>
      <c r="B664" s="7">
        <v>0</v>
      </c>
    </row>
    <row r="665" spans="1:2" x14ac:dyDescent="0.15">
      <c r="A665" s="7">
        <v>664</v>
      </c>
      <c r="B665" s="7">
        <v>2</v>
      </c>
    </row>
    <row r="666" spans="1:2" x14ac:dyDescent="0.15">
      <c r="A666" s="7">
        <v>665</v>
      </c>
      <c r="B666" s="7">
        <v>0</v>
      </c>
    </row>
    <row r="667" spans="1:2" x14ac:dyDescent="0.15">
      <c r="A667" s="7">
        <v>666</v>
      </c>
      <c r="B667" s="7">
        <v>0</v>
      </c>
    </row>
    <row r="668" spans="1:2" x14ac:dyDescent="0.15">
      <c r="A668" s="7">
        <v>667</v>
      </c>
      <c r="B668" s="7">
        <v>0</v>
      </c>
    </row>
    <row r="669" spans="1:2" x14ac:dyDescent="0.15">
      <c r="A669" s="7">
        <v>668</v>
      </c>
      <c r="B669" s="7">
        <v>0</v>
      </c>
    </row>
    <row r="670" spans="1:2" x14ac:dyDescent="0.15">
      <c r="A670" s="7">
        <v>669</v>
      </c>
      <c r="B670" s="7">
        <v>0</v>
      </c>
    </row>
    <row r="671" spans="1:2" x14ac:dyDescent="0.15">
      <c r="A671" s="7">
        <v>670</v>
      </c>
      <c r="B671" s="7">
        <v>0</v>
      </c>
    </row>
    <row r="672" spans="1:2" x14ac:dyDescent="0.15">
      <c r="A672" s="7">
        <v>671</v>
      </c>
      <c r="B672" s="7">
        <v>0</v>
      </c>
    </row>
    <row r="673" spans="1:2" x14ac:dyDescent="0.15">
      <c r="A673" s="7">
        <v>672</v>
      </c>
      <c r="B673" s="7">
        <v>0</v>
      </c>
    </row>
    <row r="674" spans="1:2" x14ac:dyDescent="0.15">
      <c r="A674" s="7">
        <v>673</v>
      </c>
      <c r="B674" s="7">
        <v>0</v>
      </c>
    </row>
    <row r="675" spans="1:2" x14ac:dyDescent="0.15">
      <c r="A675" s="7">
        <v>674</v>
      </c>
      <c r="B675" s="7">
        <v>0</v>
      </c>
    </row>
    <row r="676" spans="1:2" x14ac:dyDescent="0.15">
      <c r="A676" s="7">
        <v>675</v>
      </c>
      <c r="B676" s="7">
        <v>3</v>
      </c>
    </row>
    <row r="677" spans="1:2" x14ac:dyDescent="0.15">
      <c r="A677" s="7">
        <v>676</v>
      </c>
      <c r="B677" s="7">
        <v>0</v>
      </c>
    </row>
    <row r="678" spans="1:2" x14ac:dyDescent="0.15">
      <c r="A678" s="7">
        <v>677</v>
      </c>
      <c r="B678" s="7">
        <v>0</v>
      </c>
    </row>
    <row r="679" spans="1:2" x14ac:dyDescent="0.15">
      <c r="A679" s="7">
        <v>678</v>
      </c>
      <c r="B679" s="7">
        <v>0</v>
      </c>
    </row>
    <row r="680" spans="1:2" x14ac:dyDescent="0.15">
      <c r="A680" s="7">
        <v>679</v>
      </c>
      <c r="B680" s="7">
        <v>0</v>
      </c>
    </row>
    <row r="681" spans="1:2" x14ac:dyDescent="0.15">
      <c r="A681" s="7">
        <v>680</v>
      </c>
      <c r="B681" s="7">
        <v>0</v>
      </c>
    </row>
    <row r="682" spans="1:2" x14ac:dyDescent="0.15">
      <c r="A682" s="7">
        <v>681</v>
      </c>
      <c r="B682" s="7">
        <v>0</v>
      </c>
    </row>
    <row r="683" spans="1:2" x14ac:dyDescent="0.15">
      <c r="A683" s="7">
        <v>682</v>
      </c>
      <c r="B683" s="7">
        <v>0</v>
      </c>
    </row>
    <row r="684" spans="1:2" x14ac:dyDescent="0.15">
      <c r="A684" s="7">
        <v>683</v>
      </c>
      <c r="B684" s="7">
        <v>0</v>
      </c>
    </row>
    <row r="685" spans="1:2" x14ac:dyDescent="0.15">
      <c r="A685" s="7">
        <v>684</v>
      </c>
      <c r="B685" s="7">
        <v>1</v>
      </c>
    </row>
    <row r="686" spans="1:2" x14ac:dyDescent="0.15">
      <c r="A686" s="7">
        <v>685</v>
      </c>
      <c r="B686" s="7">
        <v>0</v>
      </c>
    </row>
    <row r="687" spans="1:2" x14ac:dyDescent="0.15">
      <c r="A687" s="7">
        <v>686</v>
      </c>
      <c r="B687" s="7">
        <v>0</v>
      </c>
    </row>
    <row r="688" spans="1:2" x14ac:dyDescent="0.15">
      <c r="A688" s="7">
        <v>687</v>
      </c>
      <c r="B688" s="7">
        <v>0</v>
      </c>
    </row>
    <row r="689" spans="1:2" x14ac:dyDescent="0.15">
      <c r="A689" s="7">
        <v>688</v>
      </c>
      <c r="B689" s="7">
        <v>0</v>
      </c>
    </row>
    <row r="690" spans="1:2" x14ac:dyDescent="0.15">
      <c r="A690" s="7">
        <v>689</v>
      </c>
      <c r="B690" s="7">
        <v>0</v>
      </c>
    </row>
    <row r="691" spans="1:2" x14ac:dyDescent="0.15">
      <c r="A691" s="7">
        <v>690</v>
      </c>
      <c r="B691" s="7">
        <v>0</v>
      </c>
    </row>
    <row r="692" spans="1:2" x14ac:dyDescent="0.15">
      <c r="A692" s="7">
        <v>691</v>
      </c>
      <c r="B692" s="7">
        <v>2</v>
      </c>
    </row>
    <row r="693" spans="1:2" x14ac:dyDescent="0.15">
      <c r="A693" s="7">
        <v>692</v>
      </c>
      <c r="B693" s="7">
        <v>0</v>
      </c>
    </row>
    <row r="694" spans="1:2" x14ac:dyDescent="0.15">
      <c r="A694" s="7">
        <v>693</v>
      </c>
      <c r="B694" s="7">
        <v>1</v>
      </c>
    </row>
    <row r="695" spans="1:2" x14ac:dyDescent="0.15">
      <c r="A695" s="7">
        <v>694</v>
      </c>
      <c r="B695" s="7">
        <v>1</v>
      </c>
    </row>
    <row r="696" spans="1:2" x14ac:dyDescent="0.15">
      <c r="A696" s="7">
        <v>695</v>
      </c>
      <c r="B696" s="7">
        <v>0</v>
      </c>
    </row>
    <row r="697" spans="1:2" x14ac:dyDescent="0.15">
      <c r="A697" s="7">
        <v>696</v>
      </c>
      <c r="B697" s="7">
        <v>3</v>
      </c>
    </row>
    <row r="698" spans="1:2" x14ac:dyDescent="0.15">
      <c r="A698" s="7">
        <v>697</v>
      </c>
      <c r="B698" s="7">
        <v>0</v>
      </c>
    </row>
    <row r="699" spans="1:2" x14ac:dyDescent="0.15">
      <c r="A699" s="7">
        <v>698</v>
      </c>
      <c r="B699" s="7">
        <v>0</v>
      </c>
    </row>
    <row r="700" spans="1:2" x14ac:dyDescent="0.15">
      <c r="A700" s="7">
        <v>699</v>
      </c>
      <c r="B700" s="7">
        <v>0</v>
      </c>
    </row>
    <row r="701" spans="1:2" x14ac:dyDescent="0.15">
      <c r="A701" s="7">
        <v>700</v>
      </c>
      <c r="B701" s="7">
        <v>0</v>
      </c>
    </row>
    <row r="702" spans="1:2" x14ac:dyDescent="0.15">
      <c r="A702" s="7">
        <v>701</v>
      </c>
      <c r="B702" s="7">
        <v>0</v>
      </c>
    </row>
    <row r="703" spans="1:2" x14ac:dyDescent="0.15">
      <c r="A703" s="7">
        <v>702</v>
      </c>
      <c r="B703" s="7">
        <v>0</v>
      </c>
    </row>
    <row r="704" spans="1:2" x14ac:dyDescent="0.15">
      <c r="A704" s="7">
        <v>703</v>
      </c>
      <c r="B704" s="7">
        <v>0</v>
      </c>
    </row>
    <row r="705" spans="1:2" x14ac:dyDescent="0.15">
      <c r="A705" s="7">
        <v>704</v>
      </c>
      <c r="B705" s="7">
        <v>0</v>
      </c>
    </row>
    <row r="706" spans="1:2" x14ac:dyDescent="0.15">
      <c r="A706" s="7">
        <v>705</v>
      </c>
      <c r="B706" s="7">
        <v>2</v>
      </c>
    </row>
    <row r="707" spans="1:2" x14ac:dyDescent="0.15">
      <c r="A707" s="7">
        <v>706</v>
      </c>
      <c r="B707" s="7">
        <v>0</v>
      </c>
    </row>
    <row r="708" spans="1:2" x14ac:dyDescent="0.15">
      <c r="A708" s="7">
        <v>707</v>
      </c>
      <c r="B708" s="7">
        <v>0</v>
      </c>
    </row>
    <row r="709" spans="1:2" x14ac:dyDescent="0.15">
      <c r="A709" s="7">
        <v>708</v>
      </c>
      <c r="B709" s="7">
        <v>0</v>
      </c>
    </row>
    <row r="710" spans="1:2" x14ac:dyDescent="0.15">
      <c r="A710" s="7">
        <v>709</v>
      </c>
      <c r="B710" s="7">
        <v>0</v>
      </c>
    </row>
    <row r="711" spans="1:2" x14ac:dyDescent="0.15">
      <c r="A711" s="7">
        <v>710</v>
      </c>
      <c r="B711" s="7">
        <v>0</v>
      </c>
    </row>
    <row r="712" spans="1:2" x14ac:dyDescent="0.15">
      <c r="A712" s="7">
        <v>711</v>
      </c>
      <c r="B712" s="7">
        <v>1</v>
      </c>
    </row>
    <row r="713" spans="1:2" x14ac:dyDescent="0.15">
      <c r="A713" s="7">
        <v>712</v>
      </c>
      <c r="B713" s="7">
        <v>0</v>
      </c>
    </row>
    <row r="714" spans="1:2" x14ac:dyDescent="0.15">
      <c r="A714" s="7">
        <v>713</v>
      </c>
      <c r="B714" s="7">
        <v>5</v>
      </c>
    </row>
    <row r="715" spans="1:2" x14ac:dyDescent="0.15">
      <c r="A715" s="7">
        <v>714</v>
      </c>
      <c r="B715" s="7">
        <v>0</v>
      </c>
    </row>
    <row r="716" spans="1:2" x14ac:dyDescent="0.15">
      <c r="A716" s="7">
        <v>715</v>
      </c>
      <c r="B716" s="7">
        <v>0</v>
      </c>
    </row>
    <row r="717" spans="1:2" x14ac:dyDescent="0.15">
      <c r="A717" s="7">
        <v>716</v>
      </c>
      <c r="B717" s="7">
        <v>7</v>
      </c>
    </row>
    <row r="718" spans="1:2" x14ac:dyDescent="0.15">
      <c r="A718" s="7">
        <v>717</v>
      </c>
      <c r="B718" s="7">
        <v>0</v>
      </c>
    </row>
    <row r="719" spans="1:2" x14ac:dyDescent="0.15">
      <c r="A719" s="7">
        <v>718</v>
      </c>
      <c r="B719" s="7">
        <v>0</v>
      </c>
    </row>
    <row r="720" spans="1:2" x14ac:dyDescent="0.15">
      <c r="A720" s="7">
        <v>719</v>
      </c>
      <c r="B720" s="7">
        <v>1</v>
      </c>
    </row>
    <row r="721" spans="1:2" x14ac:dyDescent="0.15">
      <c r="A721" s="7">
        <v>720</v>
      </c>
      <c r="B721" s="7">
        <v>0</v>
      </c>
    </row>
    <row r="722" spans="1:2" x14ac:dyDescent="0.15">
      <c r="A722" s="7">
        <v>721</v>
      </c>
      <c r="B722" s="7">
        <v>0</v>
      </c>
    </row>
    <row r="723" spans="1:2" x14ac:dyDescent="0.15">
      <c r="A723" s="7">
        <v>722</v>
      </c>
      <c r="B723" s="7">
        <v>0</v>
      </c>
    </row>
    <row r="724" spans="1:2" x14ac:dyDescent="0.15">
      <c r="A724" s="7">
        <v>723</v>
      </c>
      <c r="B724" s="7">
        <v>1</v>
      </c>
    </row>
    <row r="725" spans="1:2" x14ac:dyDescent="0.15">
      <c r="A725" s="7">
        <v>724</v>
      </c>
      <c r="B725" s="7">
        <v>2</v>
      </c>
    </row>
    <row r="726" spans="1:2" x14ac:dyDescent="0.15">
      <c r="A726" s="7">
        <v>725</v>
      </c>
      <c r="B726" s="7">
        <v>0</v>
      </c>
    </row>
    <row r="727" spans="1:2" x14ac:dyDescent="0.15">
      <c r="A727" s="7">
        <v>726</v>
      </c>
      <c r="B727" s="7">
        <v>3</v>
      </c>
    </row>
    <row r="728" spans="1:2" x14ac:dyDescent="0.15">
      <c r="A728" s="7">
        <v>727</v>
      </c>
      <c r="B728" s="7">
        <v>0</v>
      </c>
    </row>
    <row r="729" spans="1:2" x14ac:dyDescent="0.15">
      <c r="A729" s="7">
        <v>728</v>
      </c>
      <c r="B729" s="7">
        <v>3</v>
      </c>
    </row>
    <row r="730" spans="1:2" x14ac:dyDescent="0.15">
      <c r="A730" s="7">
        <v>729</v>
      </c>
      <c r="B730" s="7">
        <v>0</v>
      </c>
    </row>
    <row r="731" spans="1:2" x14ac:dyDescent="0.15">
      <c r="A731" s="7">
        <v>730</v>
      </c>
      <c r="B731" s="7">
        <v>0</v>
      </c>
    </row>
    <row r="732" spans="1:2" x14ac:dyDescent="0.15">
      <c r="A732" s="7">
        <v>731</v>
      </c>
      <c r="B732" s="7">
        <v>0</v>
      </c>
    </row>
    <row r="733" spans="1:2" x14ac:dyDescent="0.15">
      <c r="A733" s="7">
        <v>732</v>
      </c>
      <c r="B733" s="7">
        <v>0</v>
      </c>
    </row>
    <row r="734" spans="1:2" x14ac:dyDescent="0.15">
      <c r="A734" s="7">
        <v>733</v>
      </c>
      <c r="B734" s="7">
        <v>0</v>
      </c>
    </row>
    <row r="735" spans="1:2" x14ac:dyDescent="0.15">
      <c r="A735" s="7">
        <v>734</v>
      </c>
      <c r="B735" s="7">
        <v>0</v>
      </c>
    </row>
    <row r="736" spans="1:2" x14ac:dyDescent="0.15">
      <c r="A736" s="7">
        <v>735</v>
      </c>
      <c r="B736" s="7">
        <v>0</v>
      </c>
    </row>
    <row r="737" spans="1:2" x14ac:dyDescent="0.15">
      <c r="A737" s="7">
        <v>736</v>
      </c>
      <c r="B737" s="7">
        <v>1</v>
      </c>
    </row>
    <row r="738" spans="1:2" x14ac:dyDescent="0.15">
      <c r="A738" s="7">
        <v>737</v>
      </c>
      <c r="B738" s="7">
        <v>0</v>
      </c>
    </row>
    <row r="739" spans="1:2" x14ac:dyDescent="0.15">
      <c r="A739" s="7">
        <v>738</v>
      </c>
      <c r="B739" s="7">
        <v>0</v>
      </c>
    </row>
    <row r="740" spans="1:2" x14ac:dyDescent="0.15">
      <c r="A740" s="7">
        <v>739</v>
      </c>
      <c r="B740" s="7">
        <v>0</v>
      </c>
    </row>
    <row r="741" spans="1:2" x14ac:dyDescent="0.15">
      <c r="A741" s="7">
        <v>740</v>
      </c>
      <c r="B741" s="7">
        <v>0</v>
      </c>
    </row>
    <row r="742" spans="1:2" x14ac:dyDescent="0.15">
      <c r="A742" s="7">
        <v>741</v>
      </c>
      <c r="B742" s="7">
        <v>1</v>
      </c>
    </row>
    <row r="743" spans="1:2" x14ac:dyDescent="0.15">
      <c r="A743" s="7">
        <v>742</v>
      </c>
      <c r="B743" s="7">
        <v>6</v>
      </c>
    </row>
    <row r="744" spans="1:2" x14ac:dyDescent="0.15">
      <c r="A744" s="7">
        <v>743</v>
      </c>
      <c r="B744" s="7">
        <v>4</v>
      </c>
    </row>
    <row r="745" spans="1:2" x14ac:dyDescent="0.15">
      <c r="A745" s="7">
        <v>744</v>
      </c>
      <c r="B745" s="7">
        <v>1</v>
      </c>
    </row>
    <row r="746" spans="1:2" x14ac:dyDescent="0.15">
      <c r="A746" s="7">
        <v>745</v>
      </c>
      <c r="B746" s="7">
        <v>0</v>
      </c>
    </row>
    <row r="747" spans="1:2" x14ac:dyDescent="0.15">
      <c r="A747" s="7">
        <v>746</v>
      </c>
      <c r="B747" s="7">
        <v>0</v>
      </c>
    </row>
    <row r="748" spans="1:2" x14ac:dyDescent="0.15">
      <c r="A748" s="7">
        <v>747</v>
      </c>
      <c r="B748" s="7">
        <v>0</v>
      </c>
    </row>
    <row r="749" spans="1:2" x14ac:dyDescent="0.15">
      <c r="A749" s="7">
        <v>748</v>
      </c>
      <c r="B749" s="7">
        <v>1</v>
      </c>
    </row>
    <row r="750" spans="1:2" x14ac:dyDescent="0.15">
      <c r="A750" s="7">
        <v>749</v>
      </c>
      <c r="B750" s="7">
        <v>0</v>
      </c>
    </row>
    <row r="751" spans="1:2" x14ac:dyDescent="0.15">
      <c r="A751" s="7">
        <v>750</v>
      </c>
      <c r="B751" s="7">
        <v>1</v>
      </c>
    </row>
    <row r="752" spans="1:2" x14ac:dyDescent="0.15">
      <c r="A752" s="7">
        <v>751</v>
      </c>
      <c r="B752" s="7">
        <v>1</v>
      </c>
    </row>
    <row r="753" spans="1:2" x14ac:dyDescent="0.15">
      <c r="A753" s="7">
        <v>752</v>
      </c>
      <c r="B753" s="7">
        <v>0</v>
      </c>
    </row>
    <row r="754" spans="1:2" x14ac:dyDescent="0.15">
      <c r="A754" s="7">
        <v>753</v>
      </c>
      <c r="B754" s="7">
        <v>1</v>
      </c>
    </row>
    <row r="755" spans="1:2" x14ac:dyDescent="0.15">
      <c r="A755" s="7">
        <v>754</v>
      </c>
      <c r="B755" s="7">
        <v>0</v>
      </c>
    </row>
    <row r="756" spans="1:2" x14ac:dyDescent="0.15">
      <c r="A756" s="7">
        <v>755</v>
      </c>
      <c r="B756" s="7">
        <v>0</v>
      </c>
    </row>
    <row r="757" spans="1:2" x14ac:dyDescent="0.15">
      <c r="A757" s="7">
        <v>756</v>
      </c>
      <c r="B757" s="7">
        <v>0</v>
      </c>
    </row>
    <row r="758" spans="1:2" x14ac:dyDescent="0.15">
      <c r="A758" s="7">
        <v>757</v>
      </c>
      <c r="B758" s="7">
        <v>0</v>
      </c>
    </row>
    <row r="759" spans="1:2" x14ac:dyDescent="0.15">
      <c r="A759" s="7">
        <v>758</v>
      </c>
      <c r="B759" s="7">
        <v>1</v>
      </c>
    </row>
    <row r="760" spans="1:2" x14ac:dyDescent="0.15">
      <c r="A760" s="7">
        <v>759</v>
      </c>
      <c r="B760" s="7">
        <v>0</v>
      </c>
    </row>
    <row r="761" spans="1:2" x14ac:dyDescent="0.15">
      <c r="A761" s="7">
        <v>760</v>
      </c>
      <c r="B761" s="7">
        <v>0</v>
      </c>
    </row>
    <row r="762" spans="1:2" x14ac:dyDescent="0.15">
      <c r="A762" s="7">
        <v>761</v>
      </c>
      <c r="B762" s="7">
        <v>0</v>
      </c>
    </row>
    <row r="763" spans="1:2" x14ac:dyDescent="0.15">
      <c r="A763" s="7">
        <v>762</v>
      </c>
      <c r="B763" s="7">
        <v>0</v>
      </c>
    </row>
    <row r="764" spans="1:2" x14ac:dyDescent="0.15">
      <c r="A764" s="7">
        <v>763</v>
      </c>
      <c r="B764" s="7">
        <v>0</v>
      </c>
    </row>
    <row r="765" spans="1:2" x14ac:dyDescent="0.15">
      <c r="A765" s="7">
        <v>764</v>
      </c>
      <c r="B765" s="7">
        <v>0</v>
      </c>
    </row>
    <row r="766" spans="1:2" x14ac:dyDescent="0.15">
      <c r="A766" s="7">
        <v>765</v>
      </c>
      <c r="B766" s="7">
        <v>0</v>
      </c>
    </row>
    <row r="767" spans="1:2" x14ac:dyDescent="0.15">
      <c r="A767" s="7">
        <v>766</v>
      </c>
      <c r="B767" s="7">
        <v>0</v>
      </c>
    </row>
    <row r="768" spans="1:2" x14ac:dyDescent="0.15">
      <c r="A768" s="7">
        <v>767</v>
      </c>
      <c r="B768" s="7">
        <v>0</v>
      </c>
    </row>
    <row r="769" spans="1:2" x14ac:dyDescent="0.15">
      <c r="A769" s="7">
        <v>768</v>
      </c>
      <c r="B769" s="7">
        <v>1</v>
      </c>
    </row>
    <row r="770" spans="1:2" x14ac:dyDescent="0.15">
      <c r="A770" s="7">
        <v>769</v>
      </c>
      <c r="B770" s="7">
        <v>0</v>
      </c>
    </row>
    <row r="771" spans="1:2" x14ac:dyDescent="0.15">
      <c r="A771" s="7">
        <v>770</v>
      </c>
      <c r="B771" s="7">
        <v>1</v>
      </c>
    </row>
    <row r="772" spans="1:2" x14ac:dyDescent="0.15">
      <c r="A772" s="7">
        <v>771</v>
      </c>
      <c r="B772" s="7">
        <v>10</v>
      </c>
    </row>
    <row r="773" spans="1:2" x14ac:dyDescent="0.15">
      <c r="A773" s="7">
        <v>772</v>
      </c>
      <c r="B773" s="7">
        <v>0</v>
      </c>
    </row>
    <row r="774" spans="1:2" x14ac:dyDescent="0.15">
      <c r="A774" s="7">
        <v>773</v>
      </c>
      <c r="B774" s="7">
        <v>0</v>
      </c>
    </row>
    <row r="775" spans="1:2" x14ac:dyDescent="0.15">
      <c r="A775" s="7">
        <v>774</v>
      </c>
      <c r="B775" s="7">
        <v>0</v>
      </c>
    </row>
    <row r="776" spans="1:2" x14ac:dyDescent="0.15">
      <c r="A776" s="7">
        <v>775</v>
      </c>
      <c r="B776" s="7">
        <v>0</v>
      </c>
    </row>
    <row r="777" spans="1:2" x14ac:dyDescent="0.15">
      <c r="A777" s="7">
        <v>776</v>
      </c>
      <c r="B777" s="7">
        <v>0</v>
      </c>
    </row>
    <row r="778" spans="1:2" x14ac:dyDescent="0.15">
      <c r="A778" s="7">
        <v>777</v>
      </c>
      <c r="B778" s="7">
        <v>0</v>
      </c>
    </row>
    <row r="779" spans="1:2" x14ac:dyDescent="0.15">
      <c r="A779" s="7">
        <v>778</v>
      </c>
      <c r="B779" s="7">
        <v>0</v>
      </c>
    </row>
    <row r="780" spans="1:2" x14ac:dyDescent="0.15">
      <c r="A780" s="7">
        <v>779</v>
      </c>
      <c r="B780" s="7">
        <v>0</v>
      </c>
    </row>
    <row r="781" spans="1:2" x14ac:dyDescent="0.15">
      <c r="A781" s="7">
        <v>780</v>
      </c>
      <c r="B781" s="7">
        <v>0</v>
      </c>
    </row>
    <row r="782" spans="1:2" x14ac:dyDescent="0.15">
      <c r="A782" s="7">
        <v>781</v>
      </c>
      <c r="B782" s="7">
        <v>0</v>
      </c>
    </row>
    <row r="783" spans="1:2" x14ac:dyDescent="0.15">
      <c r="A783" s="7">
        <v>782</v>
      </c>
      <c r="B783" s="7">
        <v>0</v>
      </c>
    </row>
    <row r="784" spans="1:2" x14ac:dyDescent="0.15">
      <c r="A784" s="7">
        <v>783</v>
      </c>
      <c r="B784" s="7">
        <v>0</v>
      </c>
    </row>
    <row r="785" spans="1:2" x14ac:dyDescent="0.15">
      <c r="A785" s="7">
        <v>784</v>
      </c>
      <c r="B785" s="7">
        <v>0</v>
      </c>
    </row>
    <row r="786" spans="1:2" x14ac:dyDescent="0.15">
      <c r="A786" s="7">
        <v>785</v>
      </c>
      <c r="B786" s="7">
        <v>0</v>
      </c>
    </row>
    <row r="787" spans="1:2" x14ac:dyDescent="0.15">
      <c r="A787" s="7">
        <v>786</v>
      </c>
      <c r="B787" s="7">
        <v>0</v>
      </c>
    </row>
    <row r="788" spans="1:2" x14ac:dyDescent="0.15">
      <c r="A788" s="7">
        <v>787</v>
      </c>
      <c r="B788" s="7">
        <v>0</v>
      </c>
    </row>
    <row r="789" spans="1:2" x14ac:dyDescent="0.15">
      <c r="A789" s="7">
        <v>788</v>
      </c>
      <c r="B789" s="7">
        <v>0</v>
      </c>
    </row>
    <row r="790" spans="1:2" x14ac:dyDescent="0.15">
      <c r="A790" s="7">
        <v>789</v>
      </c>
      <c r="B790" s="7">
        <v>0</v>
      </c>
    </row>
    <row r="791" spans="1:2" x14ac:dyDescent="0.15">
      <c r="A791" s="7">
        <v>790</v>
      </c>
      <c r="B791" s="7">
        <v>0</v>
      </c>
    </row>
    <row r="792" spans="1:2" x14ac:dyDescent="0.15">
      <c r="A792" s="7">
        <v>791</v>
      </c>
      <c r="B792" s="7">
        <v>2</v>
      </c>
    </row>
    <row r="793" spans="1:2" x14ac:dyDescent="0.15">
      <c r="A793" s="7">
        <v>792</v>
      </c>
      <c r="B793" s="7">
        <v>0</v>
      </c>
    </row>
    <row r="794" spans="1:2" x14ac:dyDescent="0.15">
      <c r="A794" s="7">
        <v>793</v>
      </c>
      <c r="B794" s="7">
        <v>0</v>
      </c>
    </row>
    <row r="795" spans="1:2" x14ac:dyDescent="0.15">
      <c r="A795" s="7">
        <v>794</v>
      </c>
      <c r="B795" s="7">
        <v>0</v>
      </c>
    </row>
    <row r="796" spans="1:2" x14ac:dyDescent="0.15">
      <c r="A796" s="7">
        <v>795</v>
      </c>
      <c r="B796" s="7">
        <v>0</v>
      </c>
    </row>
    <row r="797" spans="1:2" x14ac:dyDescent="0.15">
      <c r="A797" s="7">
        <v>796</v>
      </c>
      <c r="B797" s="7">
        <v>0</v>
      </c>
    </row>
    <row r="798" spans="1:2" x14ac:dyDescent="0.15">
      <c r="A798" s="7">
        <v>797</v>
      </c>
      <c r="B798" s="7">
        <v>0</v>
      </c>
    </row>
    <row r="799" spans="1:2" x14ac:dyDescent="0.15">
      <c r="A799" s="7">
        <v>798</v>
      </c>
      <c r="B799" s="7">
        <v>0</v>
      </c>
    </row>
    <row r="800" spans="1:2" x14ac:dyDescent="0.15">
      <c r="A800" s="7">
        <v>799</v>
      </c>
      <c r="B800" s="7">
        <v>0</v>
      </c>
    </row>
    <row r="801" spans="1:2" x14ac:dyDescent="0.15">
      <c r="A801" s="7">
        <v>800</v>
      </c>
      <c r="B801" s="7">
        <v>0</v>
      </c>
    </row>
    <row r="802" spans="1:2" x14ac:dyDescent="0.15">
      <c r="A802" s="7">
        <v>801</v>
      </c>
      <c r="B802" s="7">
        <v>0</v>
      </c>
    </row>
    <row r="803" spans="1:2" x14ac:dyDescent="0.15">
      <c r="A803" s="7">
        <v>802</v>
      </c>
      <c r="B803" s="7">
        <v>0</v>
      </c>
    </row>
    <row r="804" spans="1:2" x14ac:dyDescent="0.15">
      <c r="A804" s="7">
        <v>803</v>
      </c>
      <c r="B804" s="7">
        <v>0</v>
      </c>
    </row>
    <row r="805" spans="1:2" x14ac:dyDescent="0.15">
      <c r="A805" s="7">
        <v>804</v>
      </c>
      <c r="B805" s="7">
        <v>0</v>
      </c>
    </row>
    <row r="806" spans="1:2" x14ac:dyDescent="0.15">
      <c r="A806" s="7">
        <v>805</v>
      </c>
      <c r="B806" s="7">
        <v>0</v>
      </c>
    </row>
    <row r="807" spans="1:2" x14ac:dyDescent="0.15">
      <c r="A807" s="7">
        <v>806</v>
      </c>
      <c r="B807" s="7">
        <v>0</v>
      </c>
    </row>
    <row r="808" spans="1:2" x14ac:dyDescent="0.15">
      <c r="A808" s="7">
        <v>807</v>
      </c>
      <c r="B808" s="7">
        <v>0</v>
      </c>
    </row>
    <row r="809" spans="1:2" x14ac:dyDescent="0.15">
      <c r="A809" s="7">
        <v>808</v>
      </c>
      <c r="B809" s="7">
        <v>0</v>
      </c>
    </row>
    <row r="810" spans="1:2" x14ac:dyDescent="0.15">
      <c r="A810" s="7">
        <v>809</v>
      </c>
      <c r="B810" s="7">
        <v>0</v>
      </c>
    </row>
    <row r="811" spans="1:2" x14ac:dyDescent="0.15">
      <c r="A811" s="7">
        <v>810</v>
      </c>
      <c r="B811" s="7">
        <v>0</v>
      </c>
    </row>
    <row r="812" spans="1:2" x14ac:dyDescent="0.15">
      <c r="A812" s="7">
        <v>811</v>
      </c>
      <c r="B812" s="7">
        <v>0</v>
      </c>
    </row>
    <row r="813" spans="1:2" x14ac:dyDescent="0.15">
      <c r="A813" s="7">
        <v>812</v>
      </c>
      <c r="B813" s="7">
        <v>0</v>
      </c>
    </row>
    <row r="814" spans="1:2" x14ac:dyDescent="0.15">
      <c r="A814" s="7">
        <v>813</v>
      </c>
      <c r="B814" s="7">
        <v>0</v>
      </c>
    </row>
    <row r="815" spans="1:2" x14ac:dyDescent="0.15">
      <c r="A815" s="7">
        <v>814</v>
      </c>
      <c r="B815" s="7">
        <v>0</v>
      </c>
    </row>
    <row r="816" spans="1:2" x14ac:dyDescent="0.15">
      <c r="A816" s="7">
        <v>815</v>
      </c>
      <c r="B816" s="7">
        <v>3</v>
      </c>
    </row>
    <row r="817" spans="1:2" x14ac:dyDescent="0.15">
      <c r="A817" s="7">
        <v>816</v>
      </c>
      <c r="B817" s="7">
        <v>2</v>
      </c>
    </row>
    <row r="818" spans="1:2" x14ac:dyDescent="0.15">
      <c r="A818" s="7">
        <v>817</v>
      </c>
      <c r="B818" s="7">
        <v>1</v>
      </c>
    </row>
    <row r="819" spans="1:2" x14ac:dyDescent="0.15">
      <c r="A819" s="7">
        <v>818</v>
      </c>
      <c r="B819" s="7">
        <v>10</v>
      </c>
    </row>
    <row r="820" spans="1:2" x14ac:dyDescent="0.15">
      <c r="A820" s="7">
        <v>819</v>
      </c>
      <c r="B820" s="7">
        <v>0</v>
      </c>
    </row>
    <row r="821" spans="1:2" x14ac:dyDescent="0.15">
      <c r="A821" s="7">
        <v>820</v>
      </c>
      <c r="B821" s="7">
        <v>1</v>
      </c>
    </row>
    <row r="822" spans="1:2" x14ac:dyDescent="0.15">
      <c r="A822" s="7">
        <v>821</v>
      </c>
      <c r="B822" s="7">
        <v>0</v>
      </c>
    </row>
    <row r="823" spans="1:2" x14ac:dyDescent="0.15">
      <c r="A823" s="7">
        <v>822</v>
      </c>
      <c r="B823" s="7">
        <v>1</v>
      </c>
    </row>
    <row r="824" spans="1:2" x14ac:dyDescent="0.15">
      <c r="A824" s="7">
        <v>823</v>
      </c>
      <c r="B824" s="7">
        <v>0</v>
      </c>
    </row>
    <row r="825" spans="1:2" x14ac:dyDescent="0.15">
      <c r="A825" s="7">
        <v>824</v>
      </c>
      <c r="B825" s="7">
        <v>0</v>
      </c>
    </row>
    <row r="826" spans="1:2" x14ac:dyDescent="0.15">
      <c r="A826" s="7">
        <v>825</v>
      </c>
      <c r="B826" s="7">
        <v>1</v>
      </c>
    </row>
    <row r="827" spans="1:2" x14ac:dyDescent="0.15">
      <c r="A827" s="7">
        <v>826</v>
      </c>
      <c r="B827" s="7">
        <v>1</v>
      </c>
    </row>
    <row r="828" spans="1:2" x14ac:dyDescent="0.15">
      <c r="A828" s="7">
        <v>827</v>
      </c>
      <c r="B828" s="7">
        <v>0</v>
      </c>
    </row>
    <row r="829" spans="1:2" x14ac:dyDescent="0.15">
      <c r="A829" s="7">
        <v>828</v>
      </c>
      <c r="B829" s="7">
        <v>0</v>
      </c>
    </row>
    <row r="830" spans="1:2" x14ac:dyDescent="0.15">
      <c r="A830" s="7">
        <v>829</v>
      </c>
      <c r="B830" s="7">
        <v>0</v>
      </c>
    </row>
    <row r="831" spans="1:2" x14ac:dyDescent="0.15">
      <c r="A831" s="7">
        <v>830</v>
      </c>
      <c r="B831" s="7">
        <v>0</v>
      </c>
    </row>
    <row r="832" spans="1:2" x14ac:dyDescent="0.15">
      <c r="A832" s="7">
        <v>831</v>
      </c>
      <c r="B832" s="7">
        <v>0</v>
      </c>
    </row>
    <row r="833" spans="1:2" x14ac:dyDescent="0.15">
      <c r="A833" s="7">
        <v>832</v>
      </c>
      <c r="B833" s="7">
        <v>0</v>
      </c>
    </row>
    <row r="834" spans="1:2" x14ac:dyDescent="0.15">
      <c r="A834" s="7">
        <v>833</v>
      </c>
      <c r="B834" s="7">
        <v>0</v>
      </c>
    </row>
    <row r="835" spans="1:2" x14ac:dyDescent="0.15">
      <c r="A835" s="7">
        <v>834</v>
      </c>
      <c r="B835" s="7">
        <v>0</v>
      </c>
    </row>
    <row r="836" spans="1:2" x14ac:dyDescent="0.15">
      <c r="A836" s="7">
        <v>835</v>
      </c>
      <c r="B836" s="7">
        <v>8</v>
      </c>
    </row>
    <row r="837" spans="1:2" x14ac:dyDescent="0.15">
      <c r="A837" s="7">
        <v>836</v>
      </c>
      <c r="B837" s="7">
        <v>0</v>
      </c>
    </row>
    <row r="838" spans="1:2" x14ac:dyDescent="0.15">
      <c r="A838" s="7">
        <v>837</v>
      </c>
      <c r="B838" s="7">
        <v>0</v>
      </c>
    </row>
    <row r="839" spans="1:2" x14ac:dyDescent="0.15">
      <c r="A839" s="7">
        <v>838</v>
      </c>
      <c r="B839" s="7">
        <v>1</v>
      </c>
    </row>
    <row r="840" spans="1:2" x14ac:dyDescent="0.15">
      <c r="A840" s="7">
        <v>839</v>
      </c>
      <c r="B840" s="7">
        <v>2</v>
      </c>
    </row>
    <row r="841" spans="1:2" x14ac:dyDescent="0.15">
      <c r="A841" s="7">
        <v>840</v>
      </c>
      <c r="B841" s="7">
        <v>7</v>
      </c>
    </row>
    <row r="842" spans="1:2" x14ac:dyDescent="0.15">
      <c r="A842" s="7">
        <v>841</v>
      </c>
      <c r="B842" s="7">
        <v>0</v>
      </c>
    </row>
    <row r="843" spans="1:2" x14ac:dyDescent="0.15">
      <c r="A843" s="7">
        <v>842</v>
      </c>
      <c r="B843" s="7">
        <v>1</v>
      </c>
    </row>
    <row r="844" spans="1:2" x14ac:dyDescent="0.15">
      <c r="A844" s="7">
        <v>843</v>
      </c>
      <c r="B844" s="7">
        <v>0</v>
      </c>
    </row>
    <row r="845" spans="1:2" x14ac:dyDescent="0.15">
      <c r="A845" s="7">
        <v>844</v>
      </c>
      <c r="B845" s="7">
        <v>6</v>
      </c>
    </row>
    <row r="846" spans="1:2" x14ac:dyDescent="0.15">
      <c r="A846" s="7">
        <v>845</v>
      </c>
      <c r="B846" s="7">
        <v>0</v>
      </c>
    </row>
    <row r="847" spans="1:2" x14ac:dyDescent="0.15">
      <c r="A847" s="7">
        <v>846</v>
      </c>
      <c r="B847" s="7">
        <v>0</v>
      </c>
    </row>
    <row r="848" spans="1:2" x14ac:dyDescent="0.15">
      <c r="A848" s="7">
        <v>847</v>
      </c>
      <c r="B848" s="7">
        <v>0</v>
      </c>
    </row>
    <row r="849" spans="1:2" x14ac:dyDescent="0.15">
      <c r="A849" s="7">
        <v>848</v>
      </c>
      <c r="B849" s="7">
        <v>0</v>
      </c>
    </row>
    <row r="850" spans="1:2" x14ac:dyDescent="0.15">
      <c r="A850" s="7">
        <v>849</v>
      </c>
      <c r="B850" s="7">
        <v>0</v>
      </c>
    </row>
    <row r="851" spans="1:2" x14ac:dyDescent="0.15">
      <c r="A851" s="7">
        <v>850</v>
      </c>
      <c r="B851" s="7">
        <v>0</v>
      </c>
    </row>
    <row r="852" spans="1:2" x14ac:dyDescent="0.15">
      <c r="A852" s="7">
        <v>851</v>
      </c>
      <c r="B852" s="7">
        <v>1</v>
      </c>
    </row>
    <row r="853" spans="1:2" x14ac:dyDescent="0.15">
      <c r="A853" s="7">
        <v>852</v>
      </c>
      <c r="B853" s="7">
        <v>1</v>
      </c>
    </row>
    <row r="854" spans="1:2" x14ac:dyDescent="0.15">
      <c r="A854" s="7">
        <v>853</v>
      </c>
      <c r="B854" s="7">
        <v>0</v>
      </c>
    </row>
    <row r="855" spans="1:2" x14ac:dyDescent="0.15">
      <c r="A855" s="7">
        <v>854</v>
      </c>
      <c r="B855" s="7">
        <v>0</v>
      </c>
    </row>
    <row r="856" spans="1:2" x14ac:dyDescent="0.15">
      <c r="A856" s="7">
        <v>855</v>
      </c>
      <c r="B856" s="7">
        <v>0</v>
      </c>
    </row>
    <row r="857" spans="1:2" x14ac:dyDescent="0.15">
      <c r="A857" s="7">
        <v>856</v>
      </c>
      <c r="B857" s="7">
        <v>0</v>
      </c>
    </row>
    <row r="858" spans="1:2" x14ac:dyDescent="0.15">
      <c r="A858" s="7">
        <v>857</v>
      </c>
      <c r="B858" s="7">
        <v>0</v>
      </c>
    </row>
    <row r="859" spans="1:2" x14ac:dyDescent="0.15">
      <c r="A859" s="7">
        <v>858</v>
      </c>
      <c r="B859" s="7">
        <v>0</v>
      </c>
    </row>
    <row r="860" spans="1:2" x14ac:dyDescent="0.15">
      <c r="A860" s="7">
        <v>859</v>
      </c>
      <c r="B860" s="7">
        <v>0</v>
      </c>
    </row>
    <row r="861" spans="1:2" x14ac:dyDescent="0.15">
      <c r="A861" s="7">
        <v>860</v>
      </c>
      <c r="B861" s="7">
        <v>0</v>
      </c>
    </row>
    <row r="862" spans="1:2" x14ac:dyDescent="0.15">
      <c r="A862" s="7">
        <v>861</v>
      </c>
      <c r="B862" s="7">
        <v>0</v>
      </c>
    </row>
    <row r="863" spans="1:2" x14ac:dyDescent="0.15">
      <c r="A863" s="7">
        <v>862</v>
      </c>
      <c r="B863" s="7">
        <v>0</v>
      </c>
    </row>
    <row r="864" spans="1:2" x14ac:dyDescent="0.15">
      <c r="A864" s="7">
        <v>863</v>
      </c>
      <c r="B864" s="7">
        <v>0</v>
      </c>
    </row>
    <row r="865" spans="1:2" x14ac:dyDescent="0.15">
      <c r="A865" s="7">
        <v>864</v>
      </c>
      <c r="B865" s="7">
        <v>0</v>
      </c>
    </row>
    <row r="866" spans="1:2" x14ac:dyDescent="0.15">
      <c r="A866" s="7">
        <v>865</v>
      </c>
      <c r="B866" s="7">
        <v>2</v>
      </c>
    </row>
    <row r="867" spans="1:2" x14ac:dyDescent="0.15">
      <c r="A867" s="7">
        <v>866</v>
      </c>
      <c r="B867" s="7">
        <v>1</v>
      </c>
    </row>
    <row r="868" spans="1:2" x14ac:dyDescent="0.15">
      <c r="A868" s="7">
        <v>867</v>
      </c>
      <c r="B868" s="7">
        <v>1</v>
      </c>
    </row>
    <row r="869" spans="1:2" x14ac:dyDescent="0.15">
      <c r="A869" s="7">
        <v>868</v>
      </c>
      <c r="B869" s="7">
        <v>2</v>
      </c>
    </row>
    <row r="870" spans="1:2" x14ac:dyDescent="0.15">
      <c r="A870" s="7">
        <v>869</v>
      </c>
      <c r="B870" s="7">
        <v>0</v>
      </c>
    </row>
    <row r="871" spans="1:2" x14ac:dyDescent="0.15">
      <c r="A871" s="7">
        <v>870</v>
      </c>
      <c r="B871" s="7">
        <v>0</v>
      </c>
    </row>
    <row r="872" spans="1:2" x14ac:dyDescent="0.15">
      <c r="A872" s="7">
        <v>871</v>
      </c>
      <c r="B872" s="7">
        <v>1</v>
      </c>
    </row>
    <row r="873" spans="1:2" x14ac:dyDescent="0.15">
      <c r="A873" s="7">
        <v>872</v>
      </c>
      <c r="B873" s="7">
        <v>0</v>
      </c>
    </row>
    <row r="874" spans="1:2" x14ac:dyDescent="0.15">
      <c r="A874" s="7">
        <v>873</v>
      </c>
      <c r="B874" s="7">
        <v>0</v>
      </c>
    </row>
    <row r="875" spans="1:2" x14ac:dyDescent="0.15">
      <c r="A875" s="7">
        <v>874</v>
      </c>
      <c r="B875" s="7">
        <v>0</v>
      </c>
    </row>
    <row r="876" spans="1:2" x14ac:dyDescent="0.15">
      <c r="A876" s="7">
        <v>875</v>
      </c>
      <c r="B876" s="7">
        <v>0</v>
      </c>
    </row>
    <row r="877" spans="1:2" x14ac:dyDescent="0.15">
      <c r="A877" s="7">
        <v>876</v>
      </c>
      <c r="B877" s="7">
        <v>0</v>
      </c>
    </row>
    <row r="878" spans="1:2" x14ac:dyDescent="0.15">
      <c r="A878" s="7">
        <v>877</v>
      </c>
      <c r="B878" s="7">
        <v>0</v>
      </c>
    </row>
    <row r="879" spans="1:2" x14ac:dyDescent="0.15">
      <c r="A879" s="7">
        <v>878</v>
      </c>
      <c r="B879" s="7">
        <v>0</v>
      </c>
    </row>
    <row r="880" spans="1:2" x14ac:dyDescent="0.15">
      <c r="A880" s="7">
        <v>879</v>
      </c>
      <c r="B880" s="7">
        <v>2</v>
      </c>
    </row>
    <row r="881" spans="1:2" x14ac:dyDescent="0.15">
      <c r="A881" s="7">
        <v>880</v>
      </c>
      <c r="B881" s="7">
        <v>2</v>
      </c>
    </row>
    <row r="882" spans="1:2" x14ac:dyDescent="0.15">
      <c r="A882" s="7">
        <v>881</v>
      </c>
      <c r="B882" s="7">
        <v>0</v>
      </c>
    </row>
    <row r="883" spans="1:2" x14ac:dyDescent="0.15">
      <c r="A883" s="7">
        <v>882</v>
      </c>
      <c r="B883" s="7">
        <v>2</v>
      </c>
    </row>
    <row r="884" spans="1:2" x14ac:dyDescent="0.15">
      <c r="A884" s="7">
        <v>883</v>
      </c>
      <c r="B884" s="7">
        <v>0</v>
      </c>
    </row>
    <row r="885" spans="1:2" x14ac:dyDescent="0.15">
      <c r="A885" s="7">
        <v>884</v>
      </c>
      <c r="B885" s="7">
        <v>0</v>
      </c>
    </row>
    <row r="886" spans="1:2" x14ac:dyDescent="0.15">
      <c r="A886" s="7">
        <v>885</v>
      </c>
      <c r="B886" s="7">
        <v>0</v>
      </c>
    </row>
    <row r="887" spans="1:2" x14ac:dyDescent="0.15">
      <c r="A887" s="7">
        <v>886</v>
      </c>
      <c r="B887" s="7">
        <v>1</v>
      </c>
    </row>
    <row r="888" spans="1:2" x14ac:dyDescent="0.15">
      <c r="A888" s="7">
        <v>887</v>
      </c>
      <c r="B888" s="7">
        <v>0</v>
      </c>
    </row>
    <row r="889" spans="1:2" x14ac:dyDescent="0.15">
      <c r="A889" s="7">
        <v>888</v>
      </c>
      <c r="B889" s="7">
        <v>0</v>
      </c>
    </row>
    <row r="890" spans="1:2" x14ac:dyDescent="0.15">
      <c r="A890" s="7">
        <v>889</v>
      </c>
      <c r="B890" s="7">
        <v>2</v>
      </c>
    </row>
    <row r="891" spans="1:2" x14ac:dyDescent="0.15">
      <c r="A891" s="7">
        <v>890</v>
      </c>
      <c r="B891" s="7">
        <v>0</v>
      </c>
    </row>
    <row r="892" spans="1:2" x14ac:dyDescent="0.15">
      <c r="A892" s="7">
        <v>891</v>
      </c>
      <c r="B892" s="7">
        <v>0</v>
      </c>
    </row>
    <row r="893" spans="1:2" x14ac:dyDescent="0.15">
      <c r="A893" s="7">
        <v>892</v>
      </c>
      <c r="B893" s="7">
        <v>0</v>
      </c>
    </row>
    <row r="894" spans="1:2" x14ac:dyDescent="0.15">
      <c r="A894" s="7">
        <v>893</v>
      </c>
      <c r="B894" s="7">
        <v>0</v>
      </c>
    </row>
    <row r="895" spans="1:2" x14ac:dyDescent="0.15">
      <c r="A895" s="7">
        <v>894</v>
      </c>
      <c r="B895" s="7">
        <v>0</v>
      </c>
    </row>
    <row r="896" spans="1:2" x14ac:dyDescent="0.15">
      <c r="A896" s="7">
        <v>895</v>
      </c>
      <c r="B896" s="7">
        <v>0</v>
      </c>
    </row>
    <row r="897" spans="1:2" x14ac:dyDescent="0.15">
      <c r="A897" s="7">
        <v>896</v>
      </c>
      <c r="B897" s="7">
        <v>0</v>
      </c>
    </row>
    <row r="898" spans="1:2" x14ac:dyDescent="0.15">
      <c r="A898" s="7">
        <v>897</v>
      </c>
      <c r="B898" s="7">
        <v>0</v>
      </c>
    </row>
    <row r="899" spans="1:2" x14ac:dyDescent="0.15">
      <c r="A899" s="7">
        <v>898</v>
      </c>
      <c r="B899" s="7">
        <v>0</v>
      </c>
    </row>
    <row r="900" spans="1:2" x14ac:dyDescent="0.15">
      <c r="A900" s="7">
        <v>899</v>
      </c>
      <c r="B900" s="7">
        <v>0</v>
      </c>
    </row>
    <row r="901" spans="1:2" x14ac:dyDescent="0.15">
      <c r="A901" s="7">
        <v>900</v>
      </c>
      <c r="B901" s="7">
        <v>2</v>
      </c>
    </row>
    <row r="902" spans="1:2" x14ac:dyDescent="0.15">
      <c r="A902" s="7">
        <v>901</v>
      </c>
      <c r="B902" s="7">
        <v>3</v>
      </c>
    </row>
    <row r="903" spans="1:2" x14ac:dyDescent="0.15">
      <c r="A903" s="7">
        <v>902</v>
      </c>
      <c r="B903" s="7">
        <v>4</v>
      </c>
    </row>
    <row r="904" spans="1:2" x14ac:dyDescent="0.15">
      <c r="A904" s="7">
        <v>903</v>
      </c>
      <c r="B904" s="7">
        <v>4</v>
      </c>
    </row>
    <row r="905" spans="1:2" x14ac:dyDescent="0.15">
      <c r="A905" s="7">
        <v>904</v>
      </c>
      <c r="B905" s="7">
        <v>0</v>
      </c>
    </row>
    <row r="906" spans="1:2" x14ac:dyDescent="0.15">
      <c r="A906" s="7">
        <v>905</v>
      </c>
      <c r="B906" s="7">
        <v>0</v>
      </c>
    </row>
    <row r="907" spans="1:2" x14ac:dyDescent="0.15">
      <c r="A907" s="7">
        <v>906</v>
      </c>
      <c r="B907" s="7">
        <v>6</v>
      </c>
    </row>
    <row r="908" spans="1:2" x14ac:dyDescent="0.15">
      <c r="A908" s="7">
        <v>907</v>
      </c>
      <c r="B908" s="7">
        <v>4</v>
      </c>
    </row>
    <row r="909" spans="1:2" x14ac:dyDescent="0.15">
      <c r="A909" s="7">
        <v>908</v>
      </c>
      <c r="B909" s="7">
        <v>14</v>
      </c>
    </row>
    <row r="910" spans="1:2" x14ac:dyDescent="0.15">
      <c r="A910" s="7">
        <v>909</v>
      </c>
      <c r="B910" s="7">
        <v>0</v>
      </c>
    </row>
    <row r="911" spans="1:2" x14ac:dyDescent="0.15">
      <c r="A911" s="7">
        <v>910</v>
      </c>
      <c r="B911" s="7">
        <v>1</v>
      </c>
    </row>
    <row r="912" spans="1:2" x14ac:dyDescent="0.15">
      <c r="A912" s="7">
        <v>911</v>
      </c>
      <c r="B912" s="7">
        <v>0</v>
      </c>
    </row>
    <row r="913" spans="1:2" x14ac:dyDescent="0.15">
      <c r="A913" s="7">
        <v>912</v>
      </c>
      <c r="B913" s="7">
        <v>4</v>
      </c>
    </row>
    <row r="914" spans="1:2" x14ac:dyDescent="0.15">
      <c r="A914" s="7">
        <v>913</v>
      </c>
      <c r="B914" s="7">
        <v>16</v>
      </c>
    </row>
    <row r="915" spans="1:2" x14ac:dyDescent="0.15">
      <c r="A915" s="7">
        <v>914</v>
      </c>
      <c r="B915" s="7">
        <v>1</v>
      </c>
    </row>
    <row r="916" spans="1:2" x14ac:dyDescent="0.15">
      <c r="A916" s="7">
        <v>915</v>
      </c>
      <c r="B916" s="7">
        <v>0</v>
      </c>
    </row>
    <row r="917" spans="1:2" x14ac:dyDescent="0.15">
      <c r="A917" s="7">
        <v>916</v>
      </c>
      <c r="B917" s="7">
        <v>1</v>
      </c>
    </row>
    <row r="918" spans="1:2" x14ac:dyDescent="0.15">
      <c r="A918" s="7">
        <v>917</v>
      </c>
      <c r="B918" s="7">
        <v>0</v>
      </c>
    </row>
    <row r="919" spans="1:2" x14ac:dyDescent="0.15">
      <c r="A919" s="7">
        <v>918</v>
      </c>
      <c r="B919" s="7">
        <v>0</v>
      </c>
    </row>
    <row r="920" spans="1:2" x14ac:dyDescent="0.15">
      <c r="A920" s="7">
        <v>919</v>
      </c>
      <c r="B920" s="7">
        <v>0</v>
      </c>
    </row>
    <row r="921" spans="1:2" x14ac:dyDescent="0.15">
      <c r="A921" s="7">
        <v>920</v>
      </c>
      <c r="B921" s="7">
        <v>0</v>
      </c>
    </row>
    <row r="922" spans="1:2" x14ac:dyDescent="0.15">
      <c r="A922" s="7">
        <v>921</v>
      </c>
      <c r="B922" s="7">
        <v>0</v>
      </c>
    </row>
    <row r="923" spans="1:2" x14ac:dyDescent="0.15">
      <c r="A923" s="7">
        <v>922</v>
      </c>
      <c r="B923" s="7">
        <v>0</v>
      </c>
    </row>
    <row r="924" spans="1:2" x14ac:dyDescent="0.15">
      <c r="A924" s="7">
        <v>923</v>
      </c>
      <c r="B924" s="7">
        <v>0</v>
      </c>
    </row>
    <row r="925" spans="1:2" x14ac:dyDescent="0.15">
      <c r="A925" s="7">
        <v>924</v>
      </c>
      <c r="B925" s="7">
        <v>0</v>
      </c>
    </row>
    <row r="926" spans="1:2" x14ac:dyDescent="0.15">
      <c r="A926" s="7">
        <v>925</v>
      </c>
      <c r="B926" s="7">
        <v>0</v>
      </c>
    </row>
    <row r="927" spans="1:2" x14ac:dyDescent="0.15">
      <c r="A927" s="7">
        <v>926</v>
      </c>
      <c r="B927" s="7">
        <v>0</v>
      </c>
    </row>
    <row r="928" spans="1:2" x14ac:dyDescent="0.15">
      <c r="A928" s="7">
        <v>927</v>
      </c>
      <c r="B928" s="7">
        <v>4</v>
      </c>
    </row>
    <row r="929" spans="1:2" x14ac:dyDescent="0.15">
      <c r="A929" s="7">
        <v>928</v>
      </c>
      <c r="B929" s="7">
        <v>0</v>
      </c>
    </row>
    <row r="930" spans="1:2" x14ac:dyDescent="0.15">
      <c r="A930" s="7">
        <v>929</v>
      </c>
      <c r="B930" s="7">
        <v>0</v>
      </c>
    </row>
    <row r="931" spans="1:2" x14ac:dyDescent="0.15">
      <c r="A931" s="7">
        <v>930</v>
      </c>
      <c r="B931" s="7">
        <v>0</v>
      </c>
    </row>
    <row r="932" spans="1:2" x14ac:dyDescent="0.15">
      <c r="A932" s="7">
        <v>931</v>
      </c>
      <c r="B932" s="7">
        <v>0</v>
      </c>
    </row>
    <row r="933" spans="1:2" x14ac:dyDescent="0.15">
      <c r="A933" s="7">
        <v>932</v>
      </c>
      <c r="B933" s="7">
        <v>0</v>
      </c>
    </row>
    <row r="934" spans="1:2" x14ac:dyDescent="0.15">
      <c r="A934" s="7">
        <v>933</v>
      </c>
      <c r="B934" s="7">
        <v>0</v>
      </c>
    </row>
    <row r="935" spans="1:2" x14ac:dyDescent="0.15">
      <c r="A935" s="7">
        <v>934</v>
      </c>
      <c r="B935" s="7">
        <v>0</v>
      </c>
    </row>
    <row r="936" spans="1:2" x14ac:dyDescent="0.15">
      <c r="A936" s="7">
        <v>935</v>
      </c>
      <c r="B936" s="7">
        <v>0</v>
      </c>
    </row>
    <row r="937" spans="1:2" x14ac:dyDescent="0.15">
      <c r="A937" s="7">
        <v>936</v>
      </c>
      <c r="B937" s="7">
        <v>0</v>
      </c>
    </row>
    <row r="938" spans="1:2" x14ac:dyDescent="0.15">
      <c r="A938" s="7">
        <v>937</v>
      </c>
      <c r="B938" s="7">
        <v>0</v>
      </c>
    </row>
    <row r="939" spans="1:2" x14ac:dyDescent="0.15">
      <c r="A939" s="7">
        <v>938</v>
      </c>
      <c r="B939" s="7">
        <v>0</v>
      </c>
    </row>
    <row r="940" spans="1:2" x14ac:dyDescent="0.15">
      <c r="A940" s="7">
        <v>939</v>
      </c>
      <c r="B940" s="7">
        <v>3</v>
      </c>
    </row>
    <row r="941" spans="1:2" x14ac:dyDescent="0.15">
      <c r="A941" s="7">
        <v>940</v>
      </c>
      <c r="B941" s="7">
        <v>0</v>
      </c>
    </row>
    <row r="942" spans="1:2" x14ac:dyDescent="0.15">
      <c r="A942" s="7">
        <v>941</v>
      </c>
      <c r="B942" s="7">
        <v>0</v>
      </c>
    </row>
    <row r="943" spans="1:2" x14ac:dyDescent="0.15">
      <c r="A943" s="7">
        <v>942</v>
      </c>
      <c r="B943" s="7">
        <v>0</v>
      </c>
    </row>
    <row r="944" spans="1:2" x14ac:dyDescent="0.15">
      <c r="A944" s="7">
        <v>943</v>
      </c>
      <c r="B944" s="7">
        <v>1</v>
      </c>
    </row>
    <row r="945" spans="1:2" x14ac:dyDescent="0.15">
      <c r="A945" s="7">
        <v>944</v>
      </c>
      <c r="B945" s="7">
        <v>0</v>
      </c>
    </row>
    <row r="946" spans="1:2" x14ac:dyDescent="0.15">
      <c r="A946" s="7">
        <v>945</v>
      </c>
      <c r="B946" s="7">
        <v>2</v>
      </c>
    </row>
    <row r="947" spans="1:2" x14ac:dyDescent="0.15">
      <c r="A947" s="7">
        <v>946</v>
      </c>
      <c r="B947" s="7">
        <v>1</v>
      </c>
    </row>
    <row r="948" spans="1:2" x14ac:dyDescent="0.15">
      <c r="A948" s="7">
        <v>947</v>
      </c>
      <c r="B948" s="7">
        <v>4</v>
      </c>
    </row>
    <row r="949" spans="1:2" x14ac:dyDescent="0.15">
      <c r="A949" s="7">
        <v>948</v>
      </c>
      <c r="B949" s="7">
        <v>5</v>
      </c>
    </row>
    <row r="950" spans="1:2" x14ac:dyDescent="0.15">
      <c r="A950" s="7">
        <v>949</v>
      </c>
      <c r="B950" s="7">
        <v>0</v>
      </c>
    </row>
    <row r="951" spans="1:2" x14ac:dyDescent="0.15">
      <c r="A951" s="7">
        <v>950</v>
      </c>
      <c r="B951" s="7">
        <v>16</v>
      </c>
    </row>
    <row r="952" spans="1:2" x14ac:dyDescent="0.15">
      <c r="A952" s="7">
        <v>951</v>
      </c>
      <c r="B952" s="7">
        <v>1</v>
      </c>
    </row>
    <row r="953" spans="1:2" x14ac:dyDescent="0.15">
      <c r="A953" s="7">
        <v>952</v>
      </c>
      <c r="B953" s="7">
        <v>0</v>
      </c>
    </row>
    <row r="954" spans="1:2" x14ac:dyDescent="0.15">
      <c r="A954" s="7">
        <v>953</v>
      </c>
      <c r="B954" s="7">
        <v>0</v>
      </c>
    </row>
    <row r="955" spans="1:2" x14ac:dyDescent="0.15">
      <c r="A955" s="7">
        <v>954</v>
      </c>
      <c r="B955" s="7">
        <v>0</v>
      </c>
    </row>
    <row r="956" spans="1:2" x14ac:dyDescent="0.15">
      <c r="A956" s="7">
        <v>955</v>
      </c>
      <c r="B956" s="7">
        <v>0</v>
      </c>
    </row>
    <row r="957" spans="1:2" x14ac:dyDescent="0.15">
      <c r="A957" s="7">
        <v>956</v>
      </c>
      <c r="B957" s="7">
        <v>2</v>
      </c>
    </row>
    <row r="958" spans="1:2" x14ac:dyDescent="0.15">
      <c r="A958" s="7">
        <v>957</v>
      </c>
      <c r="B958" s="7">
        <v>0</v>
      </c>
    </row>
    <row r="959" spans="1:2" x14ac:dyDescent="0.15">
      <c r="A959" s="7">
        <v>958</v>
      </c>
      <c r="B959" s="7">
        <v>0</v>
      </c>
    </row>
    <row r="960" spans="1:2" x14ac:dyDescent="0.15">
      <c r="A960" s="7">
        <v>959</v>
      </c>
      <c r="B960" s="7">
        <v>0</v>
      </c>
    </row>
    <row r="961" spans="1:2" x14ac:dyDescent="0.15">
      <c r="A961" s="7">
        <v>960</v>
      </c>
      <c r="B961" s="7">
        <v>0</v>
      </c>
    </row>
    <row r="962" spans="1:2" x14ac:dyDescent="0.15">
      <c r="A962" s="7">
        <v>961</v>
      </c>
      <c r="B962" s="7">
        <v>0</v>
      </c>
    </row>
    <row r="963" spans="1:2" x14ac:dyDescent="0.15">
      <c r="A963" s="7">
        <v>962</v>
      </c>
      <c r="B963" s="7">
        <v>0</v>
      </c>
    </row>
    <row r="964" spans="1:2" x14ac:dyDescent="0.15">
      <c r="A964" s="7">
        <v>963</v>
      </c>
      <c r="B964" s="7">
        <v>0</v>
      </c>
    </row>
    <row r="965" spans="1:2" x14ac:dyDescent="0.15">
      <c r="A965" s="7">
        <v>964</v>
      </c>
      <c r="B965" s="7">
        <v>0</v>
      </c>
    </row>
    <row r="966" spans="1:2" x14ac:dyDescent="0.15">
      <c r="A966" s="7">
        <v>965</v>
      </c>
      <c r="B966" s="7">
        <v>0</v>
      </c>
    </row>
    <row r="967" spans="1:2" x14ac:dyDescent="0.15">
      <c r="A967" s="7">
        <v>966</v>
      </c>
      <c r="B967" s="7">
        <v>0</v>
      </c>
    </row>
    <row r="968" spans="1:2" x14ac:dyDescent="0.15">
      <c r="A968" s="7">
        <v>967</v>
      </c>
      <c r="B968" s="7">
        <v>0</v>
      </c>
    </row>
    <row r="969" spans="1:2" x14ac:dyDescent="0.15">
      <c r="A969" s="7">
        <v>968</v>
      </c>
      <c r="B969" s="7">
        <v>3</v>
      </c>
    </row>
    <row r="970" spans="1:2" x14ac:dyDescent="0.15">
      <c r="A970" s="7">
        <v>969</v>
      </c>
      <c r="B970" s="7">
        <v>0</v>
      </c>
    </row>
    <row r="971" spans="1:2" x14ac:dyDescent="0.15">
      <c r="A971" s="7">
        <v>970</v>
      </c>
      <c r="B971" s="7">
        <v>0</v>
      </c>
    </row>
    <row r="972" spans="1:2" x14ac:dyDescent="0.15">
      <c r="A972" s="7">
        <v>971</v>
      </c>
      <c r="B972" s="7">
        <v>0</v>
      </c>
    </row>
    <row r="973" spans="1:2" x14ac:dyDescent="0.15">
      <c r="A973" s="7">
        <v>972</v>
      </c>
      <c r="B973" s="7">
        <v>0</v>
      </c>
    </row>
    <row r="974" spans="1:2" x14ac:dyDescent="0.15">
      <c r="A974" s="7">
        <v>973</v>
      </c>
      <c r="B974" s="7">
        <v>0</v>
      </c>
    </row>
    <row r="975" spans="1:2" x14ac:dyDescent="0.15">
      <c r="A975" s="7">
        <v>974</v>
      </c>
      <c r="B975" s="7">
        <v>0</v>
      </c>
    </row>
    <row r="976" spans="1:2" x14ac:dyDescent="0.15">
      <c r="A976" s="7">
        <v>975</v>
      </c>
      <c r="B976" s="7">
        <v>0</v>
      </c>
    </row>
    <row r="977" spans="1:2" x14ac:dyDescent="0.15">
      <c r="A977" s="7">
        <v>976</v>
      </c>
      <c r="B977" s="7">
        <v>2</v>
      </c>
    </row>
    <row r="978" spans="1:2" x14ac:dyDescent="0.15">
      <c r="A978" s="7">
        <v>977</v>
      </c>
      <c r="B978" s="7">
        <v>0</v>
      </c>
    </row>
    <row r="979" spans="1:2" x14ac:dyDescent="0.15">
      <c r="A979" s="7">
        <v>978</v>
      </c>
      <c r="B979" s="7">
        <v>0</v>
      </c>
    </row>
    <row r="980" spans="1:2" x14ac:dyDescent="0.15">
      <c r="A980" s="7">
        <v>979</v>
      </c>
      <c r="B980" s="7">
        <v>0</v>
      </c>
    </row>
    <row r="981" spans="1:2" x14ac:dyDescent="0.15">
      <c r="A981" s="7">
        <v>980</v>
      </c>
      <c r="B981" s="7">
        <v>1</v>
      </c>
    </row>
    <row r="982" spans="1:2" x14ac:dyDescent="0.15">
      <c r="A982" s="7">
        <v>981</v>
      </c>
      <c r="B982" s="7">
        <v>0</v>
      </c>
    </row>
    <row r="983" spans="1:2" x14ac:dyDescent="0.15">
      <c r="A983" s="7">
        <v>982</v>
      </c>
      <c r="B983" s="7">
        <v>0</v>
      </c>
    </row>
    <row r="984" spans="1:2" x14ac:dyDescent="0.15">
      <c r="A984" s="7">
        <v>983</v>
      </c>
      <c r="B984" s="7">
        <v>1</v>
      </c>
    </row>
    <row r="985" spans="1:2" x14ac:dyDescent="0.15">
      <c r="A985" s="7">
        <v>984</v>
      </c>
      <c r="B985" s="7">
        <v>0</v>
      </c>
    </row>
    <row r="986" spans="1:2" x14ac:dyDescent="0.15">
      <c r="A986" s="7">
        <v>985</v>
      </c>
      <c r="B986" s="7">
        <v>0</v>
      </c>
    </row>
    <row r="987" spans="1:2" x14ac:dyDescent="0.15">
      <c r="A987" s="7">
        <v>986</v>
      </c>
      <c r="B987" s="7">
        <v>0</v>
      </c>
    </row>
    <row r="988" spans="1:2" x14ac:dyDescent="0.15">
      <c r="A988" s="7">
        <v>987</v>
      </c>
      <c r="B988" s="7">
        <v>5</v>
      </c>
    </row>
    <row r="989" spans="1:2" x14ac:dyDescent="0.15">
      <c r="A989" s="7">
        <v>988</v>
      </c>
      <c r="B989" s="7">
        <v>0</v>
      </c>
    </row>
    <row r="990" spans="1:2" x14ac:dyDescent="0.15">
      <c r="A990" s="7">
        <v>989</v>
      </c>
      <c r="B990" s="7">
        <v>0</v>
      </c>
    </row>
    <row r="991" spans="1:2" x14ac:dyDescent="0.15">
      <c r="A991" s="7">
        <v>990</v>
      </c>
      <c r="B991" s="7">
        <v>2</v>
      </c>
    </row>
    <row r="992" spans="1:2" x14ac:dyDescent="0.15">
      <c r="A992" s="7">
        <v>991</v>
      </c>
      <c r="B992" s="7">
        <v>0</v>
      </c>
    </row>
    <row r="993" spans="1:2" x14ac:dyDescent="0.15">
      <c r="A993" s="7">
        <v>992</v>
      </c>
      <c r="B993" s="7">
        <v>1</v>
      </c>
    </row>
    <row r="994" spans="1:2" x14ac:dyDescent="0.15">
      <c r="A994" s="7">
        <v>993</v>
      </c>
      <c r="B994" s="7">
        <v>0</v>
      </c>
    </row>
    <row r="995" spans="1:2" x14ac:dyDescent="0.15">
      <c r="A995" s="7">
        <v>994</v>
      </c>
      <c r="B995" s="7">
        <v>0</v>
      </c>
    </row>
    <row r="996" spans="1:2" x14ac:dyDescent="0.15">
      <c r="A996" s="7">
        <v>995</v>
      </c>
      <c r="B996" s="7">
        <v>0</v>
      </c>
    </row>
    <row r="997" spans="1:2" x14ac:dyDescent="0.15">
      <c r="A997" s="7">
        <v>996</v>
      </c>
      <c r="B997" s="7">
        <v>34</v>
      </c>
    </row>
    <row r="998" spans="1:2" x14ac:dyDescent="0.15">
      <c r="A998" s="7">
        <v>997</v>
      </c>
      <c r="B998" s="7">
        <v>0</v>
      </c>
    </row>
    <row r="999" spans="1:2" x14ac:dyDescent="0.15">
      <c r="A999" s="7">
        <v>998</v>
      </c>
      <c r="B999" s="7">
        <v>0</v>
      </c>
    </row>
    <row r="1000" spans="1:2" x14ac:dyDescent="0.15">
      <c r="A1000" s="7">
        <v>999</v>
      </c>
      <c r="B1000" s="7">
        <v>0</v>
      </c>
    </row>
    <row r="1001" spans="1:2" x14ac:dyDescent="0.15">
      <c r="A1001" s="7">
        <v>1000</v>
      </c>
      <c r="B1001" s="7">
        <v>1</v>
      </c>
    </row>
    <row r="1002" spans="1:2" x14ac:dyDescent="0.15">
      <c r="A1002" s="7">
        <v>1001</v>
      </c>
      <c r="B1002" s="7">
        <v>0</v>
      </c>
    </row>
    <row r="1003" spans="1:2" x14ac:dyDescent="0.15">
      <c r="A1003" s="7">
        <v>1002</v>
      </c>
      <c r="B1003" s="7">
        <v>0</v>
      </c>
    </row>
    <row r="1004" spans="1:2" x14ac:dyDescent="0.15">
      <c r="A1004" s="7">
        <v>1003</v>
      </c>
      <c r="B1004" s="7">
        <v>0</v>
      </c>
    </row>
    <row r="1005" spans="1:2" x14ac:dyDescent="0.15">
      <c r="A1005" s="7">
        <v>1004</v>
      </c>
      <c r="B1005" s="7">
        <v>0</v>
      </c>
    </row>
    <row r="1006" spans="1:2" x14ac:dyDescent="0.15">
      <c r="A1006" s="7">
        <v>1005</v>
      </c>
      <c r="B1006" s="7">
        <v>4</v>
      </c>
    </row>
    <row r="1007" spans="1:2" x14ac:dyDescent="0.15">
      <c r="A1007" s="7">
        <v>1006</v>
      </c>
      <c r="B1007" s="7">
        <v>2</v>
      </c>
    </row>
    <row r="1008" spans="1:2" x14ac:dyDescent="0.15">
      <c r="A1008" s="7">
        <v>1007</v>
      </c>
      <c r="B1008" s="7">
        <v>0</v>
      </c>
    </row>
    <row r="1009" spans="1:2" x14ac:dyDescent="0.15">
      <c r="A1009" s="7">
        <v>1008</v>
      </c>
      <c r="B1009" s="7">
        <v>2</v>
      </c>
    </row>
    <row r="1010" spans="1:2" x14ac:dyDescent="0.15">
      <c r="A1010" s="7">
        <v>1009</v>
      </c>
      <c r="B1010" s="7">
        <v>0</v>
      </c>
    </row>
    <row r="1011" spans="1:2" x14ac:dyDescent="0.15">
      <c r="A1011" s="7">
        <v>1010</v>
      </c>
      <c r="B1011" s="7">
        <v>0</v>
      </c>
    </row>
    <row r="1012" spans="1:2" x14ac:dyDescent="0.15">
      <c r="A1012" s="7">
        <v>1011</v>
      </c>
      <c r="B1012" s="7">
        <v>0</v>
      </c>
    </row>
    <row r="1013" spans="1:2" x14ac:dyDescent="0.15">
      <c r="A1013" s="7">
        <v>1012</v>
      </c>
      <c r="B1013" s="7">
        <v>0</v>
      </c>
    </row>
    <row r="1014" spans="1:2" x14ac:dyDescent="0.15">
      <c r="A1014" s="7">
        <v>1013</v>
      </c>
      <c r="B1014" s="7">
        <v>0</v>
      </c>
    </row>
    <row r="1015" spans="1:2" x14ac:dyDescent="0.15">
      <c r="A1015" s="7">
        <v>1014</v>
      </c>
      <c r="B1015" s="7">
        <v>0</v>
      </c>
    </row>
    <row r="1016" spans="1:2" x14ac:dyDescent="0.15">
      <c r="A1016" s="7">
        <v>1015</v>
      </c>
      <c r="B1016" s="7">
        <v>0</v>
      </c>
    </row>
    <row r="1017" spans="1:2" x14ac:dyDescent="0.15">
      <c r="A1017" s="7">
        <v>1016</v>
      </c>
      <c r="B1017" s="7">
        <v>0</v>
      </c>
    </row>
    <row r="1018" spans="1:2" x14ac:dyDescent="0.15">
      <c r="A1018" s="7">
        <v>1017</v>
      </c>
      <c r="B1018" s="7">
        <v>0</v>
      </c>
    </row>
    <row r="1019" spans="1:2" x14ac:dyDescent="0.15">
      <c r="A1019" s="7">
        <v>1018</v>
      </c>
      <c r="B1019" s="7">
        <v>0</v>
      </c>
    </row>
    <row r="1020" spans="1:2" x14ac:dyDescent="0.15">
      <c r="A1020" s="7">
        <v>1019</v>
      </c>
      <c r="B1020" s="7">
        <v>0</v>
      </c>
    </row>
    <row r="1021" spans="1:2" x14ac:dyDescent="0.15">
      <c r="A1021" s="7">
        <v>1020</v>
      </c>
      <c r="B1021" s="7">
        <v>0</v>
      </c>
    </row>
    <row r="1022" spans="1:2" x14ac:dyDescent="0.15">
      <c r="A1022" s="7">
        <v>1021</v>
      </c>
      <c r="B1022" s="7">
        <v>1</v>
      </c>
    </row>
    <row r="1023" spans="1:2" x14ac:dyDescent="0.15">
      <c r="A1023" s="7">
        <v>1022</v>
      </c>
      <c r="B1023" s="7">
        <v>1</v>
      </c>
    </row>
    <row r="1024" spans="1:2" x14ac:dyDescent="0.15">
      <c r="A1024" s="7">
        <v>1023</v>
      </c>
      <c r="B1024" s="7">
        <v>20</v>
      </c>
    </row>
    <row r="1025" spans="1:2" x14ac:dyDescent="0.15">
      <c r="A1025" s="7">
        <v>1024</v>
      </c>
      <c r="B1025" s="7">
        <v>1</v>
      </c>
    </row>
    <row r="1026" spans="1:2" x14ac:dyDescent="0.15">
      <c r="A1026" s="7">
        <v>1025</v>
      </c>
      <c r="B1026" s="7">
        <v>0</v>
      </c>
    </row>
    <row r="1027" spans="1:2" x14ac:dyDescent="0.15">
      <c r="A1027" s="7">
        <v>1026</v>
      </c>
      <c r="B1027" s="7">
        <v>2</v>
      </c>
    </row>
    <row r="1028" spans="1:2" x14ac:dyDescent="0.15">
      <c r="A1028" s="7">
        <v>1027</v>
      </c>
      <c r="B1028" s="7">
        <v>0</v>
      </c>
    </row>
    <row r="1029" spans="1:2" x14ac:dyDescent="0.15">
      <c r="A1029" s="7">
        <v>1028</v>
      </c>
      <c r="B1029" s="7">
        <v>0</v>
      </c>
    </row>
    <row r="1030" spans="1:2" x14ac:dyDescent="0.15">
      <c r="A1030" s="7">
        <v>1029</v>
      </c>
      <c r="B1030" s="7">
        <v>1</v>
      </c>
    </row>
    <row r="1031" spans="1:2" x14ac:dyDescent="0.15">
      <c r="A1031" s="7">
        <v>1030</v>
      </c>
      <c r="B1031" s="7">
        <v>1</v>
      </c>
    </row>
    <row r="1032" spans="1:2" x14ac:dyDescent="0.15">
      <c r="A1032" s="7">
        <v>1031</v>
      </c>
      <c r="B1032" s="7">
        <v>1</v>
      </c>
    </row>
    <row r="1033" spans="1:2" x14ac:dyDescent="0.15">
      <c r="A1033" s="7">
        <v>1032</v>
      </c>
      <c r="B1033" s="7">
        <v>1</v>
      </c>
    </row>
    <row r="1034" spans="1:2" x14ac:dyDescent="0.15">
      <c r="A1034" s="7">
        <v>1033</v>
      </c>
      <c r="B1034" s="7">
        <v>3</v>
      </c>
    </row>
    <row r="1035" spans="1:2" x14ac:dyDescent="0.15">
      <c r="A1035" s="7">
        <v>1034</v>
      </c>
      <c r="B1035" s="7">
        <v>4</v>
      </c>
    </row>
    <row r="1036" spans="1:2" x14ac:dyDescent="0.15">
      <c r="A1036" s="7">
        <v>1035</v>
      </c>
      <c r="B1036" s="7">
        <v>0</v>
      </c>
    </row>
    <row r="1037" spans="1:2" x14ac:dyDescent="0.15">
      <c r="A1037" s="7">
        <v>1036</v>
      </c>
      <c r="B1037" s="7">
        <v>0</v>
      </c>
    </row>
    <row r="1038" spans="1:2" x14ac:dyDescent="0.15">
      <c r="A1038" s="7">
        <v>1037</v>
      </c>
      <c r="B1038" s="7">
        <v>0</v>
      </c>
    </row>
    <row r="1039" spans="1:2" x14ac:dyDescent="0.15">
      <c r="A1039" s="7">
        <v>1038</v>
      </c>
      <c r="B1039" s="7">
        <v>0</v>
      </c>
    </row>
    <row r="1040" spans="1:2" x14ac:dyDescent="0.15">
      <c r="A1040" s="7">
        <v>1039</v>
      </c>
      <c r="B1040" s="7">
        <v>0</v>
      </c>
    </row>
    <row r="1041" spans="1:2" x14ac:dyDescent="0.15">
      <c r="A1041" s="7">
        <v>1040</v>
      </c>
      <c r="B1041" s="7">
        <v>0</v>
      </c>
    </row>
    <row r="1042" spans="1:2" x14ac:dyDescent="0.15">
      <c r="A1042" s="7">
        <v>1041</v>
      </c>
      <c r="B1042" s="7">
        <v>0</v>
      </c>
    </row>
    <row r="1043" spans="1:2" x14ac:dyDescent="0.15">
      <c r="A1043" s="7">
        <v>1042</v>
      </c>
      <c r="B1043" s="7">
        <v>0</v>
      </c>
    </row>
    <row r="1044" spans="1:2" x14ac:dyDescent="0.15">
      <c r="A1044" s="7">
        <v>1043</v>
      </c>
      <c r="B1044" s="7">
        <v>0</v>
      </c>
    </row>
    <row r="1045" spans="1:2" x14ac:dyDescent="0.15">
      <c r="A1045" s="7">
        <v>1044</v>
      </c>
      <c r="B1045" s="7">
        <v>5</v>
      </c>
    </row>
    <row r="1046" spans="1:2" x14ac:dyDescent="0.15">
      <c r="A1046" s="7">
        <v>1045</v>
      </c>
      <c r="B1046" s="7">
        <v>0</v>
      </c>
    </row>
    <row r="1047" spans="1:2" x14ac:dyDescent="0.15">
      <c r="A1047" s="7">
        <v>1046</v>
      </c>
      <c r="B1047" s="7">
        <v>0</v>
      </c>
    </row>
    <row r="1048" spans="1:2" x14ac:dyDescent="0.15">
      <c r="A1048" s="7">
        <v>1047</v>
      </c>
      <c r="B1048" s="7">
        <v>0</v>
      </c>
    </row>
    <row r="1049" spans="1:2" x14ac:dyDescent="0.15">
      <c r="A1049" s="7">
        <v>1048</v>
      </c>
      <c r="B1049" s="7">
        <v>0</v>
      </c>
    </row>
    <row r="1050" spans="1:2" x14ac:dyDescent="0.15">
      <c r="A1050" s="7">
        <v>1049</v>
      </c>
      <c r="B1050" s="7">
        <v>0</v>
      </c>
    </row>
    <row r="1051" spans="1:2" x14ac:dyDescent="0.15">
      <c r="A1051" s="7">
        <v>1050</v>
      </c>
      <c r="B1051" s="7">
        <v>0</v>
      </c>
    </row>
    <row r="1052" spans="1:2" x14ac:dyDescent="0.15">
      <c r="A1052" s="7">
        <v>1051</v>
      </c>
      <c r="B1052" s="7">
        <v>0</v>
      </c>
    </row>
    <row r="1053" spans="1:2" x14ac:dyDescent="0.15">
      <c r="A1053" s="7">
        <v>1052</v>
      </c>
      <c r="B1053" s="7">
        <v>0</v>
      </c>
    </row>
    <row r="1054" spans="1:2" x14ac:dyDescent="0.15">
      <c r="A1054" s="7">
        <v>1053</v>
      </c>
      <c r="B1054" s="7">
        <v>1</v>
      </c>
    </row>
    <row r="1055" spans="1:2" x14ac:dyDescent="0.15">
      <c r="A1055" s="7">
        <v>1054</v>
      </c>
      <c r="B1055" s="7">
        <v>2</v>
      </c>
    </row>
    <row r="1056" spans="1:2" x14ac:dyDescent="0.15">
      <c r="A1056" s="7">
        <v>1055</v>
      </c>
      <c r="B1056" s="7">
        <v>1</v>
      </c>
    </row>
    <row r="1057" spans="1:2" x14ac:dyDescent="0.15">
      <c r="A1057" s="7">
        <v>1056</v>
      </c>
      <c r="B1057" s="7">
        <v>1</v>
      </c>
    </row>
    <row r="1058" spans="1:2" x14ac:dyDescent="0.15">
      <c r="A1058" s="7">
        <v>1057</v>
      </c>
      <c r="B1058" s="7">
        <v>0</v>
      </c>
    </row>
    <row r="1059" spans="1:2" x14ac:dyDescent="0.15">
      <c r="A1059" s="7">
        <v>1058</v>
      </c>
      <c r="B1059" s="7">
        <v>0</v>
      </c>
    </row>
    <row r="1060" spans="1:2" x14ac:dyDescent="0.15">
      <c r="A1060" s="7">
        <v>1059</v>
      </c>
      <c r="B1060" s="7">
        <v>0</v>
      </c>
    </row>
    <row r="1061" spans="1:2" x14ac:dyDescent="0.15">
      <c r="A1061" s="7">
        <v>1060</v>
      </c>
      <c r="B1061" s="7">
        <v>0</v>
      </c>
    </row>
    <row r="1062" spans="1:2" x14ac:dyDescent="0.15">
      <c r="A1062" s="7">
        <v>1061</v>
      </c>
      <c r="B1062" s="7">
        <v>0</v>
      </c>
    </row>
    <row r="1063" spans="1:2" x14ac:dyDescent="0.15">
      <c r="A1063" s="7">
        <v>1062</v>
      </c>
      <c r="B1063" s="7">
        <v>0</v>
      </c>
    </row>
    <row r="1064" spans="1:2" x14ac:dyDescent="0.15">
      <c r="A1064" s="7">
        <v>1063</v>
      </c>
      <c r="B1064" s="7">
        <v>0</v>
      </c>
    </row>
    <row r="1065" spans="1:2" x14ac:dyDescent="0.15">
      <c r="A1065" s="7">
        <v>1064</v>
      </c>
      <c r="B1065" s="7">
        <v>0</v>
      </c>
    </row>
    <row r="1066" spans="1:2" x14ac:dyDescent="0.15">
      <c r="A1066" s="7">
        <v>1065</v>
      </c>
      <c r="B1066" s="7">
        <v>0</v>
      </c>
    </row>
    <row r="1067" spans="1:2" x14ac:dyDescent="0.15">
      <c r="A1067" s="7">
        <v>1066</v>
      </c>
      <c r="B1067" s="7">
        <v>5</v>
      </c>
    </row>
    <row r="1068" spans="1:2" x14ac:dyDescent="0.15">
      <c r="A1068" s="7">
        <v>1067</v>
      </c>
      <c r="B1068" s="7">
        <v>0</v>
      </c>
    </row>
    <row r="1069" spans="1:2" x14ac:dyDescent="0.15">
      <c r="A1069" s="7">
        <v>1068</v>
      </c>
      <c r="B1069" s="7">
        <v>0</v>
      </c>
    </row>
    <row r="1070" spans="1:2" x14ac:dyDescent="0.15">
      <c r="A1070" s="7">
        <v>1069</v>
      </c>
      <c r="B1070" s="7">
        <v>0</v>
      </c>
    </row>
    <row r="1071" spans="1:2" x14ac:dyDescent="0.15">
      <c r="A1071" s="7">
        <v>1070</v>
      </c>
      <c r="B1071" s="7">
        <v>0</v>
      </c>
    </row>
    <row r="1072" spans="1:2" x14ac:dyDescent="0.15">
      <c r="A1072" s="7">
        <v>1071</v>
      </c>
      <c r="B1072" s="7">
        <v>0</v>
      </c>
    </row>
    <row r="1073" spans="1:2" x14ac:dyDescent="0.15">
      <c r="A1073" s="7">
        <v>1072</v>
      </c>
      <c r="B1073" s="7">
        <v>0</v>
      </c>
    </row>
    <row r="1074" spans="1:2" x14ac:dyDescent="0.15">
      <c r="A1074" s="7">
        <v>1073</v>
      </c>
      <c r="B1074" s="7">
        <v>1</v>
      </c>
    </row>
    <row r="1075" spans="1:2" x14ac:dyDescent="0.15">
      <c r="A1075" s="7">
        <v>1074</v>
      </c>
      <c r="B1075" s="7">
        <v>0</v>
      </c>
    </row>
    <row r="1076" spans="1:2" x14ac:dyDescent="0.15">
      <c r="A1076" s="7">
        <v>1075</v>
      </c>
      <c r="B1076" s="7">
        <v>0</v>
      </c>
    </row>
    <row r="1077" spans="1:2" x14ac:dyDescent="0.15">
      <c r="A1077" s="7">
        <v>1076</v>
      </c>
      <c r="B1077" s="7">
        <v>0</v>
      </c>
    </row>
    <row r="1078" spans="1:2" x14ac:dyDescent="0.15">
      <c r="A1078" s="7">
        <v>1077</v>
      </c>
      <c r="B1078" s="7">
        <v>0</v>
      </c>
    </row>
    <row r="1079" spans="1:2" x14ac:dyDescent="0.15">
      <c r="A1079" s="7">
        <v>1078</v>
      </c>
      <c r="B1079" s="7">
        <v>0</v>
      </c>
    </row>
    <row r="1080" spans="1:2" x14ac:dyDescent="0.15">
      <c r="A1080" s="7">
        <v>1079</v>
      </c>
      <c r="B1080" s="7">
        <v>0</v>
      </c>
    </row>
    <row r="1081" spans="1:2" x14ac:dyDescent="0.15">
      <c r="A1081" s="7">
        <v>1080</v>
      </c>
      <c r="B1081" s="7">
        <v>0</v>
      </c>
    </row>
    <row r="1082" spans="1:2" x14ac:dyDescent="0.15">
      <c r="A1082" s="7">
        <v>1081</v>
      </c>
      <c r="B1082" s="7">
        <v>0</v>
      </c>
    </row>
    <row r="1083" spans="1:2" x14ac:dyDescent="0.15">
      <c r="A1083" s="7">
        <v>1082</v>
      </c>
      <c r="B1083" s="7">
        <v>0</v>
      </c>
    </row>
    <row r="1084" spans="1:2" x14ac:dyDescent="0.15">
      <c r="A1084" s="7">
        <v>1083</v>
      </c>
      <c r="B1084" s="7">
        <v>4</v>
      </c>
    </row>
    <row r="1085" spans="1:2" x14ac:dyDescent="0.15">
      <c r="A1085" s="7">
        <v>1084</v>
      </c>
      <c r="B1085" s="7">
        <v>0</v>
      </c>
    </row>
    <row r="1086" spans="1:2" x14ac:dyDescent="0.15">
      <c r="A1086" s="7">
        <v>1085</v>
      </c>
      <c r="B1086" s="7">
        <v>0</v>
      </c>
    </row>
    <row r="1087" spans="1:2" x14ac:dyDescent="0.15">
      <c r="A1087" s="7">
        <v>1086</v>
      </c>
      <c r="B1087" s="7">
        <v>0</v>
      </c>
    </row>
    <row r="1088" spans="1:2" x14ac:dyDescent="0.15">
      <c r="A1088" s="7">
        <v>1087</v>
      </c>
      <c r="B1088" s="7">
        <v>0</v>
      </c>
    </row>
    <row r="1089" spans="1:2" x14ac:dyDescent="0.15">
      <c r="A1089" s="7">
        <v>1088</v>
      </c>
      <c r="B1089" s="7">
        <v>0</v>
      </c>
    </row>
    <row r="1090" spans="1:2" x14ac:dyDescent="0.15">
      <c r="A1090" s="7">
        <v>1089</v>
      </c>
      <c r="B1090" s="7">
        <v>0</v>
      </c>
    </row>
    <row r="1091" spans="1:2" x14ac:dyDescent="0.15">
      <c r="A1091" s="7">
        <v>1090</v>
      </c>
      <c r="B1091" s="7">
        <v>0</v>
      </c>
    </row>
    <row r="1092" spans="1:2" x14ac:dyDescent="0.15">
      <c r="A1092" s="7">
        <v>1091</v>
      </c>
      <c r="B1092" s="7">
        <v>0</v>
      </c>
    </row>
    <row r="1093" spans="1:2" x14ac:dyDescent="0.15">
      <c r="A1093" s="7">
        <v>1092</v>
      </c>
      <c r="B1093" s="7">
        <v>0</v>
      </c>
    </row>
    <row r="1094" spans="1:2" x14ac:dyDescent="0.15">
      <c r="A1094" s="7">
        <v>1093</v>
      </c>
      <c r="B1094" s="7">
        <v>0</v>
      </c>
    </row>
    <row r="1095" spans="1:2" x14ac:dyDescent="0.15">
      <c r="A1095" s="7">
        <v>1094</v>
      </c>
      <c r="B1095" s="7">
        <v>0</v>
      </c>
    </row>
    <row r="1096" spans="1:2" x14ac:dyDescent="0.15">
      <c r="A1096" s="7">
        <v>1095</v>
      </c>
      <c r="B1096" s="7">
        <v>0</v>
      </c>
    </row>
    <row r="1097" spans="1:2" x14ac:dyDescent="0.15">
      <c r="A1097" s="7">
        <v>1096</v>
      </c>
      <c r="B1097" s="7">
        <v>0</v>
      </c>
    </row>
    <row r="1098" spans="1:2" x14ac:dyDescent="0.15">
      <c r="A1098" s="7">
        <v>1097</v>
      </c>
      <c r="B1098" s="7">
        <v>1</v>
      </c>
    </row>
    <row r="1099" spans="1:2" x14ac:dyDescent="0.15">
      <c r="A1099" s="7">
        <v>1098</v>
      </c>
      <c r="B1099" s="7">
        <v>0</v>
      </c>
    </row>
    <row r="1100" spans="1:2" x14ac:dyDescent="0.15">
      <c r="A1100" s="7">
        <v>1099</v>
      </c>
      <c r="B1100" s="7">
        <v>4</v>
      </c>
    </row>
    <row r="1101" spans="1:2" x14ac:dyDescent="0.15">
      <c r="A1101" s="7">
        <v>1100</v>
      </c>
      <c r="B1101" s="7">
        <v>0</v>
      </c>
    </row>
    <row r="1102" spans="1:2" x14ac:dyDescent="0.15">
      <c r="A1102" s="7">
        <v>1101</v>
      </c>
      <c r="B1102" s="7">
        <v>0</v>
      </c>
    </row>
    <row r="1103" spans="1:2" x14ac:dyDescent="0.15">
      <c r="A1103" s="7">
        <v>1102</v>
      </c>
      <c r="B1103" s="7">
        <v>5</v>
      </c>
    </row>
    <row r="1104" spans="1:2" x14ac:dyDescent="0.15">
      <c r="A1104" s="7">
        <v>1103</v>
      </c>
      <c r="B1104" s="7">
        <v>0</v>
      </c>
    </row>
    <row r="1105" spans="1:2" x14ac:dyDescent="0.15">
      <c r="A1105" s="7">
        <v>1104</v>
      </c>
      <c r="B1105" s="7">
        <v>1</v>
      </c>
    </row>
    <row r="1106" spans="1:2" x14ac:dyDescent="0.15">
      <c r="A1106" s="7">
        <v>1105</v>
      </c>
      <c r="B1106" s="7">
        <v>0</v>
      </c>
    </row>
    <row r="1107" spans="1:2" x14ac:dyDescent="0.15">
      <c r="A1107" s="7">
        <v>1106</v>
      </c>
      <c r="B1107" s="7">
        <v>0</v>
      </c>
    </row>
    <row r="1108" spans="1:2" x14ac:dyDescent="0.15">
      <c r="A1108" s="7">
        <v>1107</v>
      </c>
      <c r="B1108" s="7">
        <v>0</v>
      </c>
    </row>
    <row r="1109" spans="1:2" x14ac:dyDescent="0.15">
      <c r="A1109" s="7">
        <v>1108</v>
      </c>
      <c r="B1109" s="7">
        <v>0</v>
      </c>
    </row>
    <row r="1110" spans="1:2" x14ac:dyDescent="0.15">
      <c r="A1110" s="7">
        <v>1109</v>
      </c>
      <c r="B1110" s="7">
        <v>0</v>
      </c>
    </row>
    <row r="1111" spans="1:2" x14ac:dyDescent="0.15">
      <c r="A1111" s="7">
        <v>1110</v>
      </c>
      <c r="B1111" s="7">
        <v>1</v>
      </c>
    </row>
    <row r="1112" spans="1:2" x14ac:dyDescent="0.15">
      <c r="A1112" s="7">
        <v>1111</v>
      </c>
      <c r="B1112" s="7">
        <v>0</v>
      </c>
    </row>
    <row r="1113" spans="1:2" x14ac:dyDescent="0.15">
      <c r="A1113" s="7">
        <v>1112</v>
      </c>
      <c r="B1113" s="7">
        <v>0</v>
      </c>
    </row>
    <row r="1114" spans="1:2" x14ac:dyDescent="0.15">
      <c r="A1114" s="7">
        <v>1113</v>
      </c>
      <c r="B1114" s="7">
        <v>0</v>
      </c>
    </row>
    <row r="1115" spans="1:2" x14ac:dyDescent="0.15">
      <c r="A1115" s="7">
        <v>1114</v>
      </c>
      <c r="B1115" s="7">
        <v>0</v>
      </c>
    </row>
    <row r="1116" spans="1:2" x14ac:dyDescent="0.15">
      <c r="A1116" s="7">
        <v>1115</v>
      </c>
      <c r="B1116" s="7">
        <v>2</v>
      </c>
    </row>
    <row r="1117" spans="1:2" x14ac:dyDescent="0.15">
      <c r="A1117" s="7">
        <v>1116</v>
      </c>
      <c r="B1117" s="7">
        <v>0</v>
      </c>
    </row>
    <row r="1118" spans="1:2" x14ac:dyDescent="0.15">
      <c r="A1118" s="7">
        <v>1117</v>
      </c>
      <c r="B1118" s="7">
        <v>7</v>
      </c>
    </row>
    <row r="1119" spans="1:2" x14ac:dyDescent="0.15">
      <c r="A1119" s="7">
        <v>1118</v>
      </c>
      <c r="B1119" s="7">
        <v>1</v>
      </c>
    </row>
    <row r="1120" spans="1:2" x14ac:dyDescent="0.15">
      <c r="A1120" s="7">
        <v>1119</v>
      </c>
      <c r="B1120" s="7">
        <v>0</v>
      </c>
    </row>
    <row r="1121" spans="1:2" x14ac:dyDescent="0.15">
      <c r="A1121" s="7">
        <v>1120</v>
      </c>
      <c r="B1121" s="7">
        <v>0</v>
      </c>
    </row>
    <row r="1122" spans="1:2" x14ac:dyDescent="0.15">
      <c r="A1122" s="7">
        <v>1121</v>
      </c>
      <c r="B1122" s="7">
        <v>0</v>
      </c>
    </row>
    <row r="1123" spans="1:2" x14ac:dyDescent="0.15">
      <c r="A1123" s="7">
        <v>1122</v>
      </c>
      <c r="B1123" s="7">
        <v>0</v>
      </c>
    </row>
    <row r="1124" spans="1:2" x14ac:dyDescent="0.15">
      <c r="A1124" s="7">
        <v>1123</v>
      </c>
      <c r="B1124" s="7">
        <v>1</v>
      </c>
    </row>
    <row r="1125" spans="1:2" x14ac:dyDescent="0.15">
      <c r="A1125" s="7">
        <v>1124</v>
      </c>
      <c r="B1125" s="7">
        <v>0</v>
      </c>
    </row>
    <row r="1126" spans="1:2" x14ac:dyDescent="0.15">
      <c r="A1126" s="7">
        <v>1125</v>
      </c>
      <c r="B1126" s="7">
        <v>0</v>
      </c>
    </row>
    <row r="1127" spans="1:2" x14ac:dyDescent="0.15">
      <c r="A1127" s="7">
        <v>1126</v>
      </c>
      <c r="B1127" s="7">
        <v>0</v>
      </c>
    </row>
    <row r="1128" spans="1:2" x14ac:dyDescent="0.15">
      <c r="A1128" s="7">
        <v>1127</v>
      </c>
      <c r="B1128" s="7">
        <v>0</v>
      </c>
    </row>
    <row r="1129" spans="1:2" x14ac:dyDescent="0.15">
      <c r="A1129" s="7">
        <v>1128</v>
      </c>
      <c r="B1129" s="7">
        <v>0</v>
      </c>
    </row>
    <row r="1130" spans="1:2" x14ac:dyDescent="0.15">
      <c r="A1130" s="7">
        <v>1129</v>
      </c>
      <c r="B1130" s="7">
        <v>0</v>
      </c>
    </row>
    <row r="1131" spans="1:2" x14ac:dyDescent="0.15">
      <c r="A1131" s="7">
        <v>1130</v>
      </c>
      <c r="B1131" s="7">
        <v>0</v>
      </c>
    </row>
    <row r="1132" spans="1:2" x14ac:dyDescent="0.15">
      <c r="A1132" s="7">
        <v>1131</v>
      </c>
      <c r="B1132" s="7">
        <v>0</v>
      </c>
    </row>
    <row r="1133" spans="1:2" x14ac:dyDescent="0.15">
      <c r="A1133" s="7">
        <v>1132</v>
      </c>
      <c r="B1133" s="7">
        <v>0</v>
      </c>
    </row>
    <row r="1134" spans="1:2" x14ac:dyDescent="0.15">
      <c r="A1134" s="7">
        <v>1133</v>
      </c>
      <c r="B1134" s="7">
        <v>0</v>
      </c>
    </row>
    <row r="1135" spans="1:2" x14ac:dyDescent="0.15">
      <c r="A1135" s="7">
        <v>1134</v>
      </c>
      <c r="B1135" s="7">
        <v>1</v>
      </c>
    </row>
    <row r="1136" spans="1:2" x14ac:dyDescent="0.15">
      <c r="A1136" s="7">
        <v>1135</v>
      </c>
      <c r="B1136" s="7">
        <v>0</v>
      </c>
    </row>
    <row r="1137" spans="1:2" x14ac:dyDescent="0.15">
      <c r="A1137" s="7">
        <v>1136</v>
      </c>
      <c r="B1137" s="7">
        <v>0</v>
      </c>
    </row>
    <row r="1138" spans="1:2" x14ac:dyDescent="0.15">
      <c r="A1138" s="7">
        <v>1137</v>
      </c>
      <c r="B1138" s="7">
        <v>0</v>
      </c>
    </row>
    <row r="1139" spans="1:2" x14ac:dyDescent="0.15">
      <c r="A1139" s="7">
        <v>1138</v>
      </c>
      <c r="B1139" s="7">
        <v>0</v>
      </c>
    </row>
    <row r="1140" spans="1:2" x14ac:dyDescent="0.15">
      <c r="A1140" s="7">
        <v>1139</v>
      </c>
      <c r="B1140" s="7">
        <v>0</v>
      </c>
    </row>
    <row r="1141" spans="1:2" x14ac:dyDescent="0.15">
      <c r="A1141" s="7">
        <v>1140</v>
      </c>
      <c r="B1141" s="7">
        <v>0</v>
      </c>
    </row>
    <row r="1142" spans="1:2" x14ac:dyDescent="0.15">
      <c r="A1142" s="7">
        <v>1141</v>
      </c>
      <c r="B1142" s="7">
        <v>0</v>
      </c>
    </row>
    <row r="1143" spans="1:2" x14ac:dyDescent="0.15">
      <c r="A1143" s="7">
        <v>1142</v>
      </c>
      <c r="B1143" s="7">
        <v>0</v>
      </c>
    </row>
    <row r="1144" spans="1:2" x14ac:dyDescent="0.15">
      <c r="A1144" s="7">
        <v>1143</v>
      </c>
      <c r="B1144" s="7">
        <v>0</v>
      </c>
    </row>
    <row r="1145" spans="1:2" x14ac:dyDescent="0.15">
      <c r="A1145" s="7">
        <v>1144</v>
      </c>
      <c r="B1145" s="7">
        <v>0</v>
      </c>
    </row>
    <row r="1146" spans="1:2" x14ac:dyDescent="0.15">
      <c r="A1146" s="7">
        <v>1145</v>
      </c>
      <c r="B1146" s="7">
        <v>0</v>
      </c>
    </row>
    <row r="1147" spans="1:2" x14ac:dyDescent="0.15">
      <c r="A1147" s="7">
        <v>1146</v>
      </c>
      <c r="B1147" s="7">
        <v>0</v>
      </c>
    </row>
    <row r="1148" spans="1:2" x14ac:dyDescent="0.15">
      <c r="A1148" s="7">
        <v>1147</v>
      </c>
      <c r="B1148" s="7">
        <v>0</v>
      </c>
    </row>
    <row r="1149" spans="1:2" x14ac:dyDescent="0.15">
      <c r="A1149" s="7">
        <v>1148</v>
      </c>
      <c r="B1149" s="7">
        <v>0</v>
      </c>
    </row>
    <row r="1150" spans="1:2" x14ac:dyDescent="0.15">
      <c r="A1150" s="7">
        <v>1149</v>
      </c>
      <c r="B1150" s="7">
        <v>0</v>
      </c>
    </row>
    <row r="1151" spans="1:2" x14ac:dyDescent="0.15">
      <c r="A1151" s="7">
        <v>1150</v>
      </c>
      <c r="B1151" s="7">
        <v>0</v>
      </c>
    </row>
    <row r="1152" spans="1:2" x14ac:dyDescent="0.15">
      <c r="A1152" s="7">
        <v>1151</v>
      </c>
      <c r="B1152" s="7">
        <v>0</v>
      </c>
    </row>
    <row r="1153" spans="1:2" x14ac:dyDescent="0.15">
      <c r="A1153" s="7">
        <v>1152</v>
      </c>
      <c r="B1153" s="7">
        <v>0</v>
      </c>
    </row>
    <row r="1154" spans="1:2" x14ac:dyDescent="0.15">
      <c r="A1154" s="7">
        <v>1153</v>
      </c>
      <c r="B1154" s="7">
        <v>33</v>
      </c>
    </row>
    <row r="1155" spans="1:2" x14ac:dyDescent="0.15">
      <c r="A1155" s="7">
        <v>1154</v>
      </c>
      <c r="B1155" s="7">
        <v>0</v>
      </c>
    </row>
    <row r="1156" spans="1:2" x14ac:dyDescent="0.15">
      <c r="A1156" s="7">
        <v>1155</v>
      </c>
      <c r="B1156" s="7">
        <v>0</v>
      </c>
    </row>
    <row r="1157" spans="1:2" x14ac:dyDescent="0.15">
      <c r="A1157" s="7">
        <v>1156</v>
      </c>
      <c r="B1157" s="7">
        <v>0</v>
      </c>
    </row>
    <row r="1158" spans="1:2" x14ac:dyDescent="0.15">
      <c r="A1158" s="7">
        <v>1157</v>
      </c>
      <c r="B1158" s="7">
        <v>8</v>
      </c>
    </row>
    <row r="1159" spans="1:2" x14ac:dyDescent="0.15">
      <c r="A1159" s="7">
        <v>1158</v>
      </c>
      <c r="B1159" s="7">
        <v>2</v>
      </c>
    </row>
    <row r="1160" spans="1:2" x14ac:dyDescent="0.15">
      <c r="A1160" s="7">
        <v>1159</v>
      </c>
      <c r="B1160" s="7">
        <v>0</v>
      </c>
    </row>
    <row r="1161" spans="1:2" x14ac:dyDescent="0.15">
      <c r="A1161" s="7">
        <v>1160</v>
      </c>
      <c r="B1161" s="7">
        <v>0</v>
      </c>
    </row>
    <row r="1162" spans="1:2" x14ac:dyDescent="0.15">
      <c r="A1162" s="7">
        <v>1161</v>
      </c>
      <c r="B1162" s="7">
        <v>1</v>
      </c>
    </row>
    <row r="1163" spans="1:2" x14ac:dyDescent="0.15">
      <c r="A1163" s="7">
        <v>1162</v>
      </c>
      <c r="B1163" s="7">
        <v>1</v>
      </c>
    </row>
    <row r="1164" spans="1:2" x14ac:dyDescent="0.15">
      <c r="A1164" s="7">
        <v>1163</v>
      </c>
      <c r="B1164" s="7">
        <v>0</v>
      </c>
    </row>
    <row r="1165" spans="1:2" x14ac:dyDescent="0.15">
      <c r="A1165" s="7">
        <v>1164</v>
      </c>
      <c r="B1165" s="7">
        <v>0</v>
      </c>
    </row>
    <row r="1166" spans="1:2" x14ac:dyDescent="0.15">
      <c r="A1166" s="7">
        <v>1165</v>
      </c>
      <c r="B1166" s="7">
        <v>0</v>
      </c>
    </row>
    <row r="1167" spans="1:2" x14ac:dyDescent="0.15">
      <c r="A1167" s="7">
        <v>1166</v>
      </c>
      <c r="B1167" s="7">
        <v>0</v>
      </c>
    </row>
    <row r="1168" spans="1:2" x14ac:dyDescent="0.15">
      <c r="A1168" s="7">
        <v>1167</v>
      </c>
      <c r="B1168" s="7">
        <v>0</v>
      </c>
    </row>
    <row r="1169" spans="1:2" x14ac:dyDescent="0.15">
      <c r="A1169" s="7">
        <v>1168</v>
      </c>
      <c r="B1169" s="7">
        <v>3</v>
      </c>
    </row>
    <row r="1170" spans="1:2" x14ac:dyDescent="0.15">
      <c r="A1170" s="7">
        <v>1169</v>
      </c>
      <c r="B1170" s="7">
        <v>0</v>
      </c>
    </row>
    <row r="1171" spans="1:2" x14ac:dyDescent="0.15">
      <c r="A1171" s="7">
        <v>1170</v>
      </c>
      <c r="B1171" s="7">
        <v>27</v>
      </c>
    </row>
    <row r="1172" spans="1:2" x14ac:dyDescent="0.15">
      <c r="A1172" s="7">
        <v>1171</v>
      </c>
      <c r="B1172" s="7">
        <v>4</v>
      </c>
    </row>
    <row r="1173" spans="1:2" x14ac:dyDescent="0.15">
      <c r="A1173" s="7">
        <v>1172</v>
      </c>
      <c r="B1173" s="7">
        <v>2</v>
      </c>
    </row>
    <row r="1174" spans="1:2" x14ac:dyDescent="0.15">
      <c r="A1174" s="7">
        <v>1173</v>
      </c>
      <c r="B1174" s="7">
        <v>2</v>
      </c>
    </row>
    <row r="1175" spans="1:2" x14ac:dyDescent="0.15">
      <c r="A1175" s="7">
        <v>1174</v>
      </c>
      <c r="B1175" s="7">
        <v>0</v>
      </c>
    </row>
    <row r="1176" spans="1:2" x14ac:dyDescent="0.15">
      <c r="A1176" s="7">
        <v>1175</v>
      </c>
      <c r="B1176" s="7">
        <v>0</v>
      </c>
    </row>
    <row r="1177" spans="1:2" x14ac:dyDescent="0.15">
      <c r="A1177" s="7">
        <v>1176</v>
      </c>
      <c r="B1177" s="7">
        <v>1</v>
      </c>
    </row>
    <row r="1178" spans="1:2" x14ac:dyDescent="0.15">
      <c r="A1178" s="7">
        <v>1177</v>
      </c>
      <c r="B1178" s="7">
        <v>0</v>
      </c>
    </row>
    <row r="1179" spans="1:2" x14ac:dyDescent="0.15">
      <c r="A1179" s="7">
        <v>1178</v>
      </c>
      <c r="B1179" s="7">
        <v>0</v>
      </c>
    </row>
    <row r="1180" spans="1:2" x14ac:dyDescent="0.15">
      <c r="A1180" s="7">
        <v>1179</v>
      </c>
      <c r="B1180" s="7">
        <v>0</v>
      </c>
    </row>
    <row r="1181" spans="1:2" x14ac:dyDescent="0.15">
      <c r="A1181" s="7">
        <v>1180</v>
      </c>
      <c r="B1181" s="7">
        <v>0</v>
      </c>
    </row>
    <row r="1182" spans="1:2" x14ac:dyDescent="0.15">
      <c r="A1182" s="7">
        <v>1181</v>
      </c>
      <c r="B1182" s="7">
        <v>0</v>
      </c>
    </row>
    <row r="1183" spans="1:2" x14ac:dyDescent="0.15">
      <c r="A1183" s="7">
        <v>1182</v>
      </c>
      <c r="B1183" s="7">
        <v>0</v>
      </c>
    </row>
    <row r="1184" spans="1:2" x14ac:dyDescent="0.15">
      <c r="A1184" s="7">
        <v>1183</v>
      </c>
      <c r="B1184" s="7">
        <v>0</v>
      </c>
    </row>
    <row r="1185" spans="1:2" x14ac:dyDescent="0.15">
      <c r="A1185" s="7">
        <v>1184</v>
      </c>
      <c r="B1185" s="7">
        <v>0</v>
      </c>
    </row>
    <row r="1186" spans="1:2" x14ac:dyDescent="0.15">
      <c r="A1186" s="7">
        <v>1185</v>
      </c>
      <c r="B1186" s="7">
        <v>0</v>
      </c>
    </row>
    <row r="1187" spans="1:2" x14ac:dyDescent="0.15">
      <c r="A1187" s="7">
        <v>1186</v>
      </c>
      <c r="B1187" s="7">
        <v>0</v>
      </c>
    </row>
    <row r="1188" spans="1:2" x14ac:dyDescent="0.15">
      <c r="A1188" s="7">
        <v>1187</v>
      </c>
      <c r="B1188" s="7">
        <v>0</v>
      </c>
    </row>
    <row r="1189" spans="1:2" x14ac:dyDescent="0.15">
      <c r="A1189" s="7">
        <v>1188</v>
      </c>
      <c r="B1189" s="7">
        <v>1</v>
      </c>
    </row>
    <row r="1190" spans="1:2" x14ac:dyDescent="0.15">
      <c r="A1190" s="7">
        <v>1189</v>
      </c>
      <c r="B1190" s="7">
        <v>0</v>
      </c>
    </row>
    <row r="1191" spans="1:2" x14ac:dyDescent="0.15">
      <c r="A1191" s="7">
        <v>1190</v>
      </c>
      <c r="B1191" s="7">
        <v>6</v>
      </c>
    </row>
    <row r="1192" spans="1:2" x14ac:dyDescent="0.15">
      <c r="A1192" s="7">
        <v>1191</v>
      </c>
      <c r="B1192" s="7">
        <v>0</v>
      </c>
    </row>
    <row r="1193" spans="1:2" x14ac:dyDescent="0.15">
      <c r="A1193" s="7">
        <v>1192</v>
      </c>
      <c r="B1193" s="7">
        <v>1</v>
      </c>
    </row>
    <row r="1194" spans="1:2" x14ac:dyDescent="0.15">
      <c r="A1194" s="7">
        <v>1193</v>
      </c>
      <c r="B1194" s="7">
        <v>0</v>
      </c>
    </row>
    <row r="1195" spans="1:2" x14ac:dyDescent="0.15">
      <c r="A1195" s="7">
        <v>1194</v>
      </c>
      <c r="B1195" s="7">
        <v>0</v>
      </c>
    </row>
    <row r="1196" spans="1:2" x14ac:dyDescent="0.15">
      <c r="A1196" s="7">
        <v>1195</v>
      </c>
      <c r="B1196" s="7">
        <v>0</v>
      </c>
    </row>
    <row r="1197" spans="1:2" x14ac:dyDescent="0.15">
      <c r="A1197" s="7">
        <v>1196</v>
      </c>
      <c r="B1197" s="7">
        <v>0</v>
      </c>
    </row>
    <row r="1198" spans="1:2" x14ac:dyDescent="0.15">
      <c r="A1198" s="7">
        <v>1197</v>
      </c>
      <c r="B1198" s="7">
        <v>0</v>
      </c>
    </row>
    <row r="1199" spans="1:2" x14ac:dyDescent="0.15">
      <c r="A1199" s="7">
        <v>1198</v>
      </c>
      <c r="B1199" s="7">
        <v>0</v>
      </c>
    </row>
    <row r="1200" spans="1:2" x14ac:dyDescent="0.15">
      <c r="A1200" s="7">
        <v>1199</v>
      </c>
      <c r="B1200" s="7">
        <v>1</v>
      </c>
    </row>
    <row r="1201" spans="1:2" x14ac:dyDescent="0.15">
      <c r="A1201" s="7">
        <v>1200</v>
      </c>
      <c r="B1201" s="7">
        <v>0</v>
      </c>
    </row>
    <row r="1202" spans="1:2" x14ac:dyDescent="0.15">
      <c r="A1202" s="7">
        <v>1201</v>
      </c>
      <c r="B1202" s="7">
        <v>0</v>
      </c>
    </row>
    <row r="1203" spans="1:2" x14ac:dyDescent="0.15">
      <c r="A1203" s="7">
        <v>1202</v>
      </c>
      <c r="B1203" s="7">
        <v>0</v>
      </c>
    </row>
    <row r="1204" spans="1:2" x14ac:dyDescent="0.15">
      <c r="A1204" s="7">
        <v>1203</v>
      </c>
      <c r="B1204" s="7">
        <v>0</v>
      </c>
    </row>
    <row r="1205" spans="1:2" x14ac:dyDescent="0.15">
      <c r="A1205" s="7">
        <v>1204</v>
      </c>
      <c r="B1205" s="7">
        <v>2</v>
      </c>
    </row>
    <row r="1206" spans="1:2" x14ac:dyDescent="0.15">
      <c r="A1206" s="7">
        <v>1205</v>
      </c>
      <c r="B1206" s="7">
        <v>0</v>
      </c>
    </row>
    <row r="1207" spans="1:2" x14ac:dyDescent="0.15">
      <c r="A1207" s="7">
        <v>1206</v>
      </c>
      <c r="B1207" s="7">
        <v>0</v>
      </c>
    </row>
    <row r="1208" spans="1:2" x14ac:dyDescent="0.15">
      <c r="A1208" s="7">
        <v>1207</v>
      </c>
      <c r="B1208" s="7">
        <v>0</v>
      </c>
    </row>
    <row r="1209" spans="1:2" x14ac:dyDescent="0.15">
      <c r="A1209" s="7">
        <v>1208</v>
      </c>
      <c r="B1209" s="7">
        <v>0</v>
      </c>
    </row>
    <row r="1210" spans="1:2" x14ac:dyDescent="0.15">
      <c r="A1210" s="7">
        <v>1209</v>
      </c>
      <c r="B1210" s="7">
        <v>0</v>
      </c>
    </row>
    <row r="1211" spans="1:2" x14ac:dyDescent="0.15">
      <c r="A1211" s="7">
        <v>1210</v>
      </c>
      <c r="B1211" s="7">
        <v>1</v>
      </c>
    </row>
    <row r="1212" spans="1:2" x14ac:dyDescent="0.15">
      <c r="A1212" s="7">
        <v>1211</v>
      </c>
      <c r="B1212" s="7">
        <v>1</v>
      </c>
    </row>
    <row r="1213" spans="1:2" x14ac:dyDescent="0.15">
      <c r="A1213" s="7">
        <v>1212</v>
      </c>
      <c r="B1213" s="7">
        <v>0</v>
      </c>
    </row>
    <row r="1214" spans="1:2" x14ac:dyDescent="0.15">
      <c r="A1214" s="7">
        <v>1213</v>
      </c>
      <c r="B1214" s="7">
        <v>1</v>
      </c>
    </row>
    <row r="1215" spans="1:2" x14ac:dyDescent="0.15">
      <c r="A1215" s="7">
        <v>1214</v>
      </c>
      <c r="B1215" s="7">
        <v>0</v>
      </c>
    </row>
    <row r="1216" spans="1:2" x14ac:dyDescent="0.15">
      <c r="A1216" s="7">
        <v>1215</v>
      </c>
      <c r="B1216" s="7">
        <v>0</v>
      </c>
    </row>
    <row r="1217" spans="1:2" x14ac:dyDescent="0.15">
      <c r="A1217" s="7">
        <v>1216</v>
      </c>
      <c r="B1217" s="7">
        <v>0</v>
      </c>
    </row>
    <row r="1218" spans="1:2" x14ac:dyDescent="0.15">
      <c r="A1218" s="7">
        <v>1217</v>
      </c>
      <c r="B1218" s="7">
        <v>0</v>
      </c>
    </row>
    <row r="1219" spans="1:2" x14ac:dyDescent="0.15">
      <c r="A1219" s="7">
        <v>1218</v>
      </c>
      <c r="B1219" s="7">
        <v>0</v>
      </c>
    </row>
    <row r="1220" spans="1:2" x14ac:dyDescent="0.15">
      <c r="A1220" s="7">
        <v>1219</v>
      </c>
      <c r="B1220" s="7">
        <v>0</v>
      </c>
    </row>
    <row r="1221" spans="1:2" x14ac:dyDescent="0.15">
      <c r="A1221" s="7">
        <v>1220</v>
      </c>
      <c r="B1221" s="7">
        <v>0</v>
      </c>
    </row>
    <row r="1222" spans="1:2" x14ac:dyDescent="0.15">
      <c r="A1222" s="7">
        <v>1221</v>
      </c>
      <c r="B1222" s="7">
        <v>0</v>
      </c>
    </row>
    <row r="1223" spans="1:2" x14ac:dyDescent="0.15">
      <c r="A1223" s="7">
        <v>1222</v>
      </c>
      <c r="B1223" s="7">
        <v>2</v>
      </c>
    </row>
    <row r="1224" spans="1:2" x14ac:dyDescent="0.15">
      <c r="A1224" s="7">
        <v>1223</v>
      </c>
      <c r="B1224" s="7">
        <v>0</v>
      </c>
    </row>
    <row r="1225" spans="1:2" x14ac:dyDescent="0.15">
      <c r="A1225" s="7">
        <v>1224</v>
      </c>
      <c r="B1225" s="7">
        <v>0</v>
      </c>
    </row>
    <row r="1226" spans="1:2" x14ac:dyDescent="0.15">
      <c r="A1226" s="7">
        <v>1225</v>
      </c>
      <c r="B1226" s="7">
        <v>0</v>
      </c>
    </row>
    <row r="1227" spans="1:2" x14ac:dyDescent="0.15">
      <c r="A1227" s="7">
        <v>1226</v>
      </c>
      <c r="B1227" s="7">
        <v>0</v>
      </c>
    </row>
    <row r="1228" spans="1:2" x14ac:dyDescent="0.15">
      <c r="A1228" s="7">
        <v>1227</v>
      </c>
      <c r="B1228" s="7">
        <v>0</v>
      </c>
    </row>
    <row r="1229" spans="1:2" x14ac:dyDescent="0.15">
      <c r="A1229" s="7">
        <v>1228</v>
      </c>
      <c r="B1229" s="7">
        <v>0</v>
      </c>
    </row>
    <row r="1230" spans="1:2" x14ac:dyDescent="0.15">
      <c r="A1230" s="7">
        <v>1229</v>
      </c>
      <c r="B1230" s="7">
        <v>1</v>
      </c>
    </row>
    <row r="1231" spans="1:2" x14ac:dyDescent="0.15">
      <c r="A1231" s="7">
        <v>1230</v>
      </c>
      <c r="B1231" s="7">
        <v>16</v>
      </c>
    </row>
    <row r="1232" spans="1:2" x14ac:dyDescent="0.15">
      <c r="A1232" s="7">
        <v>1231</v>
      </c>
      <c r="B1232" s="7">
        <v>3</v>
      </c>
    </row>
    <row r="1233" spans="1:2" x14ac:dyDescent="0.15">
      <c r="A1233" s="7">
        <v>1232</v>
      </c>
      <c r="B1233" s="7">
        <v>0</v>
      </c>
    </row>
    <row r="1234" spans="1:2" x14ac:dyDescent="0.15">
      <c r="A1234" s="7">
        <v>1233</v>
      </c>
      <c r="B1234" s="7">
        <v>0</v>
      </c>
    </row>
    <row r="1235" spans="1:2" x14ac:dyDescent="0.15">
      <c r="A1235" s="7">
        <v>1234</v>
      </c>
      <c r="B1235" s="7">
        <v>0</v>
      </c>
    </row>
    <row r="1236" spans="1:2" x14ac:dyDescent="0.15">
      <c r="A1236" s="7">
        <v>1235</v>
      </c>
      <c r="B1236" s="7">
        <v>9</v>
      </c>
    </row>
    <row r="1237" spans="1:2" x14ac:dyDescent="0.15">
      <c r="A1237" s="7">
        <v>1236</v>
      </c>
      <c r="B1237" s="7">
        <v>0</v>
      </c>
    </row>
    <row r="1238" spans="1:2" x14ac:dyDescent="0.15">
      <c r="A1238" s="7">
        <v>1237</v>
      </c>
      <c r="B1238" s="7">
        <v>0</v>
      </c>
    </row>
    <row r="1239" spans="1:2" x14ac:dyDescent="0.15">
      <c r="A1239" s="7">
        <v>1238</v>
      </c>
      <c r="B1239" s="7">
        <v>0</v>
      </c>
    </row>
    <row r="1240" spans="1:2" x14ac:dyDescent="0.15">
      <c r="A1240" s="7">
        <v>1239</v>
      </c>
      <c r="B1240" s="7">
        <v>0</v>
      </c>
    </row>
    <row r="1241" spans="1:2" x14ac:dyDescent="0.15">
      <c r="A1241" s="7">
        <v>1240</v>
      </c>
      <c r="B1241" s="7">
        <v>2</v>
      </c>
    </row>
    <row r="1242" spans="1:2" x14ac:dyDescent="0.15">
      <c r="A1242" s="7">
        <v>1241</v>
      </c>
      <c r="B1242" s="7">
        <v>2</v>
      </c>
    </row>
    <row r="1243" spans="1:2" x14ac:dyDescent="0.15">
      <c r="A1243" s="7">
        <v>1242</v>
      </c>
      <c r="B1243" s="7">
        <v>0</v>
      </c>
    </row>
    <row r="1244" spans="1:2" x14ac:dyDescent="0.15">
      <c r="A1244" s="7">
        <v>1243</v>
      </c>
      <c r="B1244" s="7">
        <v>0</v>
      </c>
    </row>
    <row r="1245" spans="1:2" x14ac:dyDescent="0.15">
      <c r="A1245" s="7">
        <v>1244</v>
      </c>
      <c r="B1245" s="7">
        <v>0</v>
      </c>
    </row>
    <row r="1246" spans="1:2" x14ac:dyDescent="0.15">
      <c r="A1246" s="7">
        <v>1245</v>
      </c>
      <c r="B1246" s="7">
        <v>0</v>
      </c>
    </row>
    <row r="1247" spans="1:2" x14ac:dyDescent="0.15">
      <c r="A1247" s="7">
        <v>1246</v>
      </c>
      <c r="B1247" s="7">
        <v>2</v>
      </c>
    </row>
    <row r="1248" spans="1:2" x14ac:dyDescent="0.15">
      <c r="A1248" s="7">
        <v>1247</v>
      </c>
      <c r="B1248" s="7">
        <v>4</v>
      </c>
    </row>
    <row r="1249" spans="1:2" x14ac:dyDescent="0.15">
      <c r="A1249" s="7">
        <v>1248</v>
      </c>
      <c r="B1249" s="7">
        <v>0</v>
      </c>
    </row>
    <row r="1250" spans="1:2" x14ac:dyDescent="0.15">
      <c r="A1250" s="7">
        <v>1249</v>
      </c>
      <c r="B1250" s="7">
        <v>0</v>
      </c>
    </row>
    <row r="1251" spans="1:2" x14ac:dyDescent="0.15">
      <c r="A1251" s="7">
        <v>1250</v>
      </c>
      <c r="B1251" s="7">
        <v>0</v>
      </c>
    </row>
    <row r="1252" spans="1:2" x14ac:dyDescent="0.15">
      <c r="A1252" s="7">
        <v>1251</v>
      </c>
      <c r="B1252" s="7">
        <v>0</v>
      </c>
    </row>
    <row r="1253" spans="1:2" x14ac:dyDescent="0.15">
      <c r="A1253" s="7">
        <v>1252</v>
      </c>
      <c r="B1253" s="7">
        <v>0</v>
      </c>
    </row>
    <row r="1254" spans="1:2" x14ac:dyDescent="0.15">
      <c r="A1254" s="7">
        <v>1253</v>
      </c>
      <c r="B1254" s="7">
        <v>3</v>
      </c>
    </row>
    <row r="1255" spans="1:2" x14ac:dyDescent="0.15">
      <c r="A1255" s="7">
        <v>1254</v>
      </c>
      <c r="B1255" s="7">
        <v>0</v>
      </c>
    </row>
    <row r="1256" spans="1:2" x14ac:dyDescent="0.15">
      <c r="A1256" s="7">
        <v>1255</v>
      </c>
      <c r="B1256" s="7">
        <v>0</v>
      </c>
    </row>
    <row r="1257" spans="1:2" x14ac:dyDescent="0.15">
      <c r="A1257" s="7">
        <v>1256</v>
      </c>
      <c r="B1257" s="7">
        <v>0</v>
      </c>
    </row>
    <row r="1258" spans="1:2" x14ac:dyDescent="0.15">
      <c r="A1258" s="7">
        <v>1257</v>
      </c>
      <c r="B1258" s="7">
        <v>0</v>
      </c>
    </row>
    <row r="1259" spans="1:2" x14ac:dyDescent="0.15">
      <c r="A1259" s="7">
        <v>1258</v>
      </c>
      <c r="B1259" s="7">
        <v>0</v>
      </c>
    </row>
    <row r="1260" spans="1:2" x14ac:dyDescent="0.15">
      <c r="A1260" s="7">
        <v>1259</v>
      </c>
      <c r="B1260" s="7">
        <v>0</v>
      </c>
    </row>
    <row r="1261" spans="1:2" x14ac:dyDescent="0.15">
      <c r="A1261" s="7">
        <v>1260</v>
      </c>
      <c r="B1261" s="7">
        <v>1</v>
      </c>
    </row>
    <row r="1262" spans="1:2" x14ac:dyDescent="0.15">
      <c r="A1262" s="7">
        <v>1261</v>
      </c>
      <c r="B1262" s="7">
        <v>0</v>
      </c>
    </row>
    <row r="1263" spans="1:2" x14ac:dyDescent="0.15">
      <c r="A1263" s="7">
        <v>1262</v>
      </c>
      <c r="B1263" s="7">
        <v>0</v>
      </c>
    </row>
    <row r="1264" spans="1:2" x14ac:dyDescent="0.15">
      <c r="A1264" s="7">
        <v>1263</v>
      </c>
      <c r="B1264" s="7">
        <v>0</v>
      </c>
    </row>
    <row r="1265" spans="1:2" x14ac:dyDescent="0.15">
      <c r="A1265" s="7">
        <v>1264</v>
      </c>
      <c r="B1265" s="7">
        <v>2</v>
      </c>
    </row>
    <row r="1266" spans="1:2" x14ac:dyDescent="0.15">
      <c r="A1266" s="7">
        <v>1265</v>
      </c>
      <c r="B1266" s="7">
        <v>0</v>
      </c>
    </row>
    <row r="1267" spans="1:2" x14ac:dyDescent="0.15">
      <c r="A1267" s="7">
        <v>1266</v>
      </c>
      <c r="B1267" s="7">
        <v>1</v>
      </c>
    </row>
    <row r="1268" spans="1:2" x14ac:dyDescent="0.15">
      <c r="A1268" s="7">
        <v>1267</v>
      </c>
      <c r="B1268" s="7">
        <v>0</v>
      </c>
    </row>
    <row r="1269" spans="1:2" x14ac:dyDescent="0.15">
      <c r="A1269" s="7">
        <v>1268</v>
      </c>
      <c r="B1269" s="7">
        <v>0</v>
      </c>
    </row>
    <row r="1270" spans="1:2" x14ac:dyDescent="0.15">
      <c r="A1270" s="7">
        <v>1269</v>
      </c>
      <c r="B1270" s="7">
        <v>3</v>
      </c>
    </row>
    <row r="1271" spans="1:2" x14ac:dyDescent="0.15">
      <c r="A1271" s="7">
        <v>1270</v>
      </c>
      <c r="B1271" s="7">
        <v>0</v>
      </c>
    </row>
    <row r="1272" spans="1:2" x14ac:dyDescent="0.15">
      <c r="A1272" s="7">
        <v>1271</v>
      </c>
      <c r="B1272" s="7">
        <v>0</v>
      </c>
    </row>
    <row r="1273" spans="1:2" x14ac:dyDescent="0.15">
      <c r="A1273" s="7">
        <v>1272</v>
      </c>
      <c r="B1273" s="7">
        <v>3</v>
      </c>
    </row>
    <row r="1274" spans="1:2" x14ac:dyDescent="0.15">
      <c r="A1274" s="7">
        <v>1273</v>
      </c>
      <c r="B1274" s="7">
        <v>0</v>
      </c>
    </row>
    <row r="1275" spans="1:2" x14ac:dyDescent="0.15">
      <c r="A1275" s="7">
        <v>1274</v>
      </c>
      <c r="B1275" s="7">
        <v>0</v>
      </c>
    </row>
    <row r="1276" spans="1:2" x14ac:dyDescent="0.15">
      <c r="A1276" s="7">
        <v>1275</v>
      </c>
      <c r="B1276" s="7">
        <v>0</v>
      </c>
    </row>
    <row r="1277" spans="1:2" x14ac:dyDescent="0.15">
      <c r="A1277" s="7">
        <v>1276</v>
      </c>
      <c r="B1277" s="7">
        <v>0</v>
      </c>
    </row>
    <row r="1278" spans="1:2" x14ac:dyDescent="0.15">
      <c r="A1278" s="7">
        <v>1277</v>
      </c>
      <c r="B1278" s="7">
        <v>0</v>
      </c>
    </row>
    <row r="1279" spans="1:2" x14ac:dyDescent="0.15">
      <c r="A1279" s="7">
        <v>1278</v>
      </c>
      <c r="B1279" s="7">
        <v>1</v>
      </c>
    </row>
    <row r="1280" spans="1:2" x14ac:dyDescent="0.15">
      <c r="A1280" s="7">
        <v>1279</v>
      </c>
      <c r="B1280" s="7">
        <v>0</v>
      </c>
    </row>
    <row r="1281" spans="1:2" x14ac:dyDescent="0.15">
      <c r="A1281" s="7">
        <v>1280</v>
      </c>
      <c r="B1281" s="7">
        <v>6</v>
      </c>
    </row>
    <row r="1282" spans="1:2" x14ac:dyDescent="0.15">
      <c r="A1282" s="7">
        <v>1281</v>
      </c>
      <c r="B1282" s="7">
        <v>0</v>
      </c>
    </row>
    <row r="1283" spans="1:2" x14ac:dyDescent="0.15">
      <c r="A1283" s="7">
        <v>1282</v>
      </c>
      <c r="B1283" s="7">
        <v>0</v>
      </c>
    </row>
    <row r="1284" spans="1:2" x14ac:dyDescent="0.15">
      <c r="A1284" s="7">
        <v>1283</v>
      </c>
      <c r="B1284" s="7">
        <v>42</v>
      </c>
    </row>
    <row r="1285" spans="1:2" x14ac:dyDescent="0.15">
      <c r="A1285" s="7">
        <v>1284</v>
      </c>
      <c r="B1285" s="7">
        <v>0</v>
      </c>
    </row>
    <row r="1286" spans="1:2" x14ac:dyDescent="0.15">
      <c r="A1286" s="7">
        <v>1285</v>
      </c>
      <c r="B1286" s="7">
        <v>0</v>
      </c>
    </row>
    <row r="1287" spans="1:2" x14ac:dyDescent="0.15">
      <c r="A1287" s="7">
        <v>1286</v>
      </c>
      <c r="B1287" s="7">
        <v>0</v>
      </c>
    </row>
    <row r="1288" spans="1:2" x14ac:dyDescent="0.15">
      <c r="A1288" s="7">
        <v>1287</v>
      </c>
      <c r="B1288" s="7">
        <v>0</v>
      </c>
    </row>
    <row r="1289" spans="1:2" x14ac:dyDescent="0.15">
      <c r="A1289" s="7">
        <v>1288</v>
      </c>
      <c r="B1289" s="7">
        <v>0</v>
      </c>
    </row>
    <row r="1290" spans="1:2" x14ac:dyDescent="0.15">
      <c r="A1290" s="7">
        <v>1289</v>
      </c>
      <c r="B1290" s="7">
        <v>0</v>
      </c>
    </row>
    <row r="1291" spans="1:2" x14ac:dyDescent="0.15">
      <c r="A1291" s="7">
        <v>1290</v>
      </c>
      <c r="B1291" s="7">
        <v>0</v>
      </c>
    </row>
    <row r="1292" spans="1:2" x14ac:dyDescent="0.15">
      <c r="A1292" s="7">
        <v>1291</v>
      </c>
      <c r="B1292" s="7">
        <v>1</v>
      </c>
    </row>
    <row r="1293" spans="1:2" x14ac:dyDescent="0.15">
      <c r="A1293" s="7">
        <v>1292</v>
      </c>
      <c r="B1293" s="7">
        <v>0</v>
      </c>
    </row>
    <row r="1294" spans="1:2" x14ac:dyDescent="0.15">
      <c r="A1294" s="7">
        <v>1293</v>
      </c>
      <c r="B1294" s="7">
        <v>0</v>
      </c>
    </row>
    <row r="1295" spans="1:2" x14ac:dyDescent="0.15">
      <c r="A1295" s="7">
        <v>1294</v>
      </c>
      <c r="B1295" s="7">
        <v>0</v>
      </c>
    </row>
    <row r="1296" spans="1:2" x14ac:dyDescent="0.15">
      <c r="A1296" s="7">
        <v>1295</v>
      </c>
      <c r="B1296" s="7">
        <v>2</v>
      </c>
    </row>
    <row r="1297" spans="1:2" x14ac:dyDescent="0.15">
      <c r="A1297" s="7">
        <v>1296</v>
      </c>
      <c r="B1297" s="7">
        <v>0</v>
      </c>
    </row>
    <row r="1298" spans="1:2" x14ac:dyDescent="0.15">
      <c r="A1298" s="7">
        <v>1297</v>
      </c>
      <c r="B1298" s="7">
        <v>0</v>
      </c>
    </row>
    <row r="1299" spans="1:2" x14ac:dyDescent="0.15">
      <c r="A1299" s="7">
        <v>1298</v>
      </c>
      <c r="B1299" s="7">
        <v>0</v>
      </c>
    </row>
    <row r="1300" spans="1:2" x14ac:dyDescent="0.15">
      <c r="A1300" s="7">
        <v>1299</v>
      </c>
      <c r="B1300" s="7">
        <v>0</v>
      </c>
    </row>
    <row r="1301" spans="1:2" x14ac:dyDescent="0.15">
      <c r="A1301" s="7">
        <v>1300</v>
      </c>
      <c r="B1301" s="7">
        <v>0</v>
      </c>
    </row>
    <row r="1302" spans="1:2" x14ac:dyDescent="0.15">
      <c r="A1302" s="7">
        <v>1301</v>
      </c>
      <c r="B1302" s="7">
        <v>0</v>
      </c>
    </row>
    <row r="1303" spans="1:2" x14ac:dyDescent="0.15">
      <c r="A1303" s="7">
        <v>1302</v>
      </c>
      <c r="B1303" s="7">
        <v>0</v>
      </c>
    </row>
    <row r="1304" spans="1:2" x14ac:dyDescent="0.15">
      <c r="A1304" s="7">
        <v>1303</v>
      </c>
      <c r="B1304" s="7">
        <v>0</v>
      </c>
    </row>
    <row r="1305" spans="1:2" x14ac:dyDescent="0.15">
      <c r="A1305" s="7">
        <v>1304</v>
      </c>
      <c r="B1305" s="7">
        <v>0</v>
      </c>
    </row>
    <row r="1306" spans="1:2" x14ac:dyDescent="0.15">
      <c r="A1306" s="7">
        <v>1305</v>
      </c>
      <c r="B1306" s="7">
        <v>0</v>
      </c>
    </row>
    <row r="1307" spans="1:2" x14ac:dyDescent="0.15">
      <c r="A1307" s="7">
        <v>1306</v>
      </c>
      <c r="B1307" s="7">
        <v>0</v>
      </c>
    </row>
    <row r="1308" spans="1:2" x14ac:dyDescent="0.15">
      <c r="A1308" s="7">
        <v>1307</v>
      </c>
      <c r="B1308" s="7">
        <v>0</v>
      </c>
    </row>
    <row r="1309" spans="1:2" x14ac:dyDescent="0.15">
      <c r="A1309" s="7">
        <v>1308</v>
      </c>
      <c r="B1309" s="7">
        <v>0</v>
      </c>
    </row>
    <row r="1310" spans="1:2" x14ac:dyDescent="0.15">
      <c r="A1310" s="7">
        <v>1309</v>
      </c>
      <c r="B1310" s="7">
        <v>0</v>
      </c>
    </row>
    <row r="1311" spans="1:2" x14ac:dyDescent="0.15">
      <c r="A1311" s="7">
        <v>1310</v>
      </c>
      <c r="B1311" s="7">
        <v>0</v>
      </c>
    </row>
    <row r="1312" spans="1:2" x14ac:dyDescent="0.15">
      <c r="A1312" s="7">
        <v>1311</v>
      </c>
      <c r="B1312" s="7">
        <v>0</v>
      </c>
    </row>
    <row r="1313" spans="1:2" x14ac:dyDescent="0.15">
      <c r="A1313" s="7">
        <v>1312</v>
      </c>
      <c r="B1313" s="7">
        <v>7</v>
      </c>
    </row>
    <row r="1314" spans="1:2" x14ac:dyDescent="0.15">
      <c r="A1314" s="7">
        <v>1313</v>
      </c>
      <c r="B1314" s="7">
        <v>0</v>
      </c>
    </row>
    <row r="1315" spans="1:2" x14ac:dyDescent="0.15">
      <c r="A1315" s="7">
        <v>1314</v>
      </c>
      <c r="B1315" s="7">
        <v>0</v>
      </c>
    </row>
    <row r="1316" spans="1:2" x14ac:dyDescent="0.15">
      <c r="A1316" s="7">
        <v>1315</v>
      </c>
      <c r="B1316" s="7">
        <v>1</v>
      </c>
    </row>
    <row r="1317" spans="1:2" x14ac:dyDescent="0.15">
      <c r="A1317" s="7">
        <v>1316</v>
      </c>
      <c r="B1317" s="7">
        <v>0</v>
      </c>
    </row>
    <row r="1318" spans="1:2" x14ac:dyDescent="0.15">
      <c r="A1318" s="7">
        <v>1317</v>
      </c>
      <c r="B1318" s="7">
        <v>0</v>
      </c>
    </row>
    <row r="1319" spans="1:2" x14ac:dyDescent="0.15">
      <c r="A1319" s="7">
        <v>1318</v>
      </c>
      <c r="B1319" s="7">
        <v>0</v>
      </c>
    </row>
    <row r="1320" spans="1:2" x14ac:dyDescent="0.15">
      <c r="A1320" s="7">
        <v>1319</v>
      </c>
      <c r="B1320" s="7">
        <v>0</v>
      </c>
    </row>
    <row r="1321" spans="1:2" x14ac:dyDescent="0.15">
      <c r="A1321" s="7">
        <v>1320</v>
      </c>
      <c r="B1321" s="7">
        <v>2</v>
      </c>
    </row>
    <row r="1322" spans="1:2" x14ac:dyDescent="0.15">
      <c r="A1322" s="7">
        <v>1321</v>
      </c>
      <c r="B1322" s="7">
        <v>0</v>
      </c>
    </row>
    <row r="1323" spans="1:2" x14ac:dyDescent="0.15">
      <c r="A1323" s="7">
        <v>1322</v>
      </c>
      <c r="B1323" s="7">
        <v>0</v>
      </c>
    </row>
    <row r="1324" spans="1:2" x14ac:dyDescent="0.15">
      <c r="A1324" s="7">
        <v>1323</v>
      </c>
      <c r="B1324" s="7">
        <v>0</v>
      </c>
    </row>
    <row r="1325" spans="1:2" x14ac:dyDescent="0.15">
      <c r="A1325" s="7">
        <v>1324</v>
      </c>
      <c r="B1325" s="7">
        <v>0</v>
      </c>
    </row>
    <row r="1326" spans="1:2" x14ac:dyDescent="0.15">
      <c r="A1326" s="7">
        <v>1325</v>
      </c>
      <c r="B1326" s="7">
        <v>0</v>
      </c>
    </row>
    <row r="1327" spans="1:2" x14ac:dyDescent="0.15">
      <c r="A1327" s="7">
        <v>1326</v>
      </c>
      <c r="B1327" s="7">
        <v>0</v>
      </c>
    </row>
    <row r="1328" spans="1:2" x14ac:dyDescent="0.15">
      <c r="A1328" s="7">
        <v>1327</v>
      </c>
      <c r="B1328" s="7">
        <v>0</v>
      </c>
    </row>
    <row r="1329" spans="1:2" x14ac:dyDescent="0.15">
      <c r="A1329" s="7">
        <v>1328</v>
      </c>
      <c r="B1329" s="7">
        <v>0</v>
      </c>
    </row>
    <row r="1330" spans="1:2" x14ac:dyDescent="0.15">
      <c r="A1330" s="7">
        <v>1329</v>
      </c>
      <c r="B1330" s="7">
        <v>2</v>
      </c>
    </row>
    <row r="1331" spans="1:2" x14ac:dyDescent="0.15">
      <c r="A1331" s="7">
        <v>1330</v>
      </c>
      <c r="B1331" s="7">
        <v>0</v>
      </c>
    </row>
    <row r="1332" spans="1:2" x14ac:dyDescent="0.15">
      <c r="A1332" s="7">
        <v>1331</v>
      </c>
      <c r="B1332" s="7">
        <v>1</v>
      </c>
    </row>
    <row r="1333" spans="1:2" x14ac:dyDescent="0.15">
      <c r="A1333" s="7">
        <v>1332</v>
      </c>
      <c r="B1333" s="7">
        <v>0</v>
      </c>
    </row>
    <row r="1334" spans="1:2" x14ac:dyDescent="0.15">
      <c r="A1334" s="7">
        <v>1333</v>
      </c>
      <c r="B1334" s="7">
        <v>5</v>
      </c>
    </row>
    <row r="1335" spans="1:2" x14ac:dyDescent="0.15">
      <c r="A1335" s="7">
        <v>1334</v>
      </c>
      <c r="B1335" s="7">
        <v>0</v>
      </c>
    </row>
    <row r="1336" spans="1:2" x14ac:dyDescent="0.15">
      <c r="A1336" s="7">
        <v>1335</v>
      </c>
      <c r="B1336" s="7">
        <v>0</v>
      </c>
    </row>
    <row r="1337" spans="1:2" x14ac:dyDescent="0.15">
      <c r="A1337" s="7">
        <v>1336</v>
      </c>
      <c r="B1337" s="7">
        <v>0</v>
      </c>
    </row>
    <row r="1338" spans="1:2" x14ac:dyDescent="0.15">
      <c r="A1338" s="7">
        <v>1337</v>
      </c>
      <c r="B1338" s="7">
        <v>1</v>
      </c>
    </row>
    <row r="1339" spans="1:2" x14ac:dyDescent="0.15">
      <c r="A1339" s="7">
        <v>1338</v>
      </c>
      <c r="B1339" s="7">
        <v>5</v>
      </c>
    </row>
    <row r="1340" spans="1:2" x14ac:dyDescent="0.15">
      <c r="A1340" s="7">
        <v>1339</v>
      </c>
      <c r="B1340" s="7">
        <v>1</v>
      </c>
    </row>
    <row r="1341" spans="1:2" x14ac:dyDescent="0.15">
      <c r="A1341" s="7">
        <v>1340</v>
      </c>
      <c r="B1341" s="7">
        <v>0</v>
      </c>
    </row>
    <row r="1342" spans="1:2" x14ac:dyDescent="0.15">
      <c r="A1342" s="7">
        <v>1341</v>
      </c>
      <c r="B1342" s="7">
        <v>0</v>
      </c>
    </row>
    <row r="1343" spans="1:2" x14ac:dyDescent="0.15">
      <c r="A1343" s="7">
        <v>1342</v>
      </c>
      <c r="B1343" s="7">
        <v>0</v>
      </c>
    </row>
    <row r="1344" spans="1:2" x14ac:dyDescent="0.15">
      <c r="A1344" s="7">
        <v>1343</v>
      </c>
      <c r="B1344" s="7">
        <v>2</v>
      </c>
    </row>
    <row r="1345" spans="1:2" x14ac:dyDescent="0.15">
      <c r="A1345" s="7">
        <v>1344</v>
      </c>
      <c r="B1345" s="7">
        <v>0</v>
      </c>
    </row>
    <row r="1346" spans="1:2" x14ac:dyDescent="0.15">
      <c r="A1346" s="7">
        <v>1345</v>
      </c>
      <c r="B1346" s="7">
        <v>0</v>
      </c>
    </row>
    <row r="1347" spans="1:2" x14ac:dyDescent="0.15">
      <c r="A1347" s="7">
        <v>1346</v>
      </c>
      <c r="B1347" s="7">
        <v>0</v>
      </c>
    </row>
    <row r="1348" spans="1:2" x14ac:dyDescent="0.15">
      <c r="A1348" s="7">
        <v>1347</v>
      </c>
      <c r="B1348" s="7">
        <v>8</v>
      </c>
    </row>
    <row r="1349" spans="1:2" x14ac:dyDescent="0.15">
      <c r="A1349" s="7">
        <v>1348</v>
      </c>
      <c r="B1349" s="7">
        <v>0</v>
      </c>
    </row>
    <row r="1350" spans="1:2" x14ac:dyDescent="0.15">
      <c r="A1350" s="7">
        <v>1349</v>
      </c>
      <c r="B1350" s="7">
        <v>0</v>
      </c>
    </row>
    <row r="1351" spans="1:2" x14ac:dyDescent="0.15">
      <c r="A1351" s="7">
        <v>1350</v>
      </c>
      <c r="B1351" s="7">
        <v>7</v>
      </c>
    </row>
    <row r="1352" spans="1:2" x14ac:dyDescent="0.15">
      <c r="A1352" s="7">
        <v>1351</v>
      </c>
      <c r="B1352" s="7">
        <v>0</v>
      </c>
    </row>
    <row r="1353" spans="1:2" x14ac:dyDescent="0.15">
      <c r="A1353" s="7">
        <v>1352</v>
      </c>
      <c r="B1353" s="7">
        <v>0</v>
      </c>
    </row>
    <row r="1354" spans="1:2" x14ac:dyDescent="0.15">
      <c r="A1354" s="7">
        <v>1353</v>
      </c>
      <c r="B1354" s="7">
        <v>0</v>
      </c>
    </row>
    <row r="1355" spans="1:2" x14ac:dyDescent="0.15">
      <c r="A1355" s="7">
        <v>1354</v>
      </c>
      <c r="B1355" s="7">
        <v>0</v>
      </c>
    </row>
    <row r="1356" spans="1:2" x14ac:dyDescent="0.15">
      <c r="A1356" s="7">
        <v>1355</v>
      </c>
      <c r="B1356" s="7">
        <v>0</v>
      </c>
    </row>
    <row r="1357" spans="1:2" x14ac:dyDescent="0.15">
      <c r="A1357" s="7">
        <v>1356</v>
      </c>
      <c r="B1357" s="7">
        <v>0</v>
      </c>
    </row>
    <row r="1358" spans="1:2" x14ac:dyDescent="0.15">
      <c r="A1358" s="7">
        <v>1357</v>
      </c>
      <c r="B1358" s="7">
        <v>0</v>
      </c>
    </row>
    <row r="1359" spans="1:2" x14ac:dyDescent="0.15">
      <c r="A1359" s="7">
        <v>1358</v>
      </c>
      <c r="B1359" s="7">
        <v>0</v>
      </c>
    </row>
    <row r="1360" spans="1:2" x14ac:dyDescent="0.15">
      <c r="A1360" s="7">
        <v>1359</v>
      </c>
      <c r="B1360" s="7">
        <v>0</v>
      </c>
    </row>
    <row r="1361" spans="1:2" x14ac:dyDescent="0.15">
      <c r="A1361" s="7">
        <v>1360</v>
      </c>
      <c r="B1361" s="7">
        <v>0</v>
      </c>
    </row>
    <row r="1362" spans="1:2" x14ac:dyDescent="0.15">
      <c r="A1362" s="7">
        <v>1361</v>
      </c>
      <c r="B1362" s="7">
        <v>0</v>
      </c>
    </row>
    <row r="1363" spans="1:2" x14ac:dyDescent="0.15">
      <c r="A1363" s="7">
        <v>1362</v>
      </c>
      <c r="B1363" s="7">
        <v>0</v>
      </c>
    </row>
    <row r="1364" spans="1:2" x14ac:dyDescent="0.15">
      <c r="A1364" s="7">
        <v>1363</v>
      </c>
      <c r="B1364" s="7">
        <v>36</v>
      </c>
    </row>
    <row r="1365" spans="1:2" x14ac:dyDescent="0.15">
      <c r="A1365" s="7">
        <v>1364</v>
      </c>
      <c r="B1365" s="7">
        <v>11</v>
      </c>
    </row>
    <row r="1366" spans="1:2" x14ac:dyDescent="0.15">
      <c r="A1366" s="7">
        <v>1365</v>
      </c>
      <c r="B1366" s="7">
        <v>0</v>
      </c>
    </row>
    <row r="1367" spans="1:2" x14ac:dyDescent="0.15">
      <c r="A1367" s="7">
        <v>1366</v>
      </c>
      <c r="B1367" s="7">
        <v>1</v>
      </c>
    </row>
    <row r="1368" spans="1:2" x14ac:dyDescent="0.15">
      <c r="A1368" s="7">
        <v>1367</v>
      </c>
      <c r="B1368" s="7">
        <v>0</v>
      </c>
    </row>
    <row r="1369" spans="1:2" x14ac:dyDescent="0.15">
      <c r="A1369" s="7">
        <v>1368</v>
      </c>
      <c r="B1369" s="7">
        <v>1</v>
      </c>
    </row>
    <row r="1370" spans="1:2" x14ac:dyDescent="0.15">
      <c r="A1370" s="7">
        <v>1369</v>
      </c>
      <c r="B1370" s="7">
        <v>0</v>
      </c>
    </row>
    <row r="1371" spans="1:2" x14ac:dyDescent="0.15">
      <c r="A1371" s="7">
        <v>1370</v>
      </c>
      <c r="B1371" s="7">
        <v>0</v>
      </c>
    </row>
    <row r="1372" spans="1:2" x14ac:dyDescent="0.15">
      <c r="A1372" s="7">
        <v>1371</v>
      </c>
      <c r="B1372" s="7">
        <v>0</v>
      </c>
    </row>
    <row r="1373" spans="1:2" x14ac:dyDescent="0.15">
      <c r="A1373" s="7">
        <v>1372</v>
      </c>
      <c r="B1373" s="7">
        <v>0</v>
      </c>
    </row>
    <row r="1374" spans="1:2" x14ac:dyDescent="0.15">
      <c r="A1374" s="7">
        <v>1373</v>
      </c>
      <c r="B1374" s="7">
        <v>1</v>
      </c>
    </row>
    <row r="1375" spans="1:2" x14ac:dyDescent="0.15">
      <c r="A1375" s="7">
        <v>1374</v>
      </c>
      <c r="B1375" s="7">
        <v>1</v>
      </c>
    </row>
    <row r="1376" spans="1:2" x14ac:dyDescent="0.15">
      <c r="A1376" s="7">
        <v>1375</v>
      </c>
      <c r="B1376" s="7">
        <v>2</v>
      </c>
    </row>
    <row r="1377" spans="1:2" x14ac:dyDescent="0.15">
      <c r="A1377" s="7">
        <v>1376</v>
      </c>
      <c r="B1377" s="7">
        <v>0</v>
      </c>
    </row>
    <row r="1378" spans="1:2" x14ac:dyDescent="0.15">
      <c r="A1378" s="7">
        <v>1377</v>
      </c>
      <c r="B1378" s="7">
        <v>0</v>
      </c>
    </row>
    <row r="1379" spans="1:2" x14ac:dyDescent="0.15">
      <c r="A1379" s="7">
        <v>1378</v>
      </c>
      <c r="B1379" s="7">
        <v>0</v>
      </c>
    </row>
    <row r="1380" spans="1:2" x14ac:dyDescent="0.15">
      <c r="A1380" s="7">
        <v>1379</v>
      </c>
      <c r="B1380" s="7">
        <v>0</v>
      </c>
    </row>
    <row r="1381" spans="1:2" x14ac:dyDescent="0.15">
      <c r="A1381" s="7">
        <v>1380</v>
      </c>
      <c r="B1381" s="7">
        <v>0</v>
      </c>
    </row>
    <row r="1382" spans="1:2" x14ac:dyDescent="0.15">
      <c r="A1382" s="7">
        <v>1381</v>
      </c>
      <c r="B1382" s="7">
        <v>0</v>
      </c>
    </row>
    <row r="1383" spans="1:2" x14ac:dyDescent="0.15">
      <c r="A1383" s="7">
        <v>1382</v>
      </c>
      <c r="B1383" s="7">
        <v>5</v>
      </c>
    </row>
    <row r="1384" spans="1:2" x14ac:dyDescent="0.15">
      <c r="A1384" s="7">
        <v>1383</v>
      </c>
      <c r="B1384" s="7">
        <v>0</v>
      </c>
    </row>
    <row r="1385" spans="1:2" x14ac:dyDescent="0.15">
      <c r="A1385" s="7">
        <v>1384</v>
      </c>
      <c r="B1385" s="7">
        <v>0</v>
      </c>
    </row>
    <row r="1386" spans="1:2" x14ac:dyDescent="0.15">
      <c r="A1386" s="7">
        <v>1385</v>
      </c>
      <c r="B1386" s="7">
        <v>1</v>
      </c>
    </row>
    <row r="1387" spans="1:2" x14ac:dyDescent="0.15">
      <c r="A1387" s="7">
        <v>1386</v>
      </c>
      <c r="B1387" s="7">
        <v>0</v>
      </c>
    </row>
    <row r="1388" spans="1:2" x14ac:dyDescent="0.15">
      <c r="A1388" s="7">
        <v>1387</v>
      </c>
      <c r="B1388" s="7">
        <v>0</v>
      </c>
    </row>
    <row r="1389" spans="1:2" x14ac:dyDescent="0.15">
      <c r="A1389" s="7">
        <v>1388</v>
      </c>
      <c r="B1389" s="7">
        <v>1</v>
      </c>
    </row>
    <row r="1390" spans="1:2" x14ac:dyDescent="0.15">
      <c r="A1390" s="7">
        <v>1389</v>
      </c>
      <c r="B1390" s="7">
        <v>9</v>
      </c>
    </row>
    <row r="1391" spans="1:2" x14ac:dyDescent="0.15">
      <c r="A1391" s="7">
        <v>1390</v>
      </c>
      <c r="B1391" s="7">
        <v>0</v>
      </c>
    </row>
    <row r="1392" spans="1:2" x14ac:dyDescent="0.15">
      <c r="A1392" s="7">
        <v>1391</v>
      </c>
      <c r="B1392" s="7">
        <v>0</v>
      </c>
    </row>
    <row r="1393" spans="1:2" x14ac:dyDescent="0.15">
      <c r="A1393" s="7">
        <v>1392</v>
      </c>
      <c r="B1393" s="7">
        <v>0</v>
      </c>
    </row>
    <row r="1394" spans="1:2" x14ac:dyDescent="0.15">
      <c r="A1394" s="7">
        <v>1393</v>
      </c>
      <c r="B1394" s="7">
        <v>0</v>
      </c>
    </row>
    <row r="1395" spans="1:2" x14ac:dyDescent="0.15">
      <c r="A1395" s="7">
        <v>1394</v>
      </c>
      <c r="B1395" s="7">
        <v>0</v>
      </c>
    </row>
    <row r="1396" spans="1:2" x14ac:dyDescent="0.15">
      <c r="A1396" s="7">
        <v>1395</v>
      </c>
      <c r="B1396" s="7">
        <v>8</v>
      </c>
    </row>
    <row r="1397" spans="1:2" x14ac:dyDescent="0.15">
      <c r="A1397" s="7">
        <v>1396</v>
      </c>
      <c r="B1397" s="7">
        <v>0</v>
      </c>
    </row>
    <row r="1398" spans="1:2" x14ac:dyDescent="0.15">
      <c r="A1398" s="7">
        <v>1397</v>
      </c>
      <c r="B1398" s="7">
        <v>1</v>
      </c>
    </row>
    <row r="1399" spans="1:2" x14ac:dyDescent="0.15">
      <c r="A1399" s="7">
        <v>1398</v>
      </c>
      <c r="B1399" s="7">
        <v>0</v>
      </c>
    </row>
    <row r="1400" spans="1:2" x14ac:dyDescent="0.15">
      <c r="A1400" s="7">
        <v>1399</v>
      </c>
      <c r="B1400" s="7">
        <v>2</v>
      </c>
    </row>
    <row r="1401" spans="1:2" x14ac:dyDescent="0.15">
      <c r="A1401" s="7">
        <v>1400</v>
      </c>
      <c r="B1401" s="7">
        <v>0</v>
      </c>
    </row>
    <row r="1402" spans="1:2" x14ac:dyDescent="0.15">
      <c r="A1402" s="7">
        <v>1401</v>
      </c>
      <c r="B1402" s="7">
        <v>22</v>
      </c>
    </row>
    <row r="1403" spans="1:2" x14ac:dyDescent="0.15">
      <c r="A1403" s="7">
        <v>1402</v>
      </c>
      <c r="B1403" s="7">
        <v>0</v>
      </c>
    </row>
    <row r="1404" spans="1:2" x14ac:dyDescent="0.15">
      <c r="A1404" s="7">
        <v>1403</v>
      </c>
      <c r="B1404" s="7">
        <v>0</v>
      </c>
    </row>
    <row r="1405" spans="1:2" x14ac:dyDescent="0.15">
      <c r="A1405" s="7">
        <v>1404</v>
      </c>
      <c r="B1405" s="7">
        <v>0</v>
      </c>
    </row>
    <row r="1406" spans="1:2" x14ac:dyDescent="0.15">
      <c r="A1406" s="7">
        <v>1405</v>
      </c>
      <c r="B1406" s="7">
        <v>0</v>
      </c>
    </row>
    <row r="1407" spans="1:2" x14ac:dyDescent="0.15">
      <c r="A1407" s="7">
        <v>1406</v>
      </c>
      <c r="B1407" s="7">
        <v>0</v>
      </c>
    </row>
    <row r="1408" spans="1:2" x14ac:dyDescent="0.15">
      <c r="A1408" s="7">
        <v>1407</v>
      </c>
      <c r="B1408" s="7">
        <v>0</v>
      </c>
    </row>
    <row r="1409" spans="1:2" x14ac:dyDescent="0.15">
      <c r="A1409" s="7">
        <v>1408</v>
      </c>
      <c r="B1409" s="7">
        <v>0</v>
      </c>
    </row>
    <row r="1410" spans="1:2" x14ac:dyDescent="0.15">
      <c r="A1410" s="7">
        <v>1409</v>
      </c>
      <c r="B1410" s="7">
        <v>0</v>
      </c>
    </row>
    <row r="1411" spans="1:2" x14ac:dyDescent="0.15">
      <c r="A1411" s="7">
        <v>1410</v>
      </c>
      <c r="B1411" s="7">
        <v>0</v>
      </c>
    </row>
    <row r="1412" spans="1:2" x14ac:dyDescent="0.15">
      <c r="A1412" s="7">
        <v>1411</v>
      </c>
      <c r="B1412" s="7">
        <v>0</v>
      </c>
    </row>
    <row r="1413" spans="1:2" x14ac:dyDescent="0.15">
      <c r="A1413" s="7">
        <v>1412</v>
      </c>
      <c r="B1413" s="7">
        <v>0</v>
      </c>
    </row>
    <row r="1414" spans="1:2" x14ac:dyDescent="0.15">
      <c r="A1414" s="7">
        <v>1413</v>
      </c>
      <c r="B1414" s="7">
        <v>0</v>
      </c>
    </row>
    <row r="1415" spans="1:2" x14ac:dyDescent="0.15">
      <c r="A1415" s="7">
        <v>1414</v>
      </c>
      <c r="B1415" s="7">
        <v>2</v>
      </c>
    </row>
    <row r="1416" spans="1:2" x14ac:dyDescent="0.15">
      <c r="A1416" s="7">
        <v>1415</v>
      </c>
      <c r="B1416" s="7">
        <v>1</v>
      </c>
    </row>
    <row r="1417" spans="1:2" x14ac:dyDescent="0.15">
      <c r="A1417" s="7">
        <v>1416</v>
      </c>
      <c r="B1417" s="7">
        <v>1</v>
      </c>
    </row>
    <row r="1418" spans="1:2" x14ac:dyDescent="0.15">
      <c r="A1418" s="7">
        <v>1417</v>
      </c>
      <c r="B1418" s="7">
        <v>0</v>
      </c>
    </row>
    <row r="1419" spans="1:2" x14ac:dyDescent="0.15">
      <c r="A1419" s="7">
        <v>1418</v>
      </c>
      <c r="B1419" s="7">
        <v>0</v>
      </c>
    </row>
    <row r="1420" spans="1:2" x14ac:dyDescent="0.15">
      <c r="A1420" s="7">
        <v>1419</v>
      </c>
      <c r="B1420" s="7">
        <v>0</v>
      </c>
    </row>
    <row r="1421" spans="1:2" x14ac:dyDescent="0.15">
      <c r="A1421" s="7">
        <v>1420</v>
      </c>
      <c r="B1421" s="7">
        <v>0</v>
      </c>
    </row>
    <row r="1422" spans="1:2" x14ac:dyDescent="0.15">
      <c r="A1422" s="7">
        <v>1421</v>
      </c>
      <c r="B1422" s="7">
        <v>1</v>
      </c>
    </row>
    <row r="1423" spans="1:2" x14ac:dyDescent="0.15">
      <c r="A1423" s="7">
        <v>1422</v>
      </c>
      <c r="B1423" s="7">
        <v>5</v>
      </c>
    </row>
    <row r="1424" spans="1:2" x14ac:dyDescent="0.15">
      <c r="A1424" s="7">
        <v>1423</v>
      </c>
      <c r="B1424" s="7">
        <v>0</v>
      </c>
    </row>
    <row r="1425" spans="1:2" x14ac:dyDescent="0.15">
      <c r="A1425" s="7">
        <v>1424</v>
      </c>
      <c r="B1425" s="7">
        <v>0</v>
      </c>
    </row>
    <row r="1426" spans="1:2" x14ac:dyDescent="0.15">
      <c r="A1426" s="7">
        <v>1425</v>
      </c>
      <c r="B1426" s="7">
        <v>0</v>
      </c>
    </row>
    <row r="1427" spans="1:2" x14ac:dyDescent="0.15">
      <c r="A1427" s="7">
        <v>1426</v>
      </c>
      <c r="B1427" s="7">
        <v>0</v>
      </c>
    </row>
    <row r="1428" spans="1:2" x14ac:dyDescent="0.15">
      <c r="A1428" s="7">
        <v>1427</v>
      </c>
      <c r="B1428" s="7">
        <v>0</v>
      </c>
    </row>
    <row r="1429" spans="1:2" x14ac:dyDescent="0.15">
      <c r="A1429" s="7">
        <v>1428</v>
      </c>
      <c r="B1429" s="7">
        <v>0</v>
      </c>
    </row>
    <row r="1430" spans="1:2" x14ac:dyDescent="0.15">
      <c r="A1430" s="7">
        <v>1429</v>
      </c>
      <c r="B1430" s="7">
        <v>0</v>
      </c>
    </row>
    <row r="1431" spans="1:2" x14ac:dyDescent="0.15">
      <c r="A1431" s="7">
        <v>1430</v>
      </c>
      <c r="B1431" s="7">
        <v>0</v>
      </c>
    </row>
    <row r="1432" spans="1:2" x14ac:dyDescent="0.15">
      <c r="A1432" s="7">
        <v>1431</v>
      </c>
      <c r="B1432" s="7">
        <v>0</v>
      </c>
    </row>
    <row r="1433" spans="1:2" x14ac:dyDescent="0.15">
      <c r="A1433" s="7">
        <v>1432</v>
      </c>
      <c r="B1433" s="7">
        <v>0</v>
      </c>
    </row>
    <row r="1434" spans="1:2" x14ac:dyDescent="0.15">
      <c r="A1434" s="7">
        <v>1433</v>
      </c>
      <c r="B1434" s="7">
        <v>3</v>
      </c>
    </row>
    <row r="1435" spans="1:2" x14ac:dyDescent="0.15">
      <c r="A1435" s="7">
        <v>1434</v>
      </c>
      <c r="B1435" s="7">
        <v>1</v>
      </c>
    </row>
    <row r="1436" spans="1:2" x14ac:dyDescent="0.15">
      <c r="A1436" s="7">
        <v>1435</v>
      </c>
      <c r="B1436" s="7">
        <v>0</v>
      </c>
    </row>
    <row r="1437" spans="1:2" x14ac:dyDescent="0.15">
      <c r="A1437" s="7">
        <v>1436</v>
      </c>
      <c r="B1437" s="7">
        <v>0</v>
      </c>
    </row>
    <row r="1438" spans="1:2" x14ac:dyDescent="0.15">
      <c r="A1438" s="7">
        <v>1437</v>
      </c>
      <c r="B1438" s="7">
        <v>0</v>
      </c>
    </row>
    <row r="1439" spans="1:2" x14ac:dyDescent="0.15">
      <c r="A1439" s="7">
        <v>1438</v>
      </c>
      <c r="B1439" s="7">
        <v>0</v>
      </c>
    </row>
    <row r="1440" spans="1:2" x14ac:dyDescent="0.15">
      <c r="A1440" s="7">
        <v>1439</v>
      </c>
      <c r="B1440" s="7">
        <v>0</v>
      </c>
    </row>
    <row r="1441" spans="1:2" x14ac:dyDescent="0.15">
      <c r="A1441" s="7">
        <v>1440</v>
      </c>
      <c r="B1441" s="7">
        <v>3</v>
      </c>
    </row>
    <row r="1442" spans="1:2" x14ac:dyDescent="0.15">
      <c r="A1442" s="7">
        <v>1441</v>
      </c>
      <c r="B1442" s="7">
        <v>3</v>
      </c>
    </row>
    <row r="1443" spans="1:2" x14ac:dyDescent="0.15">
      <c r="A1443" s="7">
        <v>1442</v>
      </c>
      <c r="B1443" s="7">
        <v>2</v>
      </c>
    </row>
    <row r="1444" spans="1:2" x14ac:dyDescent="0.15">
      <c r="A1444" s="7">
        <v>1443</v>
      </c>
      <c r="B1444" s="7">
        <v>0</v>
      </c>
    </row>
    <row r="1445" spans="1:2" x14ac:dyDescent="0.15">
      <c r="A1445" s="7">
        <v>1444</v>
      </c>
      <c r="B1445" s="7">
        <v>3</v>
      </c>
    </row>
    <row r="1446" spans="1:2" x14ac:dyDescent="0.15">
      <c r="A1446" s="7">
        <v>1445</v>
      </c>
      <c r="B1446" s="7">
        <v>0</v>
      </c>
    </row>
    <row r="1447" spans="1:2" x14ac:dyDescent="0.15">
      <c r="A1447" s="7">
        <v>1446</v>
      </c>
      <c r="B1447" s="7">
        <v>0</v>
      </c>
    </row>
    <row r="1448" spans="1:2" x14ac:dyDescent="0.15">
      <c r="A1448" s="7">
        <v>1447</v>
      </c>
      <c r="B1448" s="7">
        <v>0</v>
      </c>
    </row>
    <row r="1449" spans="1:2" x14ac:dyDescent="0.15">
      <c r="A1449" s="7">
        <v>1448</v>
      </c>
      <c r="B1449" s="7">
        <v>2</v>
      </c>
    </row>
    <row r="1450" spans="1:2" x14ac:dyDescent="0.15">
      <c r="A1450" s="7">
        <v>1449</v>
      </c>
      <c r="B1450" s="7">
        <v>0</v>
      </c>
    </row>
    <row r="1451" spans="1:2" x14ac:dyDescent="0.15">
      <c r="A1451" s="7">
        <v>1450</v>
      </c>
      <c r="B1451" s="7">
        <v>0</v>
      </c>
    </row>
    <row r="1452" spans="1:2" x14ac:dyDescent="0.15">
      <c r="A1452" s="7">
        <v>1451</v>
      </c>
      <c r="B1452" s="7">
        <v>0</v>
      </c>
    </row>
    <row r="1453" spans="1:2" x14ac:dyDescent="0.15">
      <c r="A1453" s="7">
        <v>1452</v>
      </c>
      <c r="B1453" s="7">
        <v>0</v>
      </c>
    </row>
    <row r="1454" spans="1:2" x14ac:dyDescent="0.15">
      <c r="A1454" s="7">
        <v>1453</v>
      </c>
      <c r="B1454" s="7">
        <v>1</v>
      </c>
    </row>
    <row r="1455" spans="1:2" x14ac:dyDescent="0.15">
      <c r="A1455" s="7">
        <v>1454</v>
      </c>
      <c r="B1455" s="7">
        <v>0</v>
      </c>
    </row>
    <row r="1456" spans="1:2" x14ac:dyDescent="0.15">
      <c r="A1456" s="7">
        <v>1455</v>
      </c>
      <c r="B1456" s="7">
        <v>0</v>
      </c>
    </row>
    <row r="1457" spans="1:2" x14ac:dyDescent="0.15">
      <c r="A1457" s="7">
        <v>1456</v>
      </c>
      <c r="B1457" s="7">
        <v>0</v>
      </c>
    </row>
    <row r="1458" spans="1:2" x14ac:dyDescent="0.15">
      <c r="A1458" s="7">
        <v>1457</v>
      </c>
      <c r="B1458" s="7">
        <v>7</v>
      </c>
    </row>
    <row r="1459" spans="1:2" x14ac:dyDescent="0.15">
      <c r="A1459" s="7">
        <v>1458</v>
      </c>
      <c r="B1459" s="7">
        <v>0</v>
      </c>
    </row>
    <row r="1460" spans="1:2" x14ac:dyDescent="0.15">
      <c r="A1460" s="7">
        <v>1459</v>
      </c>
      <c r="B1460" s="7">
        <v>0</v>
      </c>
    </row>
    <row r="1461" spans="1:2" x14ac:dyDescent="0.15">
      <c r="A1461" s="7">
        <v>1460</v>
      </c>
      <c r="B1461" s="7">
        <v>0</v>
      </c>
    </row>
    <row r="1462" spans="1:2" x14ac:dyDescent="0.15">
      <c r="A1462" s="7">
        <v>1461</v>
      </c>
      <c r="B1462" s="7">
        <v>0</v>
      </c>
    </row>
    <row r="1463" spans="1:2" x14ac:dyDescent="0.15">
      <c r="A1463" s="7">
        <v>1462</v>
      </c>
      <c r="B1463" s="7">
        <v>0</v>
      </c>
    </row>
    <row r="1464" spans="1:2" x14ac:dyDescent="0.15">
      <c r="A1464" s="7">
        <v>1463</v>
      </c>
      <c r="B1464" s="7">
        <v>0</v>
      </c>
    </row>
    <row r="1465" spans="1:2" x14ac:dyDescent="0.15">
      <c r="A1465" s="7">
        <v>1464</v>
      </c>
      <c r="B1465" s="7">
        <v>0</v>
      </c>
    </row>
    <row r="1466" spans="1:2" x14ac:dyDescent="0.15">
      <c r="A1466" s="7">
        <v>1465</v>
      </c>
      <c r="B1466" s="7">
        <v>1</v>
      </c>
    </row>
    <row r="1467" spans="1:2" x14ac:dyDescent="0.15">
      <c r="A1467" s="7">
        <v>1466</v>
      </c>
      <c r="B1467" s="7">
        <v>0</v>
      </c>
    </row>
    <row r="1468" spans="1:2" x14ac:dyDescent="0.15">
      <c r="A1468" s="7">
        <v>1467</v>
      </c>
      <c r="B1468" s="7">
        <v>3</v>
      </c>
    </row>
    <row r="1469" spans="1:2" x14ac:dyDescent="0.15">
      <c r="A1469" s="7">
        <v>1468</v>
      </c>
      <c r="B1469" s="7">
        <v>0</v>
      </c>
    </row>
    <row r="1470" spans="1:2" x14ac:dyDescent="0.15">
      <c r="A1470" s="7">
        <v>1469</v>
      </c>
      <c r="B1470" s="7">
        <v>1</v>
      </c>
    </row>
    <row r="1471" spans="1:2" x14ac:dyDescent="0.15">
      <c r="A1471" s="7">
        <v>1470</v>
      </c>
      <c r="B1471" s="7">
        <v>0</v>
      </c>
    </row>
    <row r="1472" spans="1:2" x14ac:dyDescent="0.15">
      <c r="A1472" s="7">
        <v>1471</v>
      </c>
      <c r="B1472" s="7">
        <v>0</v>
      </c>
    </row>
    <row r="1473" spans="1:2" x14ac:dyDescent="0.15">
      <c r="A1473" s="7">
        <v>1472</v>
      </c>
      <c r="B1473" s="7">
        <v>0</v>
      </c>
    </row>
    <row r="1474" spans="1:2" x14ac:dyDescent="0.15">
      <c r="A1474" s="7">
        <v>1473</v>
      </c>
      <c r="B1474" s="7">
        <v>0</v>
      </c>
    </row>
    <row r="1475" spans="1:2" x14ac:dyDescent="0.15">
      <c r="A1475" s="7">
        <v>1474</v>
      </c>
      <c r="B1475" s="7">
        <v>0</v>
      </c>
    </row>
    <row r="1476" spans="1:2" x14ac:dyDescent="0.15">
      <c r="A1476" s="7">
        <v>1475</v>
      </c>
      <c r="B1476" s="7">
        <v>0</v>
      </c>
    </row>
    <row r="1477" spans="1:2" x14ac:dyDescent="0.15">
      <c r="A1477" s="7">
        <v>1476</v>
      </c>
      <c r="B1477" s="7">
        <v>0</v>
      </c>
    </row>
    <row r="1478" spans="1:2" x14ac:dyDescent="0.15">
      <c r="A1478" s="7">
        <v>1477</v>
      </c>
      <c r="B1478" s="7">
        <v>0</v>
      </c>
    </row>
    <row r="1479" spans="1:2" x14ac:dyDescent="0.15">
      <c r="A1479" s="7">
        <v>1478</v>
      </c>
      <c r="B1479" s="7">
        <v>0</v>
      </c>
    </row>
    <row r="1480" spans="1:2" x14ac:dyDescent="0.15">
      <c r="A1480" s="7">
        <v>1479</v>
      </c>
      <c r="B1480" s="7">
        <v>3</v>
      </c>
    </row>
    <row r="1481" spans="1:2" x14ac:dyDescent="0.15">
      <c r="A1481" s="7">
        <v>1480</v>
      </c>
      <c r="B1481" s="7">
        <v>3</v>
      </c>
    </row>
    <row r="1482" spans="1:2" x14ac:dyDescent="0.15">
      <c r="A1482" s="7">
        <v>1481</v>
      </c>
      <c r="B1482" s="7">
        <v>0</v>
      </c>
    </row>
    <row r="1483" spans="1:2" x14ac:dyDescent="0.15">
      <c r="A1483" s="7">
        <v>1482</v>
      </c>
      <c r="B1483" s="7">
        <v>0</v>
      </c>
    </row>
    <row r="1484" spans="1:2" x14ac:dyDescent="0.15">
      <c r="A1484" s="7">
        <v>1483</v>
      </c>
      <c r="B1484" s="7">
        <v>1</v>
      </c>
    </row>
    <row r="1485" spans="1:2" x14ac:dyDescent="0.15">
      <c r="A1485" s="7">
        <v>1484</v>
      </c>
      <c r="B1485" s="7">
        <v>4</v>
      </c>
    </row>
    <row r="1486" spans="1:2" x14ac:dyDescent="0.15">
      <c r="A1486" s="7">
        <v>1485</v>
      </c>
      <c r="B1486" s="7">
        <v>3</v>
      </c>
    </row>
    <row r="1487" spans="1:2" x14ac:dyDescent="0.15">
      <c r="A1487" s="7">
        <v>1486</v>
      </c>
      <c r="B1487" s="7">
        <v>0</v>
      </c>
    </row>
    <row r="1488" spans="1:2" x14ac:dyDescent="0.15">
      <c r="A1488" s="7">
        <v>1487</v>
      </c>
      <c r="B1488" s="7">
        <v>0</v>
      </c>
    </row>
    <row r="1489" spans="1:2" x14ac:dyDescent="0.15">
      <c r="A1489" s="7">
        <v>1488</v>
      </c>
      <c r="B1489" s="7">
        <v>0</v>
      </c>
    </row>
    <row r="1490" spans="1:2" x14ac:dyDescent="0.15">
      <c r="A1490" s="7">
        <v>1489</v>
      </c>
      <c r="B1490" s="7">
        <v>2</v>
      </c>
    </row>
    <row r="1491" spans="1:2" x14ac:dyDescent="0.15">
      <c r="A1491" s="7">
        <v>1490</v>
      </c>
      <c r="B1491" s="7">
        <v>1</v>
      </c>
    </row>
    <row r="1492" spans="1:2" x14ac:dyDescent="0.15">
      <c r="A1492" s="7">
        <v>1491</v>
      </c>
      <c r="B1492" s="7">
        <v>0</v>
      </c>
    </row>
    <row r="1493" spans="1:2" x14ac:dyDescent="0.15">
      <c r="A1493" s="7">
        <v>1492</v>
      </c>
      <c r="B1493" s="7">
        <v>1</v>
      </c>
    </row>
    <row r="1494" spans="1:2" x14ac:dyDescent="0.15">
      <c r="A1494" s="7">
        <v>1493</v>
      </c>
      <c r="B1494" s="7">
        <v>0</v>
      </c>
    </row>
    <row r="1495" spans="1:2" x14ac:dyDescent="0.15">
      <c r="A1495" s="7">
        <v>1494</v>
      </c>
      <c r="B1495" s="7">
        <v>0</v>
      </c>
    </row>
    <row r="1496" spans="1:2" x14ac:dyDescent="0.15">
      <c r="A1496" s="7">
        <v>1495</v>
      </c>
      <c r="B1496" s="7">
        <v>0</v>
      </c>
    </row>
    <row r="1497" spans="1:2" x14ac:dyDescent="0.15">
      <c r="A1497" s="7">
        <v>1496</v>
      </c>
      <c r="B1497" s="7">
        <v>1</v>
      </c>
    </row>
    <row r="1498" spans="1:2" x14ac:dyDescent="0.15">
      <c r="A1498" s="7">
        <v>1497</v>
      </c>
      <c r="B1498" s="7">
        <v>1</v>
      </c>
    </row>
    <row r="1499" spans="1:2" x14ac:dyDescent="0.15">
      <c r="A1499" s="7">
        <v>1498</v>
      </c>
      <c r="B1499" s="7">
        <v>0</v>
      </c>
    </row>
    <row r="1500" spans="1:2" x14ac:dyDescent="0.15">
      <c r="A1500" s="7">
        <v>1499</v>
      </c>
      <c r="B1500" s="7">
        <v>0</v>
      </c>
    </row>
    <row r="1501" spans="1:2" x14ac:dyDescent="0.15">
      <c r="A1501" s="7">
        <v>1500</v>
      </c>
      <c r="B1501" s="7">
        <v>0</v>
      </c>
    </row>
    <row r="1502" spans="1:2" x14ac:dyDescent="0.15">
      <c r="A1502" s="7">
        <v>1501</v>
      </c>
      <c r="B1502" s="7">
        <v>0</v>
      </c>
    </row>
    <row r="1503" spans="1:2" x14ac:dyDescent="0.15">
      <c r="A1503" s="7">
        <v>1502</v>
      </c>
      <c r="B1503" s="7">
        <v>0</v>
      </c>
    </row>
    <row r="1504" spans="1:2" x14ac:dyDescent="0.15">
      <c r="A1504" s="7">
        <v>1503</v>
      </c>
      <c r="B1504" s="7">
        <v>0</v>
      </c>
    </row>
    <row r="1505" spans="1:2" x14ac:dyDescent="0.15">
      <c r="A1505" s="7">
        <v>1504</v>
      </c>
      <c r="B1505" s="7">
        <v>0</v>
      </c>
    </row>
    <row r="1506" spans="1:2" x14ac:dyDescent="0.15">
      <c r="A1506" s="7">
        <v>1505</v>
      </c>
      <c r="B1506" s="7">
        <v>3</v>
      </c>
    </row>
    <row r="1507" spans="1:2" x14ac:dyDescent="0.15">
      <c r="A1507" s="7">
        <v>1506</v>
      </c>
      <c r="B1507" s="7">
        <v>0</v>
      </c>
    </row>
    <row r="1508" spans="1:2" x14ac:dyDescent="0.15">
      <c r="A1508" s="7">
        <v>1507</v>
      </c>
      <c r="B1508" s="7">
        <v>0</v>
      </c>
    </row>
    <row r="1509" spans="1:2" x14ac:dyDescent="0.15">
      <c r="A1509" s="7">
        <v>1508</v>
      </c>
      <c r="B1509" s="7">
        <v>0</v>
      </c>
    </row>
    <row r="1510" spans="1:2" x14ac:dyDescent="0.15">
      <c r="A1510" s="7">
        <v>1509</v>
      </c>
      <c r="B1510" s="7">
        <v>2</v>
      </c>
    </row>
    <row r="1511" spans="1:2" x14ac:dyDescent="0.15">
      <c r="A1511" s="7">
        <v>1510</v>
      </c>
      <c r="B1511" s="7">
        <v>0</v>
      </c>
    </row>
    <row r="1512" spans="1:2" x14ac:dyDescent="0.15">
      <c r="A1512" s="7">
        <v>1511</v>
      </c>
      <c r="B1512" s="7">
        <v>0</v>
      </c>
    </row>
    <row r="1513" spans="1:2" x14ac:dyDescent="0.15">
      <c r="A1513" s="7">
        <v>1512</v>
      </c>
      <c r="B1513" s="7">
        <v>0</v>
      </c>
    </row>
    <row r="1514" spans="1:2" x14ac:dyDescent="0.15">
      <c r="A1514" s="7">
        <v>1513</v>
      </c>
      <c r="B1514" s="7">
        <v>1</v>
      </c>
    </row>
    <row r="1515" spans="1:2" x14ac:dyDescent="0.15">
      <c r="A1515" s="7">
        <v>1514</v>
      </c>
      <c r="B1515" s="7">
        <v>0</v>
      </c>
    </row>
    <row r="1516" spans="1:2" x14ac:dyDescent="0.15">
      <c r="A1516" s="7">
        <v>1515</v>
      </c>
      <c r="B1516" s="7">
        <v>0</v>
      </c>
    </row>
    <row r="1517" spans="1:2" x14ac:dyDescent="0.15">
      <c r="A1517" s="7">
        <v>1516</v>
      </c>
      <c r="B1517" s="7">
        <v>0</v>
      </c>
    </row>
    <row r="1518" spans="1:2" x14ac:dyDescent="0.15">
      <c r="A1518" s="7">
        <v>1517</v>
      </c>
      <c r="B1518" s="7">
        <v>0</v>
      </c>
    </row>
    <row r="1519" spans="1:2" x14ac:dyDescent="0.15">
      <c r="A1519" s="7">
        <v>1518</v>
      </c>
      <c r="B1519" s="7">
        <v>0</v>
      </c>
    </row>
    <row r="1520" spans="1:2" x14ac:dyDescent="0.15">
      <c r="A1520" s="7">
        <v>1519</v>
      </c>
      <c r="B1520" s="7">
        <v>0</v>
      </c>
    </row>
    <row r="1521" spans="1:2" x14ac:dyDescent="0.15">
      <c r="A1521" s="7">
        <v>1520</v>
      </c>
      <c r="B1521" s="7">
        <v>0</v>
      </c>
    </row>
    <row r="1522" spans="1:2" x14ac:dyDescent="0.15">
      <c r="A1522" s="7">
        <v>1521</v>
      </c>
      <c r="B1522" s="7">
        <v>26</v>
      </c>
    </row>
    <row r="1523" spans="1:2" x14ac:dyDescent="0.15">
      <c r="A1523" s="7">
        <v>1522</v>
      </c>
      <c r="B1523" s="7">
        <v>0</v>
      </c>
    </row>
    <row r="1524" spans="1:2" x14ac:dyDescent="0.15">
      <c r="A1524" s="7">
        <v>1523</v>
      </c>
      <c r="B1524" s="7">
        <v>0</v>
      </c>
    </row>
    <row r="1525" spans="1:2" x14ac:dyDescent="0.15">
      <c r="A1525" s="7">
        <v>1524</v>
      </c>
      <c r="B1525" s="7">
        <v>1</v>
      </c>
    </row>
    <row r="1526" spans="1:2" x14ac:dyDescent="0.15">
      <c r="A1526" s="7">
        <v>1525</v>
      </c>
      <c r="B1526" s="7">
        <v>0</v>
      </c>
    </row>
    <row r="1527" spans="1:2" x14ac:dyDescent="0.15">
      <c r="A1527" s="7">
        <v>1526</v>
      </c>
      <c r="B1527" s="7">
        <v>0</v>
      </c>
    </row>
    <row r="1528" spans="1:2" x14ac:dyDescent="0.15">
      <c r="A1528" s="7">
        <v>1527</v>
      </c>
      <c r="B1528" s="7">
        <v>0</v>
      </c>
    </row>
    <row r="1529" spans="1:2" x14ac:dyDescent="0.15">
      <c r="A1529" s="7">
        <v>1528</v>
      </c>
      <c r="B1529" s="7">
        <v>0</v>
      </c>
    </row>
    <row r="1530" spans="1:2" x14ac:dyDescent="0.15">
      <c r="A1530" s="7">
        <v>1529</v>
      </c>
      <c r="B1530" s="7">
        <v>0</v>
      </c>
    </row>
    <row r="1531" spans="1:2" x14ac:dyDescent="0.15">
      <c r="A1531" s="7">
        <v>1530</v>
      </c>
      <c r="B1531" s="7">
        <v>0</v>
      </c>
    </row>
    <row r="1532" spans="1:2" x14ac:dyDescent="0.15">
      <c r="A1532" s="7">
        <v>1531</v>
      </c>
      <c r="B1532" s="7">
        <v>0</v>
      </c>
    </row>
    <row r="1533" spans="1:2" x14ac:dyDescent="0.15">
      <c r="A1533" s="7">
        <v>1532</v>
      </c>
      <c r="B1533" s="7">
        <v>3</v>
      </c>
    </row>
    <row r="1534" spans="1:2" x14ac:dyDescent="0.15">
      <c r="A1534" s="7">
        <v>1533</v>
      </c>
      <c r="B1534" s="7">
        <v>0</v>
      </c>
    </row>
    <row r="1535" spans="1:2" x14ac:dyDescent="0.15">
      <c r="A1535" s="7">
        <v>1534</v>
      </c>
      <c r="B1535" s="7">
        <v>0</v>
      </c>
    </row>
    <row r="1536" spans="1:2" x14ac:dyDescent="0.15">
      <c r="A1536" s="7">
        <v>1535</v>
      </c>
      <c r="B1536" s="7">
        <v>0</v>
      </c>
    </row>
    <row r="1537" spans="1:2" x14ac:dyDescent="0.15">
      <c r="A1537" s="7">
        <v>1536</v>
      </c>
      <c r="B1537" s="7">
        <v>0</v>
      </c>
    </row>
    <row r="1538" spans="1:2" x14ac:dyDescent="0.15">
      <c r="A1538" s="7">
        <v>1537</v>
      </c>
      <c r="B1538" s="7">
        <v>0</v>
      </c>
    </row>
    <row r="1539" spans="1:2" x14ac:dyDescent="0.15">
      <c r="A1539" s="7">
        <v>1538</v>
      </c>
      <c r="B1539" s="7">
        <v>1</v>
      </c>
    </row>
    <row r="1540" spans="1:2" x14ac:dyDescent="0.15">
      <c r="A1540" s="7">
        <v>1539</v>
      </c>
      <c r="B1540" s="7">
        <v>0</v>
      </c>
    </row>
    <row r="1541" spans="1:2" x14ac:dyDescent="0.15">
      <c r="A1541" s="7">
        <v>1540</v>
      </c>
      <c r="B1541" s="7">
        <v>0</v>
      </c>
    </row>
    <row r="1542" spans="1:2" x14ac:dyDescent="0.15">
      <c r="A1542" s="7">
        <v>1541</v>
      </c>
      <c r="B1542" s="7">
        <v>0</v>
      </c>
    </row>
    <row r="1543" spans="1:2" x14ac:dyDescent="0.15">
      <c r="A1543" s="7">
        <v>1542</v>
      </c>
      <c r="B1543" s="7">
        <v>0</v>
      </c>
    </row>
    <row r="1544" spans="1:2" x14ac:dyDescent="0.15">
      <c r="A1544" s="7">
        <v>1543</v>
      </c>
      <c r="B1544" s="7">
        <v>0</v>
      </c>
    </row>
    <row r="1545" spans="1:2" x14ac:dyDescent="0.15">
      <c r="A1545" s="7">
        <v>1544</v>
      </c>
      <c r="B1545" s="7">
        <v>0</v>
      </c>
    </row>
    <row r="1546" spans="1:2" x14ac:dyDescent="0.15">
      <c r="A1546" s="7">
        <v>1545</v>
      </c>
      <c r="B1546" s="7">
        <v>0</v>
      </c>
    </row>
    <row r="1547" spans="1:2" x14ac:dyDescent="0.15">
      <c r="A1547" s="7">
        <v>1546</v>
      </c>
      <c r="B1547" s="7">
        <v>0</v>
      </c>
    </row>
    <row r="1548" spans="1:2" x14ac:dyDescent="0.15">
      <c r="A1548" s="7">
        <v>1547</v>
      </c>
      <c r="B1548" s="7">
        <v>0</v>
      </c>
    </row>
    <row r="1549" spans="1:2" x14ac:dyDescent="0.15">
      <c r="A1549" s="7">
        <v>1548</v>
      </c>
      <c r="B1549" s="7">
        <v>0</v>
      </c>
    </row>
    <row r="1550" spans="1:2" x14ac:dyDescent="0.15">
      <c r="A1550" s="7">
        <v>1549</v>
      </c>
      <c r="B1550" s="7">
        <v>0</v>
      </c>
    </row>
    <row r="1551" spans="1:2" x14ac:dyDescent="0.15">
      <c r="A1551" s="7">
        <v>1550</v>
      </c>
      <c r="B1551" s="7">
        <v>0</v>
      </c>
    </row>
    <row r="1552" spans="1:2" x14ac:dyDescent="0.15">
      <c r="A1552" s="7">
        <v>1551</v>
      </c>
      <c r="B1552" s="7">
        <v>0</v>
      </c>
    </row>
    <row r="1553" spans="1:2" x14ac:dyDescent="0.15">
      <c r="A1553" s="7">
        <v>1552</v>
      </c>
      <c r="B1553" s="7">
        <v>0</v>
      </c>
    </row>
    <row r="1554" spans="1:2" x14ac:dyDescent="0.15">
      <c r="A1554" s="7">
        <v>1553</v>
      </c>
      <c r="B1554" s="7">
        <v>0</v>
      </c>
    </row>
    <row r="1555" spans="1:2" x14ac:dyDescent="0.15">
      <c r="A1555" s="7">
        <v>1554</v>
      </c>
      <c r="B1555" s="7">
        <v>0</v>
      </c>
    </row>
    <row r="1556" spans="1:2" x14ac:dyDescent="0.15">
      <c r="A1556" s="7">
        <v>1555</v>
      </c>
      <c r="B1556" s="7">
        <v>0</v>
      </c>
    </row>
    <row r="1557" spans="1:2" x14ac:dyDescent="0.15">
      <c r="A1557" s="7">
        <v>1556</v>
      </c>
      <c r="B1557" s="7">
        <v>1</v>
      </c>
    </row>
    <row r="1558" spans="1:2" x14ac:dyDescent="0.15">
      <c r="A1558" s="7">
        <v>1557</v>
      </c>
      <c r="B1558" s="7">
        <v>0</v>
      </c>
    </row>
    <row r="1559" spans="1:2" x14ac:dyDescent="0.15">
      <c r="A1559" s="7">
        <v>1558</v>
      </c>
      <c r="B1559" s="7">
        <v>0</v>
      </c>
    </row>
    <row r="1560" spans="1:2" x14ac:dyDescent="0.15">
      <c r="A1560" s="7">
        <v>1559</v>
      </c>
      <c r="B1560" s="7">
        <v>0</v>
      </c>
    </row>
    <row r="1561" spans="1:2" x14ac:dyDescent="0.15">
      <c r="A1561" s="7">
        <v>1560</v>
      </c>
      <c r="B1561" s="7">
        <v>0</v>
      </c>
    </row>
    <row r="1562" spans="1:2" x14ac:dyDescent="0.15">
      <c r="A1562" s="7">
        <v>1561</v>
      </c>
      <c r="B1562" s="7">
        <v>0</v>
      </c>
    </row>
    <row r="1563" spans="1:2" x14ac:dyDescent="0.15">
      <c r="A1563" s="7">
        <v>1562</v>
      </c>
      <c r="B1563" s="7">
        <v>0</v>
      </c>
    </row>
    <row r="1564" spans="1:2" x14ac:dyDescent="0.15">
      <c r="A1564" s="7">
        <v>1563</v>
      </c>
      <c r="B1564" s="7">
        <v>4</v>
      </c>
    </row>
    <row r="1565" spans="1:2" x14ac:dyDescent="0.15">
      <c r="A1565" s="7">
        <v>1564</v>
      </c>
      <c r="B1565" s="7">
        <v>0</v>
      </c>
    </row>
    <row r="1566" spans="1:2" x14ac:dyDescent="0.15">
      <c r="A1566" s="7">
        <v>1565</v>
      </c>
      <c r="B1566" s="7">
        <v>1</v>
      </c>
    </row>
    <row r="1567" spans="1:2" x14ac:dyDescent="0.15">
      <c r="A1567" s="7">
        <v>1566</v>
      </c>
      <c r="B1567" s="7">
        <v>2</v>
      </c>
    </row>
    <row r="1568" spans="1:2" x14ac:dyDescent="0.15">
      <c r="A1568" s="7">
        <v>1567</v>
      </c>
      <c r="B1568" s="7">
        <v>0</v>
      </c>
    </row>
    <row r="1569" spans="1:2" x14ac:dyDescent="0.15">
      <c r="A1569" s="7">
        <v>1568</v>
      </c>
      <c r="B1569" s="7">
        <v>14</v>
      </c>
    </row>
    <row r="1570" spans="1:2" x14ac:dyDescent="0.15">
      <c r="A1570" s="7">
        <v>1569</v>
      </c>
      <c r="B1570" s="7">
        <v>50</v>
      </c>
    </row>
    <row r="1571" spans="1:2" x14ac:dyDescent="0.15">
      <c r="A1571" s="7">
        <v>1570</v>
      </c>
      <c r="B1571" s="7">
        <v>0</v>
      </c>
    </row>
    <row r="1572" spans="1:2" x14ac:dyDescent="0.15">
      <c r="A1572" s="7">
        <v>1571</v>
      </c>
      <c r="B1572" s="7">
        <v>0</v>
      </c>
    </row>
    <row r="1573" spans="1:2" x14ac:dyDescent="0.15">
      <c r="A1573" s="7">
        <v>1572</v>
      </c>
      <c r="B1573" s="7">
        <v>0</v>
      </c>
    </row>
    <row r="1574" spans="1:2" x14ac:dyDescent="0.15">
      <c r="A1574" s="7">
        <v>1573</v>
      </c>
      <c r="B1574" s="7">
        <v>1</v>
      </c>
    </row>
    <row r="1575" spans="1:2" x14ac:dyDescent="0.15">
      <c r="A1575" s="7">
        <v>1574</v>
      </c>
      <c r="B1575" s="7">
        <v>1</v>
      </c>
    </row>
    <row r="1576" spans="1:2" x14ac:dyDescent="0.15">
      <c r="A1576" s="7">
        <v>1575</v>
      </c>
      <c r="B1576" s="7">
        <v>0</v>
      </c>
    </row>
    <row r="1577" spans="1:2" x14ac:dyDescent="0.15">
      <c r="A1577" s="7">
        <v>1576</v>
      </c>
      <c r="B1577" s="7">
        <v>0</v>
      </c>
    </row>
    <row r="1578" spans="1:2" x14ac:dyDescent="0.15">
      <c r="A1578" s="7">
        <v>1577</v>
      </c>
      <c r="B1578" s="7">
        <v>0</v>
      </c>
    </row>
    <row r="1579" spans="1:2" x14ac:dyDescent="0.15">
      <c r="A1579" s="7">
        <v>1578</v>
      </c>
      <c r="B1579" s="7">
        <v>0</v>
      </c>
    </row>
    <row r="1580" spans="1:2" x14ac:dyDescent="0.15">
      <c r="A1580" s="7">
        <v>1579</v>
      </c>
      <c r="B1580" s="7">
        <v>1</v>
      </c>
    </row>
    <row r="1581" spans="1:2" x14ac:dyDescent="0.15">
      <c r="A1581" s="7">
        <v>1580</v>
      </c>
      <c r="B1581" s="7">
        <v>0</v>
      </c>
    </row>
    <row r="1582" spans="1:2" x14ac:dyDescent="0.15">
      <c r="A1582" s="7">
        <v>1581</v>
      </c>
      <c r="B1582" s="7">
        <v>1</v>
      </c>
    </row>
    <row r="1583" spans="1:2" x14ac:dyDescent="0.15">
      <c r="A1583" s="7">
        <v>1582</v>
      </c>
      <c r="B1583" s="7">
        <v>1</v>
      </c>
    </row>
    <row r="1584" spans="1:2" x14ac:dyDescent="0.15">
      <c r="A1584" s="7">
        <v>1583</v>
      </c>
      <c r="B1584" s="7">
        <v>0</v>
      </c>
    </row>
    <row r="1585" spans="1:2" x14ac:dyDescent="0.15">
      <c r="A1585" s="7">
        <v>1584</v>
      </c>
      <c r="B1585" s="7">
        <v>0</v>
      </c>
    </row>
    <row r="1586" spans="1:2" x14ac:dyDescent="0.15">
      <c r="A1586" s="7">
        <v>1585</v>
      </c>
      <c r="B1586" s="7">
        <v>0</v>
      </c>
    </row>
    <row r="1587" spans="1:2" x14ac:dyDescent="0.15">
      <c r="A1587" s="7">
        <v>1586</v>
      </c>
      <c r="B1587" s="7">
        <v>0</v>
      </c>
    </row>
    <row r="1588" spans="1:2" x14ac:dyDescent="0.15">
      <c r="A1588" s="7">
        <v>1587</v>
      </c>
      <c r="B1588" s="7">
        <v>0</v>
      </c>
    </row>
    <row r="1589" spans="1:2" x14ac:dyDescent="0.15">
      <c r="A1589" s="7">
        <v>1588</v>
      </c>
      <c r="B1589" s="7">
        <v>1</v>
      </c>
    </row>
    <row r="1590" spans="1:2" x14ac:dyDescent="0.15">
      <c r="A1590" s="7">
        <v>1589</v>
      </c>
      <c r="B1590" s="7">
        <v>0</v>
      </c>
    </row>
    <row r="1591" spans="1:2" x14ac:dyDescent="0.15">
      <c r="A1591" s="7">
        <v>1590</v>
      </c>
      <c r="B1591" s="7">
        <v>2</v>
      </c>
    </row>
    <row r="1592" spans="1:2" x14ac:dyDescent="0.15">
      <c r="A1592" s="7">
        <v>1591</v>
      </c>
      <c r="B1592" s="7">
        <v>0</v>
      </c>
    </row>
    <row r="1593" spans="1:2" x14ac:dyDescent="0.15">
      <c r="A1593" s="7">
        <v>1592</v>
      </c>
      <c r="B1593" s="7">
        <v>0</v>
      </c>
    </row>
    <row r="1594" spans="1:2" x14ac:dyDescent="0.15">
      <c r="A1594" s="7">
        <v>1593</v>
      </c>
      <c r="B1594" s="7">
        <v>0</v>
      </c>
    </row>
    <row r="1595" spans="1:2" x14ac:dyDescent="0.15">
      <c r="A1595" s="7">
        <v>1594</v>
      </c>
      <c r="B1595" s="7">
        <v>0</v>
      </c>
    </row>
    <row r="1596" spans="1:2" x14ac:dyDescent="0.15">
      <c r="A1596" s="7">
        <v>1595</v>
      </c>
      <c r="B1596" s="7">
        <v>0</v>
      </c>
    </row>
    <row r="1597" spans="1:2" x14ac:dyDescent="0.15">
      <c r="A1597" s="7">
        <v>1596</v>
      </c>
      <c r="B1597" s="7">
        <v>0</v>
      </c>
    </row>
    <row r="1598" spans="1:2" x14ac:dyDescent="0.15">
      <c r="A1598" s="7">
        <v>1597</v>
      </c>
      <c r="B1598" s="7">
        <v>0</v>
      </c>
    </row>
    <row r="1599" spans="1:2" x14ac:dyDescent="0.15">
      <c r="A1599" s="7">
        <v>1598</v>
      </c>
      <c r="B1599" s="7">
        <v>1</v>
      </c>
    </row>
    <row r="1600" spans="1:2" x14ac:dyDescent="0.15">
      <c r="A1600" s="7">
        <v>1599</v>
      </c>
      <c r="B1600" s="7">
        <v>0</v>
      </c>
    </row>
    <row r="1601" spans="1:2" x14ac:dyDescent="0.15">
      <c r="A1601" s="7">
        <v>1600</v>
      </c>
      <c r="B1601" s="7">
        <v>0</v>
      </c>
    </row>
    <row r="1602" spans="1:2" x14ac:dyDescent="0.15">
      <c r="A1602" s="7">
        <v>1601</v>
      </c>
      <c r="B1602" s="7">
        <v>0</v>
      </c>
    </row>
    <row r="1603" spans="1:2" x14ac:dyDescent="0.15">
      <c r="A1603" s="7">
        <v>1602</v>
      </c>
      <c r="B1603" s="7">
        <v>0</v>
      </c>
    </row>
    <row r="1604" spans="1:2" x14ac:dyDescent="0.15">
      <c r="A1604" s="7">
        <v>1603</v>
      </c>
      <c r="B1604" s="7">
        <v>0</v>
      </c>
    </row>
    <row r="1605" spans="1:2" x14ac:dyDescent="0.15">
      <c r="A1605" s="7">
        <v>1604</v>
      </c>
      <c r="B1605" s="7">
        <v>0</v>
      </c>
    </row>
    <row r="1606" spans="1:2" x14ac:dyDescent="0.15">
      <c r="A1606" s="7">
        <v>1605</v>
      </c>
      <c r="B1606" s="7">
        <v>0</v>
      </c>
    </row>
    <row r="1607" spans="1:2" x14ac:dyDescent="0.15">
      <c r="A1607" s="7">
        <v>1606</v>
      </c>
      <c r="B1607" s="7">
        <v>0</v>
      </c>
    </row>
    <row r="1608" spans="1:2" x14ac:dyDescent="0.15">
      <c r="A1608" s="7">
        <v>1607</v>
      </c>
      <c r="B1608" s="7">
        <v>0</v>
      </c>
    </row>
    <row r="1609" spans="1:2" x14ac:dyDescent="0.15">
      <c r="A1609" s="7">
        <v>1608</v>
      </c>
      <c r="B1609" s="7">
        <v>0</v>
      </c>
    </row>
    <row r="1610" spans="1:2" x14ac:dyDescent="0.15">
      <c r="A1610" s="7">
        <v>1609</v>
      </c>
      <c r="B1610" s="7">
        <v>0</v>
      </c>
    </row>
    <row r="1611" spans="1:2" x14ac:dyDescent="0.15">
      <c r="A1611" s="7">
        <v>1610</v>
      </c>
      <c r="B1611" s="7">
        <v>0</v>
      </c>
    </row>
    <row r="1612" spans="1:2" x14ac:dyDescent="0.15">
      <c r="A1612" s="7">
        <v>1611</v>
      </c>
      <c r="B1612" s="7">
        <v>1</v>
      </c>
    </row>
    <row r="1613" spans="1:2" x14ac:dyDescent="0.15">
      <c r="A1613" s="7">
        <v>1612</v>
      </c>
      <c r="B1613" s="7">
        <v>1</v>
      </c>
    </row>
    <row r="1614" spans="1:2" x14ac:dyDescent="0.15">
      <c r="A1614" s="7">
        <v>1613</v>
      </c>
      <c r="B1614" s="7">
        <v>0</v>
      </c>
    </row>
    <row r="1615" spans="1:2" x14ac:dyDescent="0.15">
      <c r="A1615" s="7">
        <v>1614</v>
      </c>
      <c r="B1615" s="7">
        <v>0</v>
      </c>
    </row>
    <row r="1616" spans="1:2" x14ac:dyDescent="0.15">
      <c r="A1616" s="7">
        <v>1615</v>
      </c>
      <c r="B1616" s="7">
        <v>0</v>
      </c>
    </row>
    <row r="1617" spans="1:2" x14ac:dyDescent="0.15">
      <c r="A1617" s="7">
        <v>1616</v>
      </c>
      <c r="B1617" s="7">
        <v>3</v>
      </c>
    </row>
    <row r="1618" spans="1:2" x14ac:dyDescent="0.15">
      <c r="A1618" s="7">
        <v>1617</v>
      </c>
      <c r="B1618" s="7">
        <v>0</v>
      </c>
    </row>
    <row r="1619" spans="1:2" x14ac:dyDescent="0.15">
      <c r="A1619" s="7">
        <v>1618</v>
      </c>
      <c r="B1619" s="7">
        <v>0</v>
      </c>
    </row>
    <row r="1620" spans="1:2" x14ac:dyDescent="0.15">
      <c r="A1620" s="7">
        <v>1619</v>
      </c>
      <c r="B1620" s="7">
        <v>3</v>
      </c>
    </row>
    <row r="1621" spans="1:2" x14ac:dyDescent="0.15">
      <c r="A1621" s="7">
        <v>1620</v>
      </c>
      <c r="B1621" s="7">
        <v>0</v>
      </c>
    </row>
    <row r="1622" spans="1:2" x14ac:dyDescent="0.15">
      <c r="A1622" s="7">
        <v>1621</v>
      </c>
      <c r="B1622" s="7">
        <v>0</v>
      </c>
    </row>
    <row r="1623" spans="1:2" x14ac:dyDescent="0.15">
      <c r="A1623" s="7">
        <v>1622</v>
      </c>
      <c r="B1623" s="7">
        <v>0</v>
      </c>
    </row>
    <row r="1624" spans="1:2" x14ac:dyDescent="0.15">
      <c r="A1624" s="7">
        <v>1623</v>
      </c>
      <c r="B1624" s="7">
        <v>1</v>
      </c>
    </row>
    <row r="1625" spans="1:2" x14ac:dyDescent="0.15">
      <c r="A1625" s="7">
        <v>1624</v>
      </c>
      <c r="B1625" s="7">
        <v>0</v>
      </c>
    </row>
    <row r="1626" spans="1:2" x14ac:dyDescent="0.15">
      <c r="A1626" s="7">
        <v>1625</v>
      </c>
      <c r="B1626" s="7">
        <v>0</v>
      </c>
    </row>
    <row r="1627" spans="1:2" x14ac:dyDescent="0.15">
      <c r="A1627" s="7">
        <v>1626</v>
      </c>
      <c r="B1627" s="7">
        <v>0</v>
      </c>
    </row>
    <row r="1628" spans="1:2" x14ac:dyDescent="0.15">
      <c r="A1628" s="7">
        <v>1627</v>
      </c>
      <c r="B1628" s="7">
        <v>0</v>
      </c>
    </row>
    <row r="1629" spans="1:2" x14ac:dyDescent="0.15">
      <c r="A1629" s="7">
        <v>1628</v>
      </c>
      <c r="B1629" s="7">
        <v>0</v>
      </c>
    </row>
    <row r="1630" spans="1:2" x14ac:dyDescent="0.15">
      <c r="A1630" s="7">
        <v>1629</v>
      </c>
      <c r="B1630" s="7">
        <v>0</v>
      </c>
    </row>
    <row r="1631" spans="1:2" x14ac:dyDescent="0.15">
      <c r="A1631" s="7">
        <v>1630</v>
      </c>
      <c r="B1631" s="7">
        <v>0</v>
      </c>
    </row>
    <row r="1632" spans="1:2" x14ac:dyDescent="0.15">
      <c r="A1632" s="7">
        <v>1631</v>
      </c>
      <c r="B1632" s="7">
        <v>0</v>
      </c>
    </row>
    <row r="1633" spans="1:2" x14ac:dyDescent="0.15">
      <c r="A1633" s="7">
        <v>1632</v>
      </c>
      <c r="B1633" s="7">
        <v>1</v>
      </c>
    </row>
    <row r="1634" spans="1:2" x14ac:dyDescent="0.15">
      <c r="A1634" s="7">
        <v>1633</v>
      </c>
      <c r="B1634" s="7">
        <v>7</v>
      </c>
    </row>
    <row r="1635" spans="1:2" x14ac:dyDescent="0.15">
      <c r="A1635" s="7">
        <v>1634</v>
      </c>
      <c r="B1635" s="7">
        <v>0</v>
      </c>
    </row>
    <row r="1636" spans="1:2" x14ac:dyDescent="0.15">
      <c r="A1636" s="7">
        <v>1635</v>
      </c>
      <c r="B1636" s="7">
        <v>0</v>
      </c>
    </row>
    <row r="1637" spans="1:2" x14ac:dyDescent="0.15">
      <c r="A1637" s="7">
        <v>1636</v>
      </c>
      <c r="B1637" s="7">
        <v>0</v>
      </c>
    </row>
    <row r="1638" spans="1:2" x14ac:dyDescent="0.15">
      <c r="A1638" s="7">
        <v>1637</v>
      </c>
      <c r="B1638" s="7">
        <v>0</v>
      </c>
    </row>
    <row r="1639" spans="1:2" x14ac:dyDescent="0.15">
      <c r="A1639" s="7">
        <v>1638</v>
      </c>
      <c r="B1639" s="7">
        <v>0</v>
      </c>
    </row>
    <row r="1640" spans="1:2" x14ac:dyDescent="0.15">
      <c r="A1640" s="7">
        <v>1639</v>
      </c>
      <c r="B1640" s="7">
        <v>0</v>
      </c>
    </row>
    <row r="1641" spans="1:2" x14ac:dyDescent="0.15">
      <c r="A1641" s="7">
        <v>1640</v>
      </c>
      <c r="B1641" s="7">
        <v>0</v>
      </c>
    </row>
    <row r="1642" spans="1:2" x14ac:dyDescent="0.15">
      <c r="A1642" s="7">
        <v>1641</v>
      </c>
      <c r="B1642" s="7">
        <v>0</v>
      </c>
    </row>
    <row r="1643" spans="1:2" x14ac:dyDescent="0.15">
      <c r="A1643" s="7">
        <v>1642</v>
      </c>
      <c r="B1643" s="7">
        <v>0</v>
      </c>
    </row>
    <row r="1644" spans="1:2" x14ac:dyDescent="0.15">
      <c r="A1644" s="7">
        <v>1643</v>
      </c>
      <c r="B1644" s="7">
        <v>0</v>
      </c>
    </row>
    <row r="1645" spans="1:2" x14ac:dyDescent="0.15">
      <c r="A1645" s="7">
        <v>1644</v>
      </c>
      <c r="B1645" s="7">
        <v>1</v>
      </c>
    </row>
    <row r="1646" spans="1:2" x14ac:dyDescent="0.15">
      <c r="A1646" s="7">
        <v>1645</v>
      </c>
      <c r="B1646" s="7">
        <v>0</v>
      </c>
    </row>
    <row r="1647" spans="1:2" x14ac:dyDescent="0.15">
      <c r="A1647" s="7">
        <v>1646</v>
      </c>
      <c r="B1647" s="7">
        <v>0</v>
      </c>
    </row>
    <row r="1648" spans="1:2" x14ac:dyDescent="0.15">
      <c r="A1648" s="7">
        <v>1647</v>
      </c>
      <c r="B1648" s="7">
        <v>0</v>
      </c>
    </row>
    <row r="1649" spans="1:2" x14ac:dyDescent="0.15">
      <c r="A1649" s="7">
        <v>1648</v>
      </c>
      <c r="B1649" s="7">
        <v>0</v>
      </c>
    </row>
    <row r="1650" spans="1:2" x14ac:dyDescent="0.15">
      <c r="A1650" s="7">
        <v>1649</v>
      </c>
      <c r="B1650" s="7">
        <v>0</v>
      </c>
    </row>
    <row r="1651" spans="1:2" x14ac:dyDescent="0.15">
      <c r="A1651" s="7">
        <v>1650</v>
      </c>
      <c r="B1651" s="7">
        <v>0</v>
      </c>
    </row>
    <row r="1652" spans="1:2" x14ac:dyDescent="0.15">
      <c r="A1652" s="7">
        <v>1651</v>
      </c>
      <c r="B1652" s="7">
        <v>0</v>
      </c>
    </row>
    <row r="1653" spans="1:2" x14ac:dyDescent="0.15">
      <c r="A1653" s="7">
        <v>1652</v>
      </c>
      <c r="B1653" s="7">
        <v>0</v>
      </c>
    </row>
    <row r="1654" spans="1:2" x14ac:dyDescent="0.15">
      <c r="A1654" s="7">
        <v>1653</v>
      </c>
      <c r="B1654" s="7">
        <v>1</v>
      </c>
    </row>
    <row r="1655" spans="1:2" x14ac:dyDescent="0.15">
      <c r="A1655" s="7">
        <v>1654</v>
      </c>
      <c r="B1655" s="7">
        <v>1</v>
      </c>
    </row>
    <row r="1656" spans="1:2" x14ac:dyDescent="0.15">
      <c r="A1656" s="7">
        <v>1655</v>
      </c>
      <c r="B1656" s="7">
        <v>0</v>
      </c>
    </row>
    <row r="1657" spans="1:2" x14ac:dyDescent="0.15">
      <c r="A1657" s="7">
        <v>1656</v>
      </c>
      <c r="B1657" s="7">
        <v>1</v>
      </c>
    </row>
    <row r="1658" spans="1:2" x14ac:dyDescent="0.15">
      <c r="A1658" s="7">
        <v>1657</v>
      </c>
      <c r="B1658" s="7">
        <v>0</v>
      </c>
    </row>
    <row r="1659" spans="1:2" x14ac:dyDescent="0.15">
      <c r="A1659" s="7">
        <v>1658</v>
      </c>
      <c r="B1659" s="7">
        <v>0</v>
      </c>
    </row>
    <row r="1660" spans="1:2" x14ac:dyDescent="0.15">
      <c r="A1660" s="7">
        <v>1659</v>
      </c>
      <c r="B1660" s="7">
        <v>1</v>
      </c>
    </row>
    <row r="1661" spans="1:2" x14ac:dyDescent="0.15">
      <c r="A1661" s="7">
        <v>1660</v>
      </c>
      <c r="B1661" s="7">
        <v>1</v>
      </c>
    </row>
    <row r="1662" spans="1:2" x14ac:dyDescent="0.15">
      <c r="A1662" s="7">
        <v>1661</v>
      </c>
      <c r="B1662" s="7">
        <v>6</v>
      </c>
    </row>
    <row r="1663" spans="1:2" x14ac:dyDescent="0.15">
      <c r="A1663" s="7">
        <v>1662</v>
      </c>
      <c r="B1663" s="7">
        <v>1</v>
      </c>
    </row>
    <row r="1664" spans="1:2" x14ac:dyDescent="0.15">
      <c r="A1664" s="7">
        <v>1663</v>
      </c>
      <c r="B1664" s="7">
        <v>0</v>
      </c>
    </row>
    <row r="1665" spans="1:2" x14ac:dyDescent="0.15">
      <c r="A1665" s="7">
        <v>1664</v>
      </c>
      <c r="B1665" s="7">
        <v>0</v>
      </c>
    </row>
    <row r="1666" spans="1:2" x14ac:dyDescent="0.15">
      <c r="A1666" s="7">
        <v>1665</v>
      </c>
      <c r="B1666" s="7">
        <v>0</v>
      </c>
    </row>
    <row r="1667" spans="1:2" x14ac:dyDescent="0.15">
      <c r="A1667" s="7">
        <v>1666</v>
      </c>
      <c r="B1667" s="7">
        <v>0</v>
      </c>
    </row>
    <row r="1668" spans="1:2" x14ac:dyDescent="0.15">
      <c r="A1668" s="7">
        <v>1667</v>
      </c>
      <c r="B1668" s="7">
        <v>0</v>
      </c>
    </row>
    <row r="1669" spans="1:2" x14ac:dyDescent="0.15">
      <c r="A1669" s="7">
        <v>1668</v>
      </c>
      <c r="B1669" s="7">
        <v>0</v>
      </c>
    </row>
    <row r="1670" spans="1:2" x14ac:dyDescent="0.15">
      <c r="A1670" s="7">
        <v>1669</v>
      </c>
      <c r="B1670" s="7">
        <v>0</v>
      </c>
    </row>
    <row r="1671" spans="1:2" x14ac:dyDescent="0.15">
      <c r="A1671" s="7">
        <v>1670</v>
      </c>
      <c r="B1671" s="7">
        <v>0</v>
      </c>
    </row>
    <row r="1672" spans="1:2" x14ac:dyDescent="0.15">
      <c r="A1672" s="7">
        <v>1671</v>
      </c>
      <c r="B1672" s="7">
        <v>0</v>
      </c>
    </row>
    <row r="1673" spans="1:2" x14ac:dyDescent="0.15">
      <c r="A1673" s="7">
        <v>1672</v>
      </c>
      <c r="B1673" s="7">
        <v>0</v>
      </c>
    </row>
    <row r="1674" spans="1:2" x14ac:dyDescent="0.15">
      <c r="A1674" s="7">
        <v>1673</v>
      </c>
      <c r="B1674" s="7">
        <v>0</v>
      </c>
    </row>
    <row r="1675" spans="1:2" x14ac:dyDescent="0.15">
      <c r="A1675" s="7">
        <v>1674</v>
      </c>
      <c r="B1675" s="7">
        <v>1</v>
      </c>
    </row>
    <row r="1676" spans="1:2" x14ac:dyDescent="0.15">
      <c r="A1676" s="7">
        <v>1675</v>
      </c>
      <c r="B1676" s="7">
        <v>0</v>
      </c>
    </row>
    <row r="1677" spans="1:2" x14ac:dyDescent="0.15">
      <c r="A1677" s="7">
        <v>1676</v>
      </c>
      <c r="B1677" s="7">
        <v>0</v>
      </c>
    </row>
    <row r="1678" spans="1:2" x14ac:dyDescent="0.15">
      <c r="A1678" s="7">
        <v>1677</v>
      </c>
      <c r="B1678" s="7">
        <v>0</v>
      </c>
    </row>
    <row r="1679" spans="1:2" x14ac:dyDescent="0.15">
      <c r="A1679" s="7">
        <v>1678</v>
      </c>
      <c r="B1679" s="7">
        <v>0</v>
      </c>
    </row>
    <row r="1680" spans="1:2" x14ac:dyDescent="0.15">
      <c r="A1680" s="7">
        <v>1679</v>
      </c>
      <c r="B1680" s="7">
        <v>0</v>
      </c>
    </row>
    <row r="1681" spans="1:2" x14ac:dyDescent="0.15">
      <c r="A1681" s="7">
        <v>1680</v>
      </c>
      <c r="B1681" s="7">
        <v>0</v>
      </c>
    </row>
    <row r="1682" spans="1:2" x14ac:dyDescent="0.15">
      <c r="A1682" s="7">
        <v>1681</v>
      </c>
      <c r="B1682" s="7">
        <v>0</v>
      </c>
    </row>
    <row r="1683" spans="1:2" x14ac:dyDescent="0.15">
      <c r="A1683" s="7">
        <v>1682</v>
      </c>
      <c r="B1683" s="7">
        <v>1</v>
      </c>
    </row>
    <row r="1684" spans="1:2" x14ac:dyDescent="0.15">
      <c r="A1684" s="7">
        <v>1683</v>
      </c>
      <c r="B1684" s="7">
        <v>2</v>
      </c>
    </row>
    <row r="1685" spans="1:2" x14ac:dyDescent="0.15">
      <c r="A1685" s="7">
        <v>1684</v>
      </c>
      <c r="B1685" s="7">
        <v>0</v>
      </c>
    </row>
    <row r="1686" spans="1:2" x14ac:dyDescent="0.15">
      <c r="A1686" s="7">
        <v>1685</v>
      </c>
      <c r="B1686" s="7">
        <v>0</v>
      </c>
    </row>
    <row r="1687" spans="1:2" x14ac:dyDescent="0.15">
      <c r="A1687" s="7">
        <v>1686</v>
      </c>
      <c r="B1687" s="7">
        <v>0</v>
      </c>
    </row>
    <row r="1688" spans="1:2" x14ac:dyDescent="0.15">
      <c r="A1688" s="7">
        <v>1687</v>
      </c>
      <c r="B1688" s="7">
        <v>1</v>
      </c>
    </row>
    <row r="1689" spans="1:2" x14ac:dyDescent="0.15">
      <c r="A1689" s="7">
        <v>1688</v>
      </c>
      <c r="B1689" s="7">
        <v>0</v>
      </c>
    </row>
    <row r="1690" spans="1:2" x14ac:dyDescent="0.15">
      <c r="A1690" s="7">
        <v>1689</v>
      </c>
      <c r="B1690" s="7">
        <v>1</v>
      </c>
    </row>
    <row r="1691" spans="1:2" x14ac:dyDescent="0.15">
      <c r="A1691" s="7">
        <v>1690</v>
      </c>
      <c r="B1691" s="7">
        <v>0</v>
      </c>
    </row>
    <row r="1692" spans="1:2" x14ac:dyDescent="0.15">
      <c r="A1692" s="7">
        <v>1691</v>
      </c>
      <c r="B1692" s="7">
        <v>0</v>
      </c>
    </row>
    <row r="1693" spans="1:2" x14ac:dyDescent="0.15">
      <c r="A1693" s="7">
        <v>1692</v>
      </c>
      <c r="B1693" s="7">
        <v>0</v>
      </c>
    </row>
    <row r="1694" spans="1:2" x14ac:dyDescent="0.15">
      <c r="A1694" s="7">
        <v>1693</v>
      </c>
      <c r="B1694" s="7">
        <v>0</v>
      </c>
    </row>
    <row r="1695" spans="1:2" x14ac:dyDescent="0.15">
      <c r="A1695" s="7">
        <v>1694</v>
      </c>
      <c r="B1695" s="7">
        <v>1</v>
      </c>
    </row>
    <row r="1696" spans="1:2" x14ac:dyDescent="0.15">
      <c r="A1696" s="7">
        <v>1695</v>
      </c>
      <c r="B1696" s="7">
        <v>0</v>
      </c>
    </row>
    <row r="1697" spans="1:2" x14ac:dyDescent="0.15">
      <c r="A1697" s="7">
        <v>1696</v>
      </c>
      <c r="B1697" s="7">
        <v>0</v>
      </c>
    </row>
    <row r="1698" spans="1:2" x14ac:dyDescent="0.15">
      <c r="A1698" s="7">
        <v>1697</v>
      </c>
      <c r="B1698" s="7">
        <v>0</v>
      </c>
    </row>
    <row r="1699" spans="1:2" x14ac:dyDescent="0.15">
      <c r="A1699" s="7">
        <v>1698</v>
      </c>
      <c r="B1699" s="7">
        <v>0</v>
      </c>
    </row>
    <row r="1700" spans="1:2" x14ac:dyDescent="0.15">
      <c r="A1700" s="7">
        <v>1699</v>
      </c>
      <c r="B1700" s="7">
        <v>0</v>
      </c>
    </row>
    <row r="1701" spans="1:2" x14ac:dyDescent="0.15">
      <c r="A1701" s="7">
        <v>1700</v>
      </c>
      <c r="B1701" s="7">
        <v>0</v>
      </c>
    </row>
    <row r="1702" spans="1:2" x14ac:dyDescent="0.15">
      <c r="A1702" s="7">
        <v>1701</v>
      </c>
      <c r="B1702" s="7">
        <v>0</v>
      </c>
    </row>
    <row r="1703" spans="1:2" x14ac:dyDescent="0.15">
      <c r="A1703" s="7">
        <v>1702</v>
      </c>
      <c r="B1703" s="7">
        <v>4</v>
      </c>
    </row>
    <row r="1704" spans="1:2" x14ac:dyDescent="0.15">
      <c r="A1704" s="7">
        <v>1703</v>
      </c>
      <c r="B1704" s="7">
        <v>0</v>
      </c>
    </row>
    <row r="1705" spans="1:2" x14ac:dyDescent="0.15">
      <c r="A1705" s="7">
        <v>1704</v>
      </c>
      <c r="B1705" s="7">
        <v>0</v>
      </c>
    </row>
    <row r="1706" spans="1:2" x14ac:dyDescent="0.15">
      <c r="A1706" s="7">
        <v>1705</v>
      </c>
      <c r="B1706" s="7">
        <v>0</v>
      </c>
    </row>
    <row r="1707" spans="1:2" x14ac:dyDescent="0.15">
      <c r="A1707" s="7">
        <v>1706</v>
      </c>
      <c r="B1707" s="7">
        <v>0</v>
      </c>
    </row>
    <row r="1708" spans="1:2" x14ac:dyDescent="0.15">
      <c r="A1708" s="7">
        <v>1707</v>
      </c>
      <c r="B1708" s="7">
        <v>2</v>
      </c>
    </row>
    <row r="1709" spans="1:2" x14ac:dyDescent="0.15">
      <c r="A1709" s="7">
        <v>1708</v>
      </c>
      <c r="B1709" s="7">
        <v>0</v>
      </c>
    </row>
    <row r="1710" spans="1:2" x14ac:dyDescent="0.15">
      <c r="A1710" s="7">
        <v>1709</v>
      </c>
      <c r="B1710" s="7">
        <v>0</v>
      </c>
    </row>
    <row r="1711" spans="1:2" x14ac:dyDescent="0.15">
      <c r="A1711" s="7">
        <v>1710</v>
      </c>
      <c r="B1711" s="7">
        <v>0</v>
      </c>
    </row>
    <row r="1712" spans="1:2" x14ac:dyDescent="0.15">
      <c r="A1712" s="7">
        <v>1711</v>
      </c>
      <c r="B1712" s="7">
        <v>0</v>
      </c>
    </row>
    <row r="1713" spans="1:2" x14ac:dyDescent="0.15">
      <c r="A1713" s="7">
        <v>1712</v>
      </c>
      <c r="B1713" s="7">
        <v>0</v>
      </c>
    </row>
    <row r="1714" spans="1:2" x14ac:dyDescent="0.15">
      <c r="A1714" s="7">
        <v>1713</v>
      </c>
      <c r="B1714" s="7">
        <v>1</v>
      </c>
    </row>
    <row r="1715" spans="1:2" x14ac:dyDescent="0.15">
      <c r="A1715" s="7">
        <v>1714</v>
      </c>
      <c r="B1715" s="7">
        <v>2</v>
      </c>
    </row>
    <row r="1716" spans="1:2" x14ac:dyDescent="0.15">
      <c r="A1716" s="7">
        <v>1715</v>
      </c>
      <c r="B1716" s="7">
        <v>0</v>
      </c>
    </row>
    <row r="1717" spans="1:2" x14ac:dyDescent="0.15">
      <c r="A1717" s="7">
        <v>1716</v>
      </c>
      <c r="B1717" s="7">
        <v>1</v>
      </c>
    </row>
    <row r="1718" spans="1:2" x14ac:dyDescent="0.15">
      <c r="A1718" s="7">
        <v>1717</v>
      </c>
      <c r="B1718" s="7">
        <v>0</v>
      </c>
    </row>
    <row r="1719" spans="1:2" x14ac:dyDescent="0.15">
      <c r="A1719" s="7">
        <v>1718</v>
      </c>
      <c r="B1719" s="7">
        <v>0</v>
      </c>
    </row>
    <row r="1720" spans="1:2" x14ac:dyDescent="0.15">
      <c r="A1720" s="7">
        <v>1719</v>
      </c>
      <c r="B1720" s="7">
        <v>0</v>
      </c>
    </row>
    <row r="1721" spans="1:2" x14ac:dyDescent="0.15">
      <c r="A1721" s="7">
        <v>1720</v>
      </c>
      <c r="B1721" s="7">
        <v>0</v>
      </c>
    </row>
    <row r="1722" spans="1:2" x14ac:dyDescent="0.15">
      <c r="A1722" s="7">
        <v>1721</v>
      </c>
      <c r="B1722" s="7">
        <v>0</v>
      </c>
    </row>
    <row r="1723" spans="1:2" x14ac:dyDescent="0.15">
      <c r="A1723" s="7">
        <v>1722</v>
      </c>
      <c r="B1723" s="7">
        <v>0</v>
      </c>
    </row>
    <row r="1724" spans="1:2" x14ac:dyDescent="0.15">
      <c r="A1724" s="7">
        <v>1723</v>
      </c>
      <c r="B1724" s="7">
        <v>0</v>
      </c>
    </row>
    <row r="1725" spans="1:2" x14ac:dyDescent="0.15">
      <c r="A1725" s="7">
        <v>1724</v>
      </c>
      <c r="B1725" s="7">
        <v>21</v>
      </c>
    </row>
    <row r="1726" spans="1:2" x14ac:dyDescent="0.15">
      <c r="A1726" s="7">
        <v>1725</v>
      </c>
      <c r="B1726" s="7">
        <v>0</v>
      </c>
    </row>
    <row r="1727" spans="1:2" x14ac:dyDescent="0.15">
      <c r="A1727" s="7">
        <v>1726</v>
      </c>
      <c r="B1727" s="7">
        <v>0</v>
      </c>
    </row>
    <row r="1728" spans="1:2" x14ac:dyDescent="0.15">
      <c r="A1728" s="7">
        <v>1727</v>
      </c>
      <c r="B1728" s="7">
        <v>2</v>
      </c>
    </row>
    <row r="1729" spans="1:2" x14ac:dyDescent="0.15">
      <c r="A1729" s="7">
        <v>1728</v>
      </c>
      <c r="B1729" s="7">
        <v>3</v>
      </c>
    </row>
    <row r="1730" spans="1:2" x14ac:dyDescent="0.15">
      <c r="A1730" s="7">
        <v>1729</v>
      </c>
      <c r="B1730" s="7">
        <v>0</v>
      </c>
    </row>
    <row r="1731" spans="1:2" x14ac:dyDescent="0.15">
      <c r="A1731" s="7">
        <v>1730</v>
      </c>
      <c r="B1731" s="7">
        <v>0</v>
      </c>
    </row>
    <row r="1732" spans="1:2" x14ac:dyDescent="0.15">
      <c r="A1732" s="7">
        <v>1731</v>
      </c>
      <c r="B1732" s="7">
        <v>0</v>
      </c>
    </row>
    <row r="1733" spans="1:2" x14ac:dyDescent="0.15">
      <c r="A1733" s="7">
        <v>1732</v>
      </c>
      <c r="B1733" s="7">
        <v>0</v>
      </c>
    </row>
    <row r="1734" spans="1:2" x14ac:dyDescent="0.15">
      <c r="A1734" s="7">
        <v>1733</v>
      </c>
      <c r="B1734" s="7">
        <v>0</v>
      </c>
    </row>
    <row r="1735" spans="1:2" x14ac:dyDescent="0.15">
      <c r="A1735" s="7">
        <v>1734</v>
      </c>
      <c r="B1735" s="7">
        <v>0</v>
      </c>
    </row>
    <row r="1736" spans="1:2" x14ac:dyDescent="0.15">
      <c r="A1736" s="7">
        <v>1735</v>
      </c>
      <c r="B1736" s="7">
        <v>3</v>
      </c>
    </row>
    <row r="1737" spans="1:2" x14ac:dyDescent="0.15">
      <c r="A1737" s="7">
        <v>1736</v>
      </c>
      <c r="B1737" s="7">
        <v>0</v>
      </c>
    </row>
    <row r="1738" spans="1:2" x14ac:dyDescent="0.15">
      <c r="A1738" s="7">
        <v>1737</v>
      </c>
      <c r="B1738" s="7">
        <v>0</v>
      </c>
    </row>
    <row r="1739" spans="1:2" x14ac:dyDescent="0.15">
      <c r="A1739" s="7">
        <v>1738</v>
      </c>
      <c r="B1739" s="7">
        <v>0</v>
      </c>
    </row>
    <row r="1740" spans="1:2" x14ac:dyDescent="0.15">
      <c r="A1740" s="7">
        <v>1739</v>
      </c>
      <c r="B1740" s="7">
        <v>0</v>
      </c>
    </row>
    <row r="1741" spans="1:2" x14ac:dyDescent="0.15">
      <c r="A1741" s="7">
        <v>1740</v>
      </c>
      <c r="B1741" s="7">
        <v>0</v>
      </c>
    </row>
    <row r="1742" spans="1:2" x14ac:dyDescent="0.15">
      <c r="A1742" s="7">
        <v>1741</v>
      </c>
      <c r="B1742" s="7">
        <v>0</v>
      </c>
    </row>
    <row r="1743" spans="1:2" x14ac:dyDescent="0.15">
      <c r="A1743" s="7">
        <v>1742</v>
      </c>
      <c r="B1743" s="7">
        <v>0</v>
      </c>
    </row>
    <row r="1744" spans="1:2" x14ac:dyDescent="0.15">
      <c r="A1744" s="7">
        <v>1743</v>
      </c>
      <c r="B1744" s="7">
        <v>0</v>
      </c>
    </row>
    <row r="1745" spans="1:2" x14ac:dyDescent="0.15">
      <c r="A1745" s="7">
        <v>1744</v>
      </c>
      <c r="B1745" s="7">
        <v>0</v>
      </c>
    </row>
    <row r="1746" spans="1:2" x14ac:dyDescent="0.15">
      <c r="A1746" s="7">
        <v>1745</v>
      </c>
      <c r="B1746" s="7">
        <v>0</v>
      </c>
    </row>
    <row r="1747" spans="1:2" x14ac:dyDescent="0.15">
      <c r="A1747" s="7">
        <v>1746</v>
      </c>
      <c r="B1747" s="7">
        <v>0</v>
      </c>
    </row>
    <row r="1748" spans="1:2" x14ac:dyDescent="0.15">
      <c r="A1748" s="7">
        <v>1747</v>
      </c>
      <c r="B1748" s="7">
        <v>1</v>
      </c>
    </row>
    <row r="1749" spans="1:2" x14ac:dyDescent="0.15">
      <c r="A1749" s="7">
        <v>1748</v>
      </c>
      <c r="B1749" s="7">
        <v>0</v>
      </c>
    </row>
    <row r="1750" spans="1:2" x14ac:dyDescent="0.15">
      <c r="A1750" s="7">
        <v>1749</v>
      </c>
      <c r="B1750" s="7">
        <v>0</v>
      </c>
    </row>
    <row r="1751" spans="1:2" x14ac:dyDescent="0.15">
      <c r="A1751" s="7">
        <v>1750</v>
      </c>
      <c r="B1751" s="7">
        <v>0</v>
      </c>
    </row>
    <row r="1752" spans="1:2" x14ac:dyDescent="0.15">
      <c r="A1752" s="7">
        <v>1751</v>
      </c>
      <c r="B1752" s="7">
        <v>0</v>
      </c>
    </row>
    <row r="1753" spans="1:2" x14ac:dyDescent="0.15">
      <c r="A1753" s="7">
        <v>1752</v>
      </c>
      <c r="B1753" s="7">
        <v>0</v>
      </c>
    </row>
    <row r="1754" spans="1:2" x14ac:dyDescent="0.15">
      <c r="A1754" s="7">
        <v>1753</v>
      </c>
      <c r="B1754" s="7">
        <v>0</v>
      </c>
    </row>
    <row r="1755" spans="1:2" x14ac:dyDescent="0.15">
      <c r="A1755" s="7">
        <v>1754</v>
      </c>
      <c r="B1755" s="7">
        <v>0</v>
      </c>
    </row>
    <row r="1756" spans="1:2" x14ac:dyDescent="0.15">
      <c r="A1756" s="7">
        <v>1755</v>
      </c>
      <c r="B1756" s="7">
        <v>0</v>
      </c>
    </row>
    <row r="1757" spans="1:2" x14ac:dyDescent="0.15">
      <c r="A1757" s="7">
        <v>1756</v>
      </c>
      <c r="B1757" s="7">
        <v>0</v>
      </c>
    </row>
    <row r="1758" spans="1:2" x14ac:dyDescent="0.15">
      <c r="A1758" s="7">
        <v>1757</v>
      </c>
      <c r="B1758" s="7">
        <v>0</v>
      </c>
    </row>
    <row r="1759" spans="1:2" x14ac:dyDescent="0.15">
      <c r="A1759" s="7">
        <v>1758</v>
      </c>
      <c r="B1759" s="7">
        <v>0</v>
      </c>
    </row>
    <row r="1760" spans="1:2" x14ac:dyDescent="0.15">
      <c r="A1760" s="7">
        <v>1759</v>
      </c>
      <c r="B1760" s="7">
        <v>0</v>
      </c>
    </row>
    <row r="1761" spans="1:2" x14ac:dyDescent="0.15">
      <c r="A1761" s="7">
        <v>1760</v>
      </c>
      <c r="B1761" s="7">
        <v>0</v>
      </c>
    </row>
    <row r="1762" spans="1:2" x14ac:dyDescent="0.15">
      <c r="A1762" s="7">
        <v>1761</v>
      </c>
      <c r="B1762" s="7">
        <v>1</v>
      </c>
    </row>
    <row r="1763" spans="1:2" x14ac:dyDescent="0.15">
      <c r="A1763" s="7">
        <v>1762</v>
      </c>
      <c r="B1763" s="7">
        <v>3</v>
      </c>
    </row>
    <row r="1764" spans="1:2" x14ac:dyDescent="0.15">
      <c r="A1764" s="7">
        <v>1763</v>
      </c>
      <c r="B1764" s="7">
        <v>1</v>
      </c>
    </row>
    <row r="1765" spans="1:2" x14ac:dyDescent="0.15">
      <c r="A1765" s="7">
        <v>1764</v>
      </c>
      <c r="B1765" s="7">
        <v>0</v>
      </c>
    </row>
    <row r="1766" spans="1:2" x14ac:dyDescent="0.15">
      <c r="A1766" s="7">
        <v>1765</v>
      </c>
      <c r="B1766" s="7">
        <v>0</v>
      </c>
    </row>
    <row r="1767" spans="1:2" x14ac:dyDescent="0.15">
      <c r="A1767" s="7">
        <v>1766</v>
      </c>
      <c r="B1767" s="7">
        <v>0</v>
      </c>
    </row>
    <row r="1768" spans="1:2" x14ac:dyDescent="0.15">
      <c r="A1768" s="7">
        <v>1767</v>
      </c>
      <c r="B1768" s="7">
        <v>1</v>
      </c>
    </row>
    <row r="1769" spans="1:2" x14ac:dyDescent="0.15">
      <c r="A1769" s="7">
        <v>1768</v>
      </c>
      <c r="B1769" s="7">
        <v>0</v>
      </c>
    </row>
    <row r="1770" spans="1:2" x14ac:dyDescent="0.15">
      <c r="A1770" s="7">
        <v>1769</v>
      </c>
      <c r="B1770" s="7">
        <v>0</v>
      </c>
    </row>
    <row r="1771" spans="1:2" x14ac:dyDescent="0.15">
      <c r="A1771" s="7">
        <v>1770</v>
      </c>
      <c r="B1771" s="7">
        <v>0</v>
      </c>
    </row>
    <row r="1772" spans="1:2" x14ac:dyDescent="0.15">
      <c r="A1772" s="7">
        <v>1771</v>
      </c>
      <c r="B1772" s="7">
        <v>0</v>
      </c>
    </row>
    <row r="1773" spans="1:2" x14ac:dyDescent="0.15">
      <c r="A1773" s="7">
        <v>1772</v>
      </c>
      <c r="B1773" s="7">
        <v>2</v>
      </c>
    </row>
    <row r="1774" spans="1:2" x14ac:dyDescent="0.15">
      <c r="A1774" s="7">
        <v>1773</v>
      </c>
      <c r="B1774" s="7">
        <v>2</v>
      </c>
    </row>
    <row r="1775" spans="1:2" x14ac:dyDescent="0.15">
      <c r="A1775" s="7">
        <v>1774</v>
      </c>
      <c r="B1775" s="7">
        <v>0</v>
      </c>
    </row>
    <row r="1776" spans="1:2" x14ac:dyDescent="0.15">
      <c r="A1776" s="7">
        <v>1775</v>
      </c>
      <c r="B1776" s="7">
        <v>0</v>
      </c>
    </row>
    <row r="1777" spans="1:2" x14ac:dyDescent="0.15">
      <c r="A1777" s="7">
        <v>1776</v>
      </c>
      <c r="B1777" s="7">
        <v>0</v>
      </c>
    </row>
    <row r="1778" spans="1:2" x14ac:dyDescent="0.15">
      <c r="A1778" s="7">
        <v>1777</v>
      </c>
      <c r="B1778" s="7">
        <v>0</v>
      </c>
    </row>
    <row r="1779" spans="1:2" x14ac:dyDescent="0.15">
      <c r="A1779" s="7">
        <v>1778</v>
      </c>
      <c r="B1779" s="7">
        <v>0</v>
      </c>
    </row>
    <row r="1780" spans="1:2" x14ac:dyDescent="0.15">
      <c r="A1780" s="7">
        <v>1779</v>
      </c>
      <c r="B1780" s="7">
        <v>0</v>
      </c>
    </row>
    <row r="1781" spans="1:2" x14ac:dyDescent="0.15">
      <c r="A1781" s="7">
        <v>1780</v>
      </c>
      <c r="B1781" s="7">
        <v>0</v>
      </c>
    </row>
    <row r="1782" spans="1:2" x14ac:dyDescent="0.15">
      <c r="A1782" s="7">
        <v>1781</v>
      </c>
      <c r="B1782" s="7">
        <v>0</v>
      </c>
    </row>
    <row r="1783" spans="1:2" x14ac:dyDescent="0.15">
      <c r="A1783" s="7">
        <v>1782</v>
      </c>
      <c r="B1783" s="7">
        <v>0</v>
      </c>
    </row>
    <row r="1784" spans="1:2" x14ac:dyDescent="0.15">
      <c r="A1784" s="7">
        <v>1783</v>
      </c>
      <c r="B1784" s="7">
        <v>0</v>
      </c>
    </row>
    <row r="1785" spans="1:2" x14ac:dyDescent="0.15">
      <c r="A1785" s="7">
        <v>1784</v>
      </c>
      <c r="B1785" s="7">
        <v>1</v>
      </c>
    </row>
    <row r="1786" spans="1:2" x14ac:dyDescent="0.15">
      <c r="A1786" s="7">
        <v>1785</v>
      </c>
      <c r="B1786" s="7">
        <v>0</v>
      </c>
    </row>
    <row r="1787" spans="1:2" x14ac:dyDescent="0.15">
      <c r="A1787" s="7">
        <v>1786</v>
      </c>
      <c r="B1787" s="7">
        <v>0</v>
      </c>
    </row>
    <row r="1788" spans="1:2" x14ac:dyDescent="0.15">
      <c r="A1788" s="7">
        <v>1787</v>
      </c>
      <c r="B1788" s="7">
        <v>0</v>
      </c>
    </row>
    <row r="1789" spans="1:2" x14ac:dyDescent="0.15">
      <c r="A1789" s="7">
        <v>1788</v>
      </c>
      <c r="B1789" s="7">
        <v>0</v>
      </c>
    </row>
    <row r="1790" spans="1:2" x14ac:dyDescent="0.15">
      <c r="A1790" s="7">
        <v>1789</v>
      </c>
      <c r="B1790" s="7">
        <v>0</v>
      </c>
    </row>
    <row r="1791" spans="1:2" x14ac:dyDescent="0.15">
      <c r="A1791" s="7">
        <v>1790</v>
      </c>
      <c r="B1791" s="7">
        <v>0</v>
      </c>
    </row>
    <row r="1792" spans="1:2" x14ac:dyDescent="0.15">
      <c r="A1792" s="7">
        <v>1791</v>
      </c>
      <c r="B1792" s="7">
        <v>0</v>
      </c>
    </row>
    <row r="1793" spans="1:2" x14ac:dyDescent="0.15">
      <c r="A1793" s="7">
        <v>1792</v>
      </c>
      <c r="B1793" s="7">
        <v>0</v>
      </c>
    </row>
    <row r="1794" spans="1:2" x14ac:dyDescent="0.15">
      <c r="A1794" s="7">
        <v>1793</v>
      </c>
      <c r="B1794" s="7">
        <v>11</v>
      </c>
    </row>
    <row r="1795" spans="1:2" x14ac:dyDescent="0.15">
      <c r="A1795" s="7">
        <v>1794</v>
      </c>
      <c r="B1795" s="7">
        <v>0</v>
      </c>
    </row>
    <row r="1796" spans="1:2" x14ac:dyDescent="0.15">
      <c r="A1796" s="7">
        <v>1795</v>
      </c>
      <c r="B1796" s="7">
        <v>4</v>
      </c>
    </row>
    <row r="1797" spans="1:2" x14ac:dyDescent="0.15">
      <c r="A1797" s="7">
        <v>1796</v>
      </c>
      <c r="B1797" s="7">
        <v>1</v>
      </c>
    </row>
    <row r="1798" spans="1:2" x14ac:dyDescent="0.15">
      <c r="A1798" s="7">
        <v>1797</v>
      </c>
      <c r="B1798" s="7">
        <v>0</v>
      </c>
    </row>
    <row r="1799" spans="1:2" x14ac:dyDescent="0.15">
      <c r="A1799" s="7">
        <v>1798</v>
      </c>
      <c r="B1799" s="7">
        <v>0</v>
      </c>
    </row>
    <row r="1800" spans="1:2" x14ac:dyDescent="0.15">
      <c r="A1800" s="7">
        <v>1799</v>
      </c>
      <c r="B1800" s="7">
        <v>15</v>
      </c>
    </row>
    <row r="1801" spans="1:2" x14ac:dyDescent="0.15">
      <c r="A1801" s="7">
        <v>1800</v>
      </c>
      <c r="B1801" s="7">
        <v>0</v>
      </c>
    </row>
    <row r="1802" spans="1:2" x14ac:dyDescent="0.15">
      <c r="A1802" s="7">
        <v>1801</v>
      </c>
      <c r="B1802" s="7">
        <v>0</v>
      </c>
    </row>
    <row r="1803" spans="1:2" x14ac:dyDescent="0.15">
      <c r="A1803" s="7">
        <v>1802</v>
      </c>
      <c r="B1803" s="7">
        <v>4</v>
      </c>
    </row>
    <row r="1804" spans="1:2" x14ac:dyDescent="0.15">
      <c r="A1804" s="7">
        <v>1803</v>
      </c>
      <c r="B1804" s="7">
        <v>0</v>
      </c>
    </row>
    <row r="1805" spans="1:2" x14ac:dyDescent="0.15">
      <c r="A1805" s="7">
        <v>1804</v>
      </c>
      <c r="B1805" s="7">
        <v>9</v>
      </c>
    </row>
    <row r="1806" spans="1:2" x14ac:dyDescent="0.15">
      <c r="A1806" s="7">
        <v>1805</v>
      </c>
      <c r="B1806" s="7">
        <v>0</v>
      </c>
    </row>
    <row r="1807" spans="1:2" x14ac:dyDescent="0.15">
      <c r="A1807" s="7">
        <v>1806</v>
      </c>
      <c r="B1807" s="7">
        <v>9</v>
      </c>
    </row>
    <row r="1808" spans="1:2" x14ac:dyDescent="0.15">
      <c r="A1808" s="7">
        <v>1807</v>
      </c>
      <c r="B1808" s="7">
        <v>0</v>
      </c>
    </row>
    <row r="1809" spans="1:2" x14ac:dyDescent="0.15">
      <c r="A1809" s="7">
        <v>1808</v>
      </c>
      <c r="B1809" s="7">
        <v>0</v>
      </c>
    </row>
    <row r="1810" spans="1:2" x14ac:dyDescent="0.15">
      <c r="A1810" s="7">
        <v>1809</v>
      </c>
      <c r="B1810" s="7">
        <v>0</v>
      </c>
    </row>
    <row r="1811" spans="1:2" x14ac:dyDescent="0.15">
      <c r="A1811" s="7">
        <v>1810</v>
      </c>
      <c r="B1811" s="7">
        <v>0</v>
      </c>
    </row>
    <row r="1812" spans="1:2" x14ac:dyDescent="0.15">
      <c r="A1812" s="7">
        <v>1811</v>
      </c>
      <c r="B1812" s="7">
        <v>0</v>
      </c>
    </row>
    <row r="1813" spans="1:2" x14ac:dyDescent="0.15">
      <c r="A1813" s="7">
        <v>1812</v>
      </c>
      <c r="B1813" s="7">
        <v>3</v>
      </c>
    </row>
    <row r="1814" spans="1:2" x14ac:dyDescent="0.15">
      <c r="A1814" s="7">
        <v>1813</v>
      </c>
      <c r="B1814" s="7">
        <v>0</v>
      </c>
    </row>
    <row r="1815" spans="1:2" x14ac:dyDescent="0.15">
      <c r="A1815" s="7">
        <v>1814</v>
      </c>
      <c r="B1815" s="7">
        <v>0</v>
      </c>
    </row>
    <row r="1816" spans="1:2" x14ac:dyDescent="0.15">
      <c r="A1816" s="7">
        <v>1815</v>
      </c>
      <c r="B1816" s="7">
        <v>0</v>
      </c>
    </row>
    <row r="1817" spans="1:2" x14ac:dyDescent="0.15">
      <c r="A1817" s="7">
        <v>1816</v>
      </c>
      <c r="B1817" s="7">
        <v>2</v>
      </c>
    </row>
    <row r="1818" spans="1:2" x14ac:dyDescent="0.15">
      <c r="A1818" s="7">
        <v>1817</v>
      </c>
      <c r="B1818" s="7">
        <v>0</v>
      </c>
    </row>
    <row r="1819" spans="1:2" x14ac:dyDescent="0.15">
      <c r="A1819" s="7">
        <v>1818</v>
      </c>
      <c r="B1819" s="7">
        <v>0</v>
      </c>
    </row>
    <row r="1820" spans="1:2" x14ac:dyDescent="0.15">
      <c r="A1820" s="7">
        <v>1819</v>
      </c>
      <c r="B1820" s="7">
        <v>1</v>
      </c>
    </row>
    <row r="1821" spans="1:2" x14ac:dyDescent="0.15">
      <c r="A1821" s="7">
        <v>1820</v>
      </c>
      <c r="B1821" s="7">
        <v>0</v>
      </c>
    </row>
    <row r="1822" spans="1:2" x14ac:dyDescent="0.15">
      <c r="A1822" s="7">
        <v>1821</v>
      </c>
      <c r="B1822" s="7">
        <v>0</v>
      </c>
    </row>
    <row r="1823" spans="1:2" x14ac:dyDescent="0.15">
      <c r="A1823" s="7">
        <v>1822</v>
      </c>
      <c r="B1823" s="7">
        <v>0</v>
      </c>
    </row>
    <row r="1824" spans="1:2" x14ac:dyDescent="0.15">
      <c r="A1824" s="7">
        <v>1823</v>
      </c>
      <c r="B1824" s="7">
        <v>0</v>
      </c>
    </row>
    <row r="1825" spans="1:2" x14ac:dyDescent="0.15">
      <c r="A1825" s="7">
        <v>1824</v>
      </c>
      <c r="B1825" s="7">
        <v>0</v>
      </c>
    </row>
    <row r="1826" spans="1:2" x14ac:dyDescent="0.15">
      <c r="A1826" s="7">
        <v>1825</v>
      </c>
      <c r="B1826" s="7">
        <v>0</v>
      </c>
    </row>
    <row r="1827" spans="1:2" x14ac:dyDescent="0.15">
      <c r="A1827" s="7">
        <v>1826</v>
      </c>
      <c r="B1827" s="7">
        <v>0</v>
      </c>
    </row>
    <row r="1828" spans="1:2" x14ac:dyDescent="0.15">
      <c r="A1828" s="7">
        <v>1827</v>
      </c>
      <c r="B1828" s="7">
        <v>0</v>
      </c>
    </row>
    <row r="1829" spans="1:2" x14ac:dyDescent="0.15">
      <c r="A1829" s="7">
        <v>1828</v>
      </c>
      <c r="B1829" s="7">
        <v>0</v>
      </c>
    </row>
    <row r="1830" spans="1:2" x14ac:dyDescent="0.15">
      <c r="A1830" s="7">
        <v>1829</v>
      </c>
      <c r="B1830" s="7">
        <v>0</v>
      </c>
    </row>
    <row r="1831" spans="1:2" x14ac:dyDescent="0.15">
      <c r="A1831" s="7">
        <v>1830</v>
      </c>
      <c r="B1831" s="7">
        <v>0</v>
      </c>
    </row>
    <row r="1832" spans="1:2" x14ac:dyDescent="0.15">
      <c r="A1832" s="7">
        <v>1831</v>
      </c>
      <c r="B1832" s="7">
        <v>0</v>
      </c>
    </row>
    <row r="1833" spans="1:2" x14ac:dyDescent="0.15">
      <c r="A1833" s="7">
        <v>1832</v>
      </c>
      <c r="B1833" s="7">
        <v>1</v>
      </c>
    </row>
    <row r="1834" spans="1:2" x14ac:dyDescent="0.15">
      <c r="A1834" s="7">
        <v>1833</v>
      </c>
      <c r="B1834" s="7">
        <v>0</v>
      </c>
    </row>
    <row r="1835" spans="1:2" x14ac:dyDescent="0.15">
      <c r="A1835" s="7">
        <v>1834</v>
      </c>
      <c r="B1835" s="7">
        <v>0</v>
      </c>
    </row>
    <row r="1836" spans="1:2" x14ac:dyDescent="0.15">
      <c r="A1836" s="7">
        <v>1835</v>
      </c>
      <c r="B1836" s="7">
        <v>0</v>
      </c>
    </row>
    <row r="1837" spans="1:2" x14ac:dyDescent="0.15">
      <c r="A1837" s="7">
        <v>1836</v>
      </c>
      <c r="B1837" s="7">
        <v>0</v>
      </c>
    </row>
    <row r="1838" spans="1:2" x14ac:dyDescent="0.15">
      <c r="A1838" s="7">
        <v>1837</v>
      </c>
      <c r="B1838" s="7">
        <v>0</v>
      </c>
    </row>
    <row r="1839" spans="1:2" x14ac:dyDescent="0.15">
      <c r="A1839" s="7">
        <v>1838</v>
      </c>
      <c r="B1839" s="7">
        <v>0</v>
      </c>
    </row>
    <row r="1840" spans="1:2" x14ac:dyDescent="0.15">
      <c r="A1840" s="7">
        <v>1839</v>
      </c>
      <c r="B1840" s="7">
        <v>2</v>
      </c>
    </row>
    <row r="1841" spans="1:2" x14ac:dyDescent="0.15">
      <c r="A1841" s="7">
        <v>1840</v>
      </c>
      <c r="B1841" s="7">
        <v>0</v>
      </c>
    </row>
    <row r="1842" spans="1:2" x14ac:dyDescent="0.15">
      <c r="A1842" s="7">
        <v>1841</v>
      </c>
      <c r="B1842" s="7">
        <v>1</v>
      </c>
    </row>
    <row r="1843" spans="1:2" x14ac:dyDescent="0.15">
      <c r="A1843" s="7">
        <v>1842</v>
      </c>
      <c r="B1843" s="7">
        <v>6</v>
      </c>
    </row>
    <row r="1844" spans="1:2" x14ac:dyDescent="0.15">
      <c r="A1844" s="7">
        <v>1843</v>
      </c>
      <c r="B1844" s="7">
        <v>0</v>
      </c>
    </row>
    <row r="1845" spans="1:2" x14ac:dyDescent="0.15">
      <c r="A1845" s="7">
        <v>1844</v>
      </c>
      <c r="B1845" s="7">
        <v>2</v>
      </c>
    </row>
    <row r="1846" spans="1:2" x14ac:dyDescent="0.15">
      <c r="A1846" s="7">
        <v>1845</v>
      </c>
      <c r="B1846" s="7">
        <v>2</v>
      </c>
    </row>
    <row r="1847" spans="1:2" x14ac:dyDescent="0.15">
      <c r="A1847" s="7">
        <v>1846</v>
      </c>
      <c r="B1847" s="7">
        <v>0</v>
      </c>
    </row>
    <row r="1848" spans="1:2" x14ac:dyDescent="0.15">
      <c r="A1848" s="7">
        <v>1847</v>
      </c>
      <c r="B1848" s="7">
        <v>0</v>
      </c>
    </row>
    <row r="1849" spans="1:2" x14ac:dyDescent="0.15">
      <c r="A1849" s="7">
        <v>1848</v>
      </c>
      <c r="B1849" s="7">
        <v>0</v>
      </c>
    </row>
    <row r="1850" spans="1:2" x14ac:dyDescent="0.15">
      <c r="A1850" s="7">
        <v>1849</v>
      </c>
      <c r="B1850" s="7">
        <v>1</v>
      </c>
    </row>
    <row r="1851" spans="1:2" x14ac:dyDescent="0.15">
      <c r="A1851" s="7">
        <v>1850</v>
      </c>
      <c r="B1851" s="7">
        <v>0</v>
      </c>
    </row>
    <row r="1852" spans="1:2" x14ac:dyDescent="0.15">
      <c r="A1852" s="7">
        <v>1851</v>
      </c>
      <c r="B1852" s="7">
        <v>0</v>
      </c>
    </row>
    <row r="1853" spans="1:2" x14ac:dyDescent="0.15">
      <c r="A1853" s="7">
        <v>1852</v>
      </c>
      <c r="B1853" s="7">
        <v>0</v>
      </c>
    </row>
    <row r="1854" spans="1:2" x14ac:dyDescent="0.15">
      <c r="A1854" s="7">
        <v>1853</v>
      </c>
      <c r="B1854" s="7">
        <v>0</v>
      </c>
    </row>
    <row r="1855" spans="1:2" x14ac:dyDescent="0.15">
      <c r="A1855" s="7">
        <v>1854</v>
      </c>
      <c r="B1855" s="7">
        <v>0</v>
      </c>
    </row>
    <row r="1856" spans="1:2" x14ac:dyDescent="0.15">
      <c r="A1856" s="7">
        <v>1855</v>
      </c>
      <c r="B1856" s="7">
        <v>0</v>
      </c>
    </row>
    <row r="1857" spans="1:2" x14ac:dyDescent="0.15">
      <c r="A1857" s="7">
        <v>1856</v>
      </c>
      <c r="B1857" s="7">
        <v>0</v>
      </c>
    </row>
    <row r="1858" spans="1:2" x14ac:dyDescent="0.15">
      <c r="A1858" s="7">
        <v>1857</v>
      </c>
      <c r="B1858" s="7">
        <v>0</v>
      </c>
    </row>
    <row r="1859" spans="1:2" x14ac:dyDescent="0.15">
      <c r="A1859" s="7">
        <v>1858</v>
      </c>
      <c r="B1859" s="7">
        <v>0</v>
      </c>
    </row>
    <row r="1860" spans="1:2" x14ac:dyDescent="0.15">
      <c r="A1860" s="7">
        <v>1859</v>
      </c>
      <c r="B1860" s="7">
        <v>0</v>
      </c>
    </row>
    <row r="1861" spans="1:2" x14ac:dyDescent="0.15">
      <c r="A1861" s="7">
        <v>1860</v>
      </c>
      <c r="B1861" s="7">
        <v>0</v>
      </c>
    </row>
    <row r="1862" spans="1:2" x14ac:dyDescent="0.15">
      <c r="A1862" s="7">
        <v>1861</v>
      </c>
      <c r="B1862" s="7">
        <v>0</v>
      </c>
    </row>
    <row r="1863" spans="1:2" x14ac:dyDescent="0.15">
      <c r="A1863" s="7">
        <v>1862</v>
      </c>
      <c r="B1863" s="7">
        <v>1</v>
      </c>
    </row>
    <row r="1864" spans="1:2" x14ac:dyDescent="0.15">
      <c r="A1864" s="7">
        <v>1863</v>
      </c>
      <c r="B1864" s="7">
        <v>1</v>
      </c>
    </row>
    <row r="1865" spans="1:2" x14ac:dyDescent="0.15">
      <c r="A1865" s="7">
        <v>1864</v>
      </c>
      <c r="B1865" s="7">
        <v>0</v>
      </c>
    </row>
    <row r="1866" spans="1:2" x14ac:dyDescent="0.15">
      <c r="A1866" s="7">
        <v>1865</v>
      </c>
      <c r="B1866" s="7">
        <v>0</v>
      </c>
    </row>
    <row r="1867" spans="1:2" x14ac:dyDescent="0.15">
      <c r="A1867" s="7">
        <v>1866</v>
      </c>
      <c r="B1867" s="7">
        <v>0</v>
      </c>
    </row>
    <row r="1868" spans="1:2" x14ac:dyDescent="0.15">
      <c r="A1868" s="7">
        <v>1867</v>
      </c>
      <c r="B1868" s="7">
        <v>0</v>
      </c>
    </row>
    <row r="1869" spans="1:2" x14ac:dyDescent="0.15">
      <c r="A1869" s="7">
        <v>1868</v>
      </c>
      <c r="B1869" s="7">
        <v>0</v>
      </c>
    </row>
    <row r="1870" spans="1:2" x14ac:dyDescent="0.15">
      <c r="A1870" s="7">
        <v>1869</v>
      </c>
      <c r="B1870" s="7">
        <v>0</v>
      </c>
    </row>
    <row r="1871" spans="1:2" x14ac:dyDescent="0.15">
      <c r="A1871" s="7">
        <v>1870</v>
      </c>
      <c r="B1871" s="7">
        <v>0</v>
      </c>
    </row>
    <row r="1872" spans="1:2" x14ac:dyDescent="0.15">
      <c r="A1872" s="7">
        <v>1871</v>
      </c>
      <c r="B1872" s="7">
        <v>0</v>
      </c>
    </row>
    <row r="1873" spans="1:2" x14ac:dyDescent="0.15">
      <c r="A1873" s="7">
        <v>1872</v>
      </c>
      <c r="B1873" s="7">
        <v>0</v>
      </c>
    </row>
    <row r="1874" spans="1:2" x14ac:dyDescent="0.15">
      <c r="A1874" s="7">
        <v>1873</v>
      </c>
      <c r="B1874" s="7">
        <v>2</v>
      </c>
    </row>
    <row r="1875" spans="1:2" x14ac:dyDescent="0.15">
      <c r="A1875" s="7">
        <v>1874</v>
      </c>
      <c r="B1875" s="7">
        <v>0</v>
      </c>
    </row>
    <row r="1876" spans="1:2" x14ac:dyDescent="0.15">
      <c r="A1876" s="7">
        <v>1875</v>
      </c>
      <c r="B1876" s="7">
        <v>1</v>
      </c>
    </row>
    <row r="1877" spans="1:2" x14ac:dyDescent="0.15">
      <c r="A1877" s="7">
        <v>1876</v>
      </c>
      <c r="B1877" s="7">
        <v>0</v>
      </c>
    </row>
    <row r="1878" spans="1:2" x14ac:dyDescent="0.15">
      <c r="A1878" s="7">
        <v>1877</v>
      </c>
      <c r="B1878" s="7">
        <v>11</v>
      </c>
    </row>
    <row r="1879" spans="1:2" x14ac:dyDescent="0.15">
      <c r="A1879" s="7">
        <v>1878</v>
      </c>
      <c r="B1879" s="7">
        <v>3</v>
      </c>
    </row>
    <row r="1880" spans="1:2" x14ac:dyDescent="0.15">
      <c r="A1880" s="7">
        <v>1879</v>
      </c>
      <c r="B1880" s="7">
        <v>0</v>
      </c>
    </row>
    <row r="1881" spans="1:2" x14ac:dyDescent="0.15">
      <c r="A1881" s="7">
        <v>1880</v>
      </c>
      <c r="B1881" s="7">
        <v>0</v>
      </c>
    </row>
    <row r="1882" spans="1:2" x14ac:dyDescent="0.15">
      <c r="A1882" s="7">
        <v>1881</v>
      </c>
      <c r="B1882" s="7">
        <v>1</v>
      </c>
    </row>
    <row r="1883" spans="1:2" x14ac:dyDescent="0.15">
      <c r="A1883" s="7">
        <v>1882</v>
      </c>
      <c r="B1883" s="7">
        <v>0</v>
      </c>
    </row>
    <row r="1884" spans="1:2" x14ac:dyDescent="0.15">
      <c r="A1884" s="7">
        <v>1883</v>
      </c>
      <c r="B1884" s="7">
        <v>0</v>
      </c>
    </row>
    <row r="1885" spans="1:2" x14ac:dyDescent="0.15">
      <c r="A1885" s="7">
        <v>1884</v>
      </c>
      <c r="B1885" s="7">
        <v>0</v>
      </c>
    </row>
    <row r="1886" spans="1:2" x14ac:dyDescent="0.15">
      <c r="A1886" s="7">
        <v>1885</v>
      </c>
      <c r="B1886" s="7">
        <v>0</v>
      </c>
    </row>
    <row r="1887" spans="1:2" x14ac:dyDescent="0.15">
      <c r="A1887" s="7">
        <v>1886</v>
      </c>
      <c r="B1887" s="7">
        <v>0</v>
      </c>
    </row>
    <row r="1888" spans="1:2" x14ac:dyDescent="0.15">
      <c r="A1888" s="7">
        <v>1887</v>
      </c>
      <c r="B1888" s="7">
        <v>0</v>
      </c>
    </row>
    <row r="1889" spans="1:2" x14ac:dyDescent="0.15">
      <c r="A1889" s="7">
        <v>1888</v>
      </c>
      <c r="B1889" s="7">
        <v>0</v>
      </c>
    </row>
    <row r="1890" spans="1:2" x14ac:dyDescent="0.15">
      <c r="A1890" s="7">
        <v>1889</v>
      </c>
      <c r="B1890" s="7">
        <v>0</v>
      </c>
    </row>
    <row r="1891" spans="1:2" x14ac:dyDescent="0.15">
      <c r="A1891" s="7">
        <v>1890</v>
      </c>
      <c r="B1891" s="7">
        <v>0</v>
      </c>
    </row>
    <row r="1892" spans="1:2" x14ac:dyDescent="0.15">
      <c r="A1892" s="7">
        <v>1891</v>
      </c>
      <c r="B1892" s="7">
        <v>2</v>
      </c>
    </row>
    <row r="1893" spans="1:2" x14ac:dyDescent="0.15">
      <c r="A1893" s="7">
        <v>1892</v>
      </c>
      <c r="B1893" s="7">
        <v>0</v>
      </c>
    </row>
    <row r="1894" spans="1:2" x14ac:dyDescent="0.15">
      <c r="A1894" s="7">
        <v>1893</v>
      </c>
      <c r="B1894" s="7">
        <v>0</v>
      </c>
    </row>
    <row r="1895" spans="1:2" x14ac:dyDescent="0.15">
      <c r="A1895" s="7">
        <v>1894</v>
      </c>
      <c r="B1895" s="7">
        <v>0</v>
      </c>
    </row>
    <row r="1896" spans="1:2" x14ac:dyDescent="0.15">
      <c r="A1896" s="7">
        <v>1895</v>
      </c>
      <c r="B1896" s="7">
        <v>2</v>
      </c>
    </row>
    <row r="1897" spans="1:2" x14ac:dyDescent="0.15">
      <c r="A1897" s="7">
        <v>1896</v>
      </c>
      <c r="B1897" s="7">
        <v>1</v>
      </c>
    </row>
    <row r="1898" spans="1:2" x14ac:dyDescent="0.15">
      <c r="A1898" s="7">
        <v>1897</v>
      </c>
      <c r="B1898" s="7">
        <v>1</v>
      </c>
    </row>
    <row r="1899" spans="1:2" x14ac:dyDescent="0.15">
      <c r="A1899" s="7">
        <v>1898</v>
      </c>
      <c r="B1899" s="7">
        <v>6</v>
      </c>
    </row>
    <row r="1900" spans="1:2" x14ac:dyDescent="0.15">
      <c r="A1900" s="7">
        <v>1899</v>
      </c>
      <c r="B1900" s="7">
        <v>0</v>
      </c>
    </row>
    <row r="1901" spans="1:2" x14ac:dyDescent="0.15">
      <c r="A1901" s="7">
        <v>1900</v>
      </c>
      <c r="B1901" s="7">
        <v>1</v>
      </c>
    </row>
    <row r="1902" spans="1:2" x14ac:dyDescent="0.15">
      <c r="A1902" s="7">
        <v>1901</v>
      </c>
      <c r="B1902" s="7">
        <v>0</v>
      </c>
    </row>
    <row r="1903" spans="1:2" x14ac:dyDescent="0.15">
      <c r="A1903" s="7">
        <v>1902</v>
      </c>
      <c r="B1903" s="7">
        <v>25</v>
      </c>
    </row>
    <row r="1904" spans="1:2" x14ac:dyDescent="0.15">
      <c r="A1904" s="7">
        <v>1903</v>
      </c>
      <c r="B1904" s="7">
        <v>11</v>
      </c>
    </row>
    <row r="1905" spans="1:2" x14ac:dyDescent="0.15">
      <c r="A1905" s="7">
        <v>1904</v>
      </c>
      <c r="B1905" s="7">
        <v>0</v>
      </c>
    </row>
    <row r="1906" spans="1:2" x14ac:dyDescent="0.15">
      <c r="A1906" s="7">
        <v>1905</v>
      </c>
      <c r="B1906" s="7">
        <v>0</v>
      </c>
    </row>
    <row r="1907" spans="1:2" x14ac:dyDescent="0.15">
      <c r="A1907" s="7">
        <v>1906</v>
      </c>
      <c r="B1907" s="7">
        <v>0</v>
      </c>
    </row>
    <row r="1908" spans="1:2" x14ac:dyDescent="0.15">
      <c r="A1908" s="7">
        <v>1907</v>
      </c>
      <c r="B1908" s="7">
        <v>0</v>
      </c>
    </row>
    <row r="1909" spans="1:2" x14ac:dyDescent="0.15">
      <c r="A1909" s="7">
        <v>1908</v>
      </c>
      <c r="B1909" s="7">
        <v>0</v>
      </c>
    </row>
    <row r="1910" spans="1:2" x14ac:dyDescent="0.15">
      <c r="A1910" s="7">
        <v>1909</v>
      </c>
      <c r="B1910" s="7">
        <v>0</v>
      </c>
    </row>
    <row r="1911" spans="1:2" x14ac:dyDescent="0.15">
      <c r="A1911" s="7">
        <v>1910</v>
      </c>
      <c r="B1911" s="7">
        <v>0</v>
      </c>
    </row>
    <row r="1912" spans="1:2" x14ac:dyDescent="0.15">
      <c r="A1912" s="7">
        <v>1911</v>
      </c>
      <c r="B1912" s="7">
        <v>0</v>
      </c>
    </row>
    <row r="1913" spans="1:2" x14ac:dyDescent="0.15">
      <c r="A1913" s="7">
        <v>1912</v>
      </c>
      <c r="B1913" s="7">
        <v>0</v>
      </c>
    </row>
    <row r="1914" spans="1:2" x14ac:dyDescent="0.15">
      <c r="A1914" s="7">
        <v>1913</v>
      </c>
      <c r="B1914" s="7">
        <v>0</v>
      </c>
    </row>
    <row r="1915" spans="1:2" x14ac:dyDescent="0.15">
      <c r="A1915" s="7">
        <v>1914</v>
      </c>
      <c r="B1915" s="7">
        <v>0</v>
      </c>
    </row>
    <row r="1916" spans="1:2" x14ac:dyDescent="0.15">
      <c r="A1916" s="7">
        <v>1915</v>
      </c>
      <c r="B1916" s="7">
        <v>0</v>
      </c>
    </row>
    <row r="1917" spans="1:2" x14ac:dyDescent="0.15">
      <c r="A1917" s="7">
        <v>1916</v>
      </c>
      <c r="B1917" s="7">
        <v>0</v>
      </c>
    </row>
    <row r="1918" spans="1:2" x14ac:dyDescent="0.15">
      <c r="A1918" s="7">
        <v>1917</v>
      </c>
      <c r="B1918" s="7">
        <v>3</v>
      </c>
    </row>
    <row r="1919" spans="1:2" x14ac:dyDescent="0.15">
      <c r="A1919" s="7">
        <v>1918</v>
      </c>
      <c r="B1919" s="7">
        <v>0</v>
      </c>
    </row>
    <row r="1920" spans="1:2" x14ac:dyDescent="0.15">
      <c r="A1920" s="7">
        <v>1919</v>
      </c>
      <c r="B1920" s="7">
        <v>0</v>
      </c>
    </row>
    <row r="1921" spans="1:2" x14ac:dyDescent="0.15">
      <c r="A1921" s="7">
        <v>1920</v>
      </c>
      <c r="B1921" s="7">
        <v>0</v>
      </c>
    </row>
    <row r="1922" spans="1:2" x14ac:dyDescent="0.15">
      <c r="A1922" s="7">
        <v>1921</v>
      </c>
      <c r="B1922" s="7">
        <v>0</v>
      </c>
    </row>
    <row r="1923" spans="1:2" x14ac:dyDescent="0.15">
      <c r="A1923" s="7">
        <v>1922</v>
      </c>
      <c r="B1923" s="7">
        <v>0</v>
      </c>
    </row>
    <row r="1924" spans="1:2" x14ac:dyDescent="0.15">
      <c r="A1924" s="7">
        <v>1923</v>
      </c>
      <c r="B1924" s="7">
        <v>0</v>
      </c>
    </row>
    <row r="1925" spans="1:2" x14ac:dyDescent="0.15">
      <c r="A1925" s="7">
        <v>1924</v>
      </c>
      <c r="B1925" s="7">
        <v>0</v>
      </c>
    </row>
    <row r="1926" spans="1:2" x14ac:dyDescent="0.15">
      <c r="A1926" s="7">
        <v>1925</v>
      </c>
      <c r="B1926" s="7">
        <v>0</v>
      </c>
    </row>
    <row r="1927" spans="1:2" x14ac:dyDescent="0.15">
      <c r="A1927" s="7">
        <v>1926</v>
      </c>
      <c r="B1927" s="7">
        <v>0</v>
      </c>
    </row>
    <row r="1928" spans="1:2" x14ac:dyDescent="0.15">
      <c r="A1928" s="7">
        <v>1927</v>
      </c>
      <c r="B1928" s="7">
        <v>0</v>
      </c>
    </row>
    <row r="1929" spans="1:2" x14ac:dyDescent="0.15">
      <c r="A1929" s="7">
        <v>1928</v>
      </c>
      <c r="B1929" s="7">
        <v>0</v>
      </c>
    </row>
    <row r="1930" spans="1:2" x14ac:dyDescent="0.15">
      <c r="A1930" s="7">
        <v>1929</v>
      </c>
      <c r="B1930" s="7">
        <v>0</v>
      </c>
    </row>
    <row r="1931" spans="1:2" x14ac:dyDescent="0.15">
      <c r="A1931" s="7">
        <v>1930</v>
      </c>
      <c r="B1931" s="7">
        <v>1</v>
      </c>
    </row>
    <row r="1932" spans="1:2" x14ac:dyDescent="0.15">
      <c r="A1932" s="7">
        <v>1931</v>
      </c>
      <c r="B1932" s="7">
        <v>0</v>
      </c>
    </row>
    <row r="1933" spans="1:2" x14ac:dyDescent="0.15">
      <c r="A1933" s="7">
        <v>1932</v>
      </c>
      <c r="B1933" s="7">
        <v>0</v>
      </c>
    </row>
    <row r="1934" spans="1:2" x14ac:dyDescent="0.15">
      <c r="A1934" s="7">
        <v>1933</v>
      </c>
      <c r="B1934" s="7">
        <v>1</v>
      </c>
    </row>
    <row r="1935" spans="1:2" x14ac:dyDescent="0.15">
      <c r="A1935" s="7">
        <v>1934</v>
      </c>
      <c r="B1935" s="7">
        <v>0</v>
      </c>
    </row>
    <row r="1936" spans="1:2" x14ac:dyDescent="0.15">
      <c r="A1936" s="7">
        <v>1935</v>
      </c>
      <c r="B1936" s="7">
        <v>1</v>
      </c>
    </row>
    <row r="1937" spans="1:2" x14ac:dyDescent="0.15">
      <c r="A1937" s="7">
        <v>1936</v>
      </c>
      <c r="B1937" s="7">
        <v>0</v>
      </c>
    </row>
    <row r="1938" spans="1:2" x14ac:dyDescent="0.15">
      <c r="A1938" s="7">
        <v>1937</v>
      </c>
      <c r="B1938" s="7">
        <v>0</v>
      </c>
    </row>
    <row r="1939" spans="1:2" x14ac:dyDescent="0.15">
      <c r="A1939" s="7">
        <v>1938</v>
      </c>
      <c r="B1939" s="7">
        <v>0</v>
      </c>
    </row>
    <row r="1940" spans="1:2" x14ac:dyDescent="0.15">
      <c r="A1940" s="7">
        <v>1939</v>
      </c>
      <c r="B1940" s="7">
        <v>0</v>
      </c>
    </row>
    <row r="1941" spans="1:2" x14ac:dyDescent="0.15">
      <c r="A1941" s="7">
        <v>1940</v>
      </c>
      <c r="B1941" s="7">
        <v>0</v>
      </c>
    </row>
    <row r="1942" spans="1:2" x14ac:dyDescent="0.15">
      <c r="A1942" s="7">
        <v>1941</v>
      </c>
      <c r="B1942" s="7">
        <v>0</v>
      </c>
    </row>
    <row r="1943" spans="1:2" x14ac:dyDescent="0.15">
      <c r="A1943" s="7">
        <v>1942</v>
      </c>
      <c r="B1943" s="7">
        <v>1</v>
      </c>
    </row>
    <row r="1944" spans="1:2" x14ac:dyDescent="0.15">
      <c r="A1944" s="7">
        <v>1943</v>
      </c>
      <c r="B1944" s="7">
        <v>0</v>
      </c>
    </row>
    <row r="1945" spans="1:2" x14ac:dyDescent="0.15">
      <c r="A1945" s="7">
        <v>1944</v>
      </c>
      <c r="B1945" s="7">
        <v>0</v>
      </c>
    </row>
    <row r="1946" spans="1:2" x14ac:dyDescent="0.15">
      <c r="A1946" s="7">
        <v>1945</v>
      </c>
      <c r="B1946" s="7">
        <v>0</v>
      </c>
    </row>
    <row r="1947" spans="1:2" x14ac:dyDescent="0.15">
      <c r="A1947" s="7">
        <v>1946</v>
      </c>
      <c r="B1947" s="7">
        <v>0</v>
      </c>
    </row>
    <row r="1948" spans="1:2" x14ac:dyDescent="0.15">
      <c r="A1948" s="7">
        <v>1947</v>
      </c>
      <c r="B1948" s="7">
        <v>0</v>
      </c>
    </row>
    <row r="1949" spans="1:2" x14ac:dyDescent="0.15">
      <c r="A1949" s="7">
        <v>1948</v>
      </c>
      <c r="B1949" s="7">
        <v>25</v>
      </c>
    </row>
    <row r="1950" spans="1:2" x14ac:dyDescent="0.15">
      <c r="A1950" s="7">
        <v>1949</v>
      </c>
      <c r="B1950" s="7">
        <v>2</v>
      </c>
    </row>
    <row r="1951" spans="1:2" x14ac:dyDescent="0.15">
      <c r="A1951" s="7">
        <v>1950</v>
      </c>
      <c r="B1951" s="7">
        <v>0</v>
      </c>
    </row>
    <row r="1952" spans="1:2" x14ac:dyDescent="0.15">
      <c r="A1952" s="7">
        <v>1951</v>
      </c>
      <c r="B1952" s="7">
        <v>3</v>
      </c>
    </row>
    <row r="1953" spans="1:2" x14ac:dyDescent="0.15">
      <c r="A1953" s="7">
        <v>1952</v>
      </c>
      <c r="B1953" s="7">
        <v>0</v>
      </c>
    </row>
    <row r="1954" spans="1:2" x14ac:dyDescent="0.15">
      <c r="A1954" s="7">
        <v>1953</v>
      </c>
      <c r="B1954" s="7">
        <v>0</v>
      </c>
    </row>
    <row r="1955" spans="1:2" x14ac:dyDescent="0.15">
      <c r="A1955" s="7">
        <v>1954</v>
      </c>
      <c r="B1955" s="7">
        <v>0</v>
      </c>
    </row>
    <row r="1956" spans="1:2" x14ac:dyDescent="0.15">
      <c r="A1956" s="7">
        <v>1955</v>
      </c>
      <c r="B1956" s="7">
        <v>0</v>
      </c>
    </row>
    <row r="1957" spans="1:2" x14ac:dyDescent="0.15">
      <c r="A1957" s="7">
        <v>1956</v>
      </c>
      <c r="B1957" s="7">
        <v>0</v>
      </c>
    </row>
    <row r="1958" spans="1:2" x14ac:dyDescent="0.15">
      <c r="A1958" s="7">
        <v>1957</v>
      </c>
      <c r="B1958" s="7">
        <v>0</v>
      </c>
    </row>
    <row r="1959" spans="1:2" x14ac:dyDescent="0.15">
      <c r="A1959" s="7">
        <v>1958</v>
      </c>
      <c r="B1959" s="7">
        <v>0</v>
      </c>
    </row>
    <row r="1960" spans="1:2" x14ac:dyDescent="0.15">
      <c r="A1960" s="7">
        <v>1959</v>
      </c>
      <c r="B1960" s="7">
        <v>0</v>
      </c>
    </row>
    <row r="1961" spans="1:2" x14ac:dyDescent="0.15">
      <c r="A1961" s="7">
        <v>1960</v>
      </c>
      <c r="B1961" s="7">
        <v>0</v>
      </c>
    </row>
    <row r="1962" spans="1:2" x14ac:dyDescent="0.15">
      <c r="A1962" s="7">
        <v>1961</v>
      </c>
      <c r="B1962" s="7">
        <v>1</v>
      </c>
    </row>
    <row r="1963" spans="1:2" x14ac:dyDescent="0.15">
      <c r="A1963" s="7">
        <v>1962</v>
      </c>
      <c r="B1963" s="7">
        <v>0</v>
      </c>
    </row>
    <row r="1964" spans="1:2" x14ac:dyDescent="0.15">
      <c r="A1964" s="7">
        <v>1963</v>
      </c>
      <c r="B1964" s="7">
        <v>0</v>
      </c>
    </row>
    <row r="1965" spans="1:2" x14ac:dyDescent="0.15">
      <c r="A1965" s="7">
        <v>1964</v>
      </c>
      <c r="B1965" s="7">
        <v>0</v>
      </c>
    </row>
    <row r="1966" spans="1:2" x14ac:dyDescent="0.15">
      <c r="A1966" s="7">
        <v>1965</v>
      </c>
      <c r="B1966" s="7">
        <v>0</v>
      </c>
    </row>
    <row r="1967" spans="1:2" x14ac:dyDescent="0.15">
      <c r="A1967" s="7">
        <v>1966</v>
      </c>
      <c r="B1967" s="7">
        <v>0</v>
      </c>
    </row>
    <row r="1968" spans="1:2" x14ac:dyDescent="0.15">
      <c r="A1968" s="7">
        <v>1967</v>
      </c>
      <c r="B1968" s="7">
        <v>0</v>
      </c>
    </row>
    <row r="1969" spans="1:2" x14ac:dyDescent="0.15">
      <c r="A1969" s="7">
        <v>1968</v>
      </c>
      <c r="B1969" s="7">
        <v>4</v>
      </c>
    </row>
    <row r="1970" spans="1:2" x14ac:dyDescent="0.15">
      <c r="A1970" s="7">
        <v>1969</v>
      </c>
      <c r="B1970" s="7">
        <v>4</v>
      </c>
    </row>
    <row r="1971" spans="1:2" x14ac:dyDescent="0.15">
      <c r="A1971" s="7">
        <v>1970</v>
      </c>
      <c r="B1971" s="7">
        <v>0</v>
      </c>
    </row>
    <row r="1972" spans="1:2" x14ac:dyDescent="0.15">
      <c r="A1972" s="7">
        <v>1971</v>
      </c>
      <c r="B1972" s="7">
        <v>0</v>
      </c>
    </row>
    <row r="1973" spans="1:2" x14ac:dyDescent="0.15">
      <c r="A1973" s="7">
        <v>1972</v>
      </c>
      <c r="B1973" s="7">
        <v>0</v>
      </c>
    </row>
    <row r="1974" spans="1:2" x14ac:dyDescent="0.15">
      <c r="A1974" s="7">
        <v>1973</v>
      </c>
      <c r="B1974" s="7">
        <v>0</v>
      </c>
    </row>
    <row r="1975" spans="1:2" x14ac:dyDescent="0.15">
      <c r="A1975" s="7">
        <v>1974</v>
      </c>
      <c r="B1975" s="7">
        <v>0</v>
      </c>
    </row>
    <row r="1976" spans="1:2" x14ac:dyDescent="0.15">
      <c r="A1976" s="7">
        <v>1975</v>
      </c>
      <c r="B1976" s="7">
        <v>0</v>
      </c>
    </row>
    <row r="1977" spans="1:2" x14ac:dyDescent="0.15">
      <c r="A1977" s="7">
        <v>1976</v>
      </c>
      <c r="B1977" s="7">
        <v>1</v>
      </c>
    </row>
    <row r="1978" spans="1:2" x14ac:dyDescent="0.15">
      <c r="A1978" s="7">
        <v>1977</v>
      </c>
      <c r="B1978" s="7">
        <v>0</v>
      </c>
    </row>
    <row r="1979" spans="1:2" x14ac:dyDescent="0.15">
      <c r="A1979" s="7">
        <v>1978</v>
      </c>
      <c r="B1979" s="7">
        <v>0</v>
      </c>
    </row>
    <row r="1980" spans="1:2" x14ac:dyDescent="0.15">
      <c r="A1980" s="7">
        <v>1979</v>
      </c>
      <c r="B1980" s="7">
        <v>2</v>
      </c>
    </row>
    <row r="1981" spans="1:2" x14ac:dyDescent="0.15">
      <c r="A1981" s="7">
        <v>1980</v>
      </c>
      <c r="B1981" s="7">
        <v>0</v>
      </c>
    </row>
    <row r="1982" spans="1:2" x14ac:dyDescent="0.15">
      <c r="A1982" s="7">
        <v>1981</v>
      </c>
      <c r="B1982" s="7">
        <v>0</v>
      </c>
    </row>
    <row r="1983" spans="1:2" x14ac:dyDescent="0.15">
      <c r="A1983" s="7">
        <v>1982</v>
      </c>
      <c r="B1983" s="7">
        <v>0</v>
      </c>
    </row>
    <row r="1984" spans="1:2" x14ac:dyDescent="0.15">
      <c r="A1984" s="7">
        <v>1983</v>
      </c>
      <c r="B1984" s="7">
        <v>2</v>
      </c>
    </row>
    <row r="1985" spans="1:2" x14ac:dyDescent="0.15">
      <c r="A1985" s="7">
        <v>1984</v>
      </c>
      <c r="B1985" s="7">
        <v>0</v>
      </c>
    </row>
    <row r="1986" spans="1:2" x14ac:dyDescent="0.15">
      <c r="A1986" s="7">
        <v>1985</v>
      </c>
      <c r="B1986" s="7">
        <v>14</v>
      </c>
    </row>
    <row r="1987" spans="1:2" x14ac:dyDescent="0.15">
      <c r="A1987" s="7">
        <v>1986</v>
      </c>
      <c r="B1987" s="7">
        <v>0</v>
      </c>
    </row>
    <row r="1988" spans="1:2" x14ac:dyDescent="0.15">
      <c r="A1988" s="7">
        <v>1987</v>
      </c>
      <c r="B1988" s="7">
        <v>1</v>
      </c>
    </row>
    <row r="1989" spans="1:2" x14ac:dyDescent="0.15">
      <c r="A1989" s="7">
        <v>1988</v>
      </c>
      <c r="B1989" s="7">
        <v>0</v>
      </c>
    </row>
    <row r="1990" spans="1:2" x14ac:dyDescent="0.15">
      <c r="A1990" s="7">
        <v>1989</v>
      </c>
      <c r="B1990" s="7">
        <v>2</v>
      </c>
    </row>
    <row r="1991" spans="1:2" x14ac:dyDescent="0.15">
      <c r="A1991" s="7">
        <v>1990</v>
      </c>
      <c r="B1991" s="7">
        <v>0</v>
      </c>
    </row>
    <row r="1992" spans="1:2" x14ac:dyDescent="0.15">
      <c r="A1992" s="7">
        <v>1991</v>
      </c>
      <c r="B1992" s="7">
        <v>0</v>
      </c>
    </row>
    <row r="1993" spans="1:2" x14ac:dyDescent="0.15">
      <c r="A1993" s="7">
        <v>1992</v>
      </c>
      <c r="B1993" s="7">
        <v>0</v>
      </c>
    </row>
    <row r="1994" spans="1:2" x14ac:dyDescent="0.15">
      <c r="A1994" s="7">
        <v>1993</v>
      </c>
      <c r="B1994" s="7">
        <v>8</v>
      </c>
    </row>
    <row r="1995" spans="1:2" x14ac:dyDescent="0.15">
      <c r="A1995" s="7">
        <v>1994</v>
      </c>
      <c r="B1995" s="7">
        <v>0</v>
      </c>
    </row>
    <row r="1996" spans="1:2" x14ac:dyDescent="0.15">
      <c r="A1996" s="7">
        <v>1995</v>
      </c>
      <c r="B1996" s="7">
        <v>0</v>
      </c>
    </row>
    <row r="1997" spans="1:2" x14ac:dyDescent="0.15">
      <c r="A1997" s="7">
        <v>1996</v>
      </c>
      <c r="B1997" s="7">
        <v>0</v>
      </c>
    </row>
    <row r="1998" spans="1:2" x14ac:dyDescent="0.15">
      <c r="A1998" s="7">
        <v>1997</v>
      </c>
      <c r="B1998" s="7">
        <v>0</v>
      </c>
    </row>
    <row r="1999" spans="1:2" x14ac:dyDescent="0.15">
      <c r="A1999" s="7">
        <v>1998</v>
      </c>
      <c r="B1999" s="7">
        <v>0</v>
      </c>
    </row>
    <row r="2000" spans="1:2" x14ac:dyDescent="0.15">
      <c r="A2000" s="7">
        <v>1999</v>
      </c>
      <c r="B2000" s="7">
        <v>7</v>
      </c>
    </row>
    <row r="2001" spans="1:2" x14ac:dyDescent="0.15">
      <c r="A2001" s="7">
        <v>2000</v>
      </c>
      <c r="B2001" s="7">
        <v>0</v>
      </c>
    </row>
    <row r="2002" spans="1:2" x14ac:dyDescent="0.15">
      <c r="A2002" s="7">
        <v>2001</v>
      </c>
      <c r="B2002" s="7">
        <v>2</v>
      </c>
    </row>
    <row r="2003" spans="1:2" x14ac:dyDescent="0.15">
      <c r="A2003" s="7">
        <v>2002</v>
      </c>
      <c r="B2003" s="7">
        <v>0</v>
      </c>
    </row>
    <row r="2004" spans="1:2" x14ac:dyDescent="0.15">
      <c r="A2004" s="7">
        <v>2003</v>
      </c>
      <c r="B2004" s="7">
        <v>1</v>
      </c>
    </row>
    <row r="2005" spans="1:2" x14ac:dyDescent="0.15">
      <c r="A2005" s="7">
        <v>2004</v>
      </c>
      <c r="B2005" s="7">
        <v>0</v>
      </c>
    </row>
    <row r="2006" spans="1:2" x14ac:dyDescent="0.15">
      <c r="A2006" s="7">
        <v>2005</v>
      </c>
      <c r="B2006" s="7">
        <v>0</v>
      </c>
    </row>
    <row r="2007" spans="1:2" x14ac:dyDescent="0.15">
      <c r="A2007" s="7">
        <v>2006</v>
      </c>
      <c r="B2007" s="7">
        <v>1</v>
      </c>
    </row>
    <row r="2008" spans="1:2" x14ac:dyDescent="0.15">
      <c r="A2008" s="7">
        <v>2007</v>
      </c>
      <c r="B2008" s="7">
        <v>0</v>
      </c>
    </row>
    <row r="2009" spans="1:2" x14ac:dyDescent="0.15">
      <c r="A2009" s="7">
        <v>2008</v>
      </c>
      <c r="B2009" s="7">
        <v>0</v>
      </c>
    </row>
    <row r="2010" spans="1:2" x14ac:dyDescent="0.15">
      <c r="A2010" s="7">
        <v>2009</v>
      </c>
      <c r="B2010" s="7">
        <v>7</v>
      </c>
    </row>
    <row r="2011" spans="1:2" x14ac:dyDescent="0.15">
      <c r="A2011" s="7">
        <v>2010</v>
      </c>
      <c r="B2011" s="7">
        <v>34</v>
      </c>
    </row>
    <row r="2012" spans="1:2" x14ac:dyDescent="0.15">
      <c r="A2012" s="7">
        <v>2011</v>
      </c>
      <c r="B2012" s="7">
        <v>0</v>
      </c>
    </row>
    <row r="2013" spans="1:2" x14ac:dyDescent="0.15">
      <c r="A2013" s="7">
        <v>2012</v>
      </c>
      <c r="B2013" s="7">
        <v>0</v>
      </c>
    </row>
    <row r="2014" spans="1:2" x14ac:dyDescent="0.15">
      <c r="A2014" s="7">
        <v>2013</v>
      </c>
      <c r="B2014" s="7">
        <v>0</v>
      </c>
    </row>
    <row r="2015" spans="1:2" x14ac:dyDescent="0.15">
      <c r="A2015" s="7">
        <v>2014</v>
      </c>
      <c r="B2015" s="7">
        <v>2</v>
      </c>
    </row>
    <row r="2016" spans="1:2" x14ac:dyDescent="0.15">
      <c r="A2016" s="7">
        <v>2015</v>
      </c>
      <c r="B2016" s="7">
        <v>0</v>
      </c>
    </row>
    <row r="2017" spans="1:2" x14ac:dyDescent="0.15">
      <c r="A2017" s="7">
        <v>2016</v>
      </c>
      <c r="B2017" s="7">
        <v>2</v>
      </c>
    </row>
    <row r="2018" spans="1:2" x14ac:dyDescent="0.15">
      <c r="A2018" s="7">
        <v>2017</v>
      </c>
      <c r="B2018" s="7">
        <v>0</v>
      </c>
    </row>
    <row r="2019" spans="1:2" x14ac:dyDescent="0.15">
      <c r="A2019" s="7">
        <v>2018</v>
      </c>
      <c r="B2019" s="7">
        <v>0</v>
      </c>
    </row>
    <row r="2020" spans="1:2" x14ac:dyDescent="0.15">
      <c r="A2020" s="7">
        <v>2019</v>
      </c>
      <c r="B2020" s="7">
        <v>0</v>
      </c>
    </row>
    <row r="2021" spans="1:2" x14ac:dyDescent="0.15">
      <c r="A2021" s="7">
        <v>2020</v>
      </c>
      <c r="B2021" s="7">
        <v>0</v>
      </c>
    </row>
    <row r="2022" spans="1:2" x14ac:dyDescent="0.15">
      <c r="A2022" s="7">
        <v>2021</v>
      </c>
      <c r="B2022" s="7">
        <v>0</v>
      </c>
    </row>
    <row r="2023" spans="1:2" x14ac:dyDescent="0.15">
      <c r="A2023" s="7">
        <v>2022</v>
      </c>
      <c r="B2023" s="7">
        <v>0</v>
      </c>
    </row>
    <row r="2024" spans="1:2" x14ac:dyDescent="0.15">
      <c r="A2024" s="7">
        <v>2023</v>
      </c>
      <c r="B2024" s="7">
        <v>0</v>
      </c>
    </row>
    <row r="2025" spans="1:2" x14ac:dyDescent="0.15">
      <c r="A2025" s="7">
        <v>2024</v>
      </c>
      <c r="B2025" s="7">
        <v>0</v>
      </c>
    </row>
    <row r="2026" spans="1:2" x14ac:dyDescent="0.15">
      <c r="A2026" s="7">
        <v>2025</v>
      </c>
      <c r="B2026" s="7">
        <v>4</v>
      </c>
    </row>
    <row r="2027" spans="1:2" x14ac:dyDescent="0.15">
      <c r="A2027" s="7">
        <v>2026</v>
      </c>
      <c r="B2027" s="7">
        <v>0</v>
      </c>
    </row>
    <row r="2028" spans="1:2" x14ac:dyDescent="0.15">
      <c r="A2028" s="7">
        <v>2027</v>
      </c>
      <c r="B2028" s="7">
        <v>0</v>
      </c>
    </row>
    <row r="2029" spans="1:2" x14ac:dyDescent="0.15">
      <c r="A2029" s="7">
        <v>2028</v>
      </c>
      <c r="B2029" s="7">
        <v>0</v>
      </c>
    </row>
    <row r="2030" spans="1:2" x14ac:dyDescent="0.15">
      <c r="A2030" s="7">
        <v>2029</v>
      </c>
      <c r="B2030" s="7">
        <v>0</v>
      </c>
    </row>
    <row r="2031" spans="1:2" x14ac:dyDescent="0.15">
      <c r="A2031" s="7">
        <v>2030</v>
      </c>
      <c r="B2031" s="7">
        <v>0</v>
      </c>
    </row>
    <row r="2032" spans="1:2" x14ac:dyDescent="0.15">
      <c r="A2032" s="7">
        <v>2031</v>
      </c>
      <c r="B2032" s="7">
        <v>0</v>
      </c>
    </row>
    <row r="2033" spans="1:2" x14ac:dyDescent="0.15">
      <c r="A2033" s="7">
        <v>2032</v>
      </c>
      <c r="B2033" s="7">
        <v>0</v>
      </c>
    </row>
    <row r="2034" spans="1:2" x14ac:dyDescent="0.15">
      <c r="A2034" s="7">
        <v>2033</v>
      </c>
      <c r="B2034" s="7">
        <v>0</v>
      </c>
    </row>
    <row r="2035" spans="1:2" x14ac:dyDescent="0.15">
      <c r="A2035" s="7">
        <v>2034</v>
      </c>
      <c r="B2035" s="7">
        <v>0</v>
      </c>
    </row>
    <row r="2036" spans="1:2" x14ac:dyDescent="0.15">
      <c r="A2036" s="7">
        <v>2035</v>
      </c>
      <c r="B2036" s="7">
        <v>1</v>
      </c>
    </row>
    <row r="2037" spans="1:2" x14ac:dyDescent="0.15">
      <c r="A2037" s="7">
        <v>2036</v>
      </c>
      <c r="B2037" s="7">
        <v>0</v>
      </c>
    </row>
    <row r="2038" spans="1:2" x14ac:dyDescent="0.15">
      <c r="A2038" s="7">
        <v>2037</v>
      </c>
      <c r="B2038" s="7">
        <v>2</v>
      </c>
    </row>
    <row r="2039" spans="1:2" x14ac:dyDescent="0.15">
      <c r="A2039" s="7">
        <v>2038</v>
      </c>
      <c r="B2039" s="7">
        <v>0</v>
      </c>
    </row>
    <row r="2040" spans="1:2" x14ac:dyDescent="0.15">
      <c r="A2040" s="7">
        <v>2039</v>
      </c>
      <c r="B2040" s="7">
        <v>0</v>
      </c>
    </row>
    <row r="2041" spans="1:2" x14ac:dyDescent="0.15">
      <c r="A2041" s="7">
        <v>2040</v>
      </c>
      <c r="B2041" s="7">
        <v>1</v>
      </c>
    </row>
    <row r="2042" spans="1:2" x14ac:dyDescent="0.15">
      <c r="A2042" s="7">
        <v>2041</v>
      </c>
      <c r="B2042" s="7">
        <v>0</v>
      </c>
    </row>
    <row r="2043" spans="1:2" x14ac:dyDescent="0.15">
      <c r="A2043" s="7">
        <v>2042</v>
      </c>
      <c r="B2043" s="7">
        <v>1</v>
      </c>
    </row>
    <row r="2044" spans="1:2" x14ac:dyDescent="0.15">
      <c r="A2044" s="7">
        <v>2043</v>
      </c>
      <c r="B2044" s="7">
        <v>0</v>
      </c>
    </row>
    <row r="2045" spans="1:2" x14ac:dyDescent="0.15">
      <c r="A2045" s="7">
        <v>2044</v>
      </c>
      <c r="B2045" s="7">
        <v>0</v>
      </c>
    </row>
    <row r="2046" spans="1:2" x14ac:dyDescent="0.15">
      <c r="A2046" s="7">
        <v>2045</v>
      </c>
      <c r="B2046" s="7">
        <v>1</v>
      </c>
    </row>
    <row r="2047" spans="1:2" x14ac:dyDescent="0.15">
      <c r="A2047" s="7">
        <v>2046</v>
      </c>
      <c r="B2047" s="7">
        <v>2</v>
      </c>
    </row>
    <row r="2048" spans="1:2" x14ac:dyDescent="0.15">
      <c r="A2048" s="7">
        <v>2047</v>
      </c>
      <c r="B2048" s="7">
        <v>0</v>
      </c>
    </row>
    <row r="2049" spans="1:2" x14ac:dyDescent="0.15">
      <c r="A2049" s="7">
        <v>2048</v>
      </c>
      <c r="B2049" s="7">
        <v>0</v>
      </c>
    </row>
    <row r="2050" spans="1:2" x14ac:dyDescent="0.15">
      <c r="A2050" s="7">
        <v>2049</v>
      </c>
      <c r="B2050" s="7">
        <v>0</v>
      </c>
    </row>
    <row r="2051" spans="1:2" x14ac:dyDescent="0.15">
      <c r="A2051" s="7">
        <v>2050</v>
      </c>
      <c r="B2051" s="7">
        <v>0</v>
      </c>
    </row>
    <row r="2052" spans="1:2" x14ac:dyDescent="0.15">
      <c r="A2052" s="7">
        <v>2051</v>
      </c>
      <c r="B2052" s="7">
        <v>0</v>
      </c>
    </row>
    <row r="2053" spans="1:2" x14ac:dyDescent="0.15">
      <c r="A2053" s="7">
        <v>2052</v>
      </c>
      <c r="B2053" s="7">
        <v>0</v>
      </c>
    </row>
    <row r="2054" spans="1:2" x14ac:dyDescent="0.15">
      <c r="A2054" s="7">
        <v>2053</v>
      </c>
      <c r="B2054" s="7">
        <v>0</v>
      </c>
    </row>
    <row r="2055" spans="1:2" x14ac:dyDescent="0.15">
      <c r="A2055" s="7">
        <v>2054</v>
      </c>
      <c r="B2055" s="7">
        <v>0</v>
      </c>
    </row>
    <row r="2056" spans="1:2" x14ac:dyDescent="0.15">
      <c r="A2056" s="7">
        <v>2055</v>
      </c>
      <c r="B2056" s="7">
        <v>0</v>
      </c>
    </row>
    <row r="2057" spans="1:2" x14ac:dyDescent="0.15">
      <c r="A2057" s="7">
        <v>2056</v>
      </c>
      <c r="B2057" s="7">
        <v>0</v>
      </c>
    </row>
    <row r="2058" spans="1:2" x14ac:dyDescent="0.15">
      <c r="A2058" s="7">
        <v>2057</v>
      </c>
      <c r="B2058" s="7">
        <v>0</v>
      </c>
    </row>
    <row r="2059" spans="1:2" x14ac:dyDescent="0.15">
      <c r="A2059" s="7">
        <v>2058</v>
      </c>
      <c r="B2059" s="7">
        <v>0</v>
      </c>
    </row>
    <row r="2060" spans="1:2" x14ac:dyDescent="0.15">
      <c r="A2060" s="7">
        <v>2059</v>
      </c>
      <c r="B2060" s="7">
        <v>0</v>
      </c>
    </row>
    <row r="2061" spans="1:2" x14ac:dyDescent="0.15">
      <c r="A2061" s="7">
        <v>2060</v>
      </c>
      <c r="B2061" s="7">
        <v>0</v>
      </c>
    </row>
    <row r="2062" spans="1:2" x14ac:dyDescent="0.15">
      <c r="A2062" s="7">
        <v>2061</v>
      </c>
      <c r="B2062" s="7">
        <v>0</v>
      </c>
    </row>
    <row r="2063" spans="1:2" x14ac:dyDescent="0.15">
      <c r="A2063" s="7">
        <v>2062</v>
      </c>
      <c r="B2063" s="7">
        <v>0</v>
      </c>
    </row>
    <row r="2064" spans="1:2" x14ac:dyDescent="0.15">
      <c r="A2064" s="7">
        <v>2063</v>
      </c>
      <c r="B2064" s="7">
        <v>0</v>
      </c>
    </row>
    <row r="2065" spans="1:2" x14ac:dyDescent="0.15">
      <c r="A2065" s="7">
        <v>2064</v>
      </c>
      <c r="B2065" s="7">
        <v>4</v>
      </c>
    </row>
    <row r="2066" spans="1:2" x14ac:dyDescent="0.15">
      <c r="A2066" s="7">
        <v>2065</v>
      </c>
      <c r="B2066" s="7">
        <v>0</v>
      </c>
    </row>
    <row r="2067" spans="1:2" x14ac:dyDescent="0.15">
      <c r="A2067" s="7">
        <v>2066</v>
      </c>
      <c r="B2067" s="7">
        <v>0</v>
      </c>
    </row>
    <row r="2068" spans="1:2" x14ac:dyDescent="0.15">
      <c r="A2068" s="7">
        <v>2067</v>
      </c>
      <c r="B2068" s="7">
        <v>1</v>
      </c>
    </row>
    <row r="2069" spans="1:2" x14ac:dyDescent="0.15">
      <c r="A2069" s="7">
        <v>2068</v>
      </c>
      <c r="B2069" s="7">
        <v>1</v>
      </c>
    </row>
    <row r="2070" spans="1:2" x14ac:dyDescent="0.15">
      <c r="A2070" s="7">
        <v>2069</v>
      </c>
      <c r="B2070" s="7">
        <v>2</v>
      </c>
    </row>
    <row r="2071" spans="1:2" x14ac:dyDescent="0.15">
      <c r="A2071" s="7">
        <v>2070</v>
      </c>
      <c r="B2071" s="7">
        <v>18</v>
      </c>
    </row>
    <row r="2072" spans="1:2" x14ac:dyDescent="0.15">
      <c r="A2072" s="7">
        <v>2071</v>
      </c>
      <c r="B2072" s="7">
        <v>0</v>
      </c>
    </row>
    <row r="2073" spans="1:2" x14ac:dyDescent="0.15">
      <c r="A2073" s="7">
        <v>2072</v>
      </c>
      <c r="B2073" s="7">
        <v>7</v>
      </c>
    </row>
    <row r="2074" spans="1:2" x14ac:dyDescent="0.15">
      <c r="A2074" s="7">
        <v>2073</v>
      </c>
      <c r="B2074" s="7">
        <v>1</v>
      </c>
    </row>
    <row r="2075" spans="1:2" x14ac:dyDescent="0.15">
      <c r="A2075" s="7">
        <v>2074</v>
      </c>
      <c r="B2075" s="7">
        <v>0</v>
      </c>
    </row>
    <row r="2076" spans="1:2" x14ac:dyDescent="0.15">
      <c r="A2076" s="7">
        <v>2075</v>
      </c>
      <c r="B2076" s="7">
        <v>0</v>
      </c>
    </row>
    <row r="2077" spans="1:2" x14ac:dyDescent="0.15">
      <c r="A2077" s="7">
        <v>2076</v>
      </c>
      <c r="B2077" s="7">
        <v>0</v>
      </c>
    </row>
    <row r="2078" spans="1:2" x14ac:dyDescent="0.15">
      <c r="A2078" s="7">
        <v>2077</v>
      </c>
      <c r="B2078" s="7">
        <v>0</v>
      </c>
    </row>
    <row r="2079" spans="1:2" x14ac:dyDescent="0.15">
      <c r="A2079" s="7">
        <v>2078</v>
      </c>
      <c r="B2079" s="7">
        <v>0</v>
      </c>
    </row>
    <row r="2080" spans="1:2" x14ac:dyDescent="0.15">
      <c r="A2080" s="7">
        <v>2079</v>
      </c>
      <c r="B2080" s="7">
        <v>2</v>
      </c>
    </row>
    <row r="2081" spans="1:2" x14ac:dyDescent="0.15">
      <c r="A2081" s="7">
        <v>2080</v>
      </c>
      <c r="B2081" s="7">
        <v>0</v>
      </c>
    </row>
    <row r="2082" spans="1:2" x14ac:dyDescent="0.15">
      <c r="A2082" s="7">
        <v>2081</v>
      </c>
      <c r="B2082" s="7">
        <v>0</v>
      </c>
    </row>
    <row r="2083" spans="1:2" x14ac:dyDescent="0.15">
      <c r="A2083" s="7">
        <v>2082</v>
      </c>
      <c r="B2083" s="7">
        <v>0</v>
      </c>
    </row>
    <row r="2084" spans="1:2" x14ac:dyDescent="0.15">
      <c r="A2084" s="7">
        <v>2083</v>
      </c>
      <c r="B2084" s="7">
        <v>0</v>
      </c>
    </row>
    <row r="2085" spans="1:2" x14ac:dyDescent="0.15">
      <c r="A2085" s="7">
        <v>2084</v>
      </c>
      <c r="B2085" s="7">
        <v>0</v>
      </c>
    </row>
    <row r="2086" spans="1:2" x14ac:dyDescent="0.15">
      <c r="A2086" s="7">
        <v>2085</v>
      </c>
      <c r="B2086" s="7">
        <v>0</v>
      </c>
    </row>
    <row r="2087" spans="1:2" x14ac:dyDescent="0.15">
      <c r="A2087" s="7">
        <v>2086</v>
      </c>
      <c r="B2087" s="7">
        <v>0</v>
      </c>
    </row>
    <row r="2088" spans="1:2" x14ac:dyDescent="0.15">
      <c r="A2088" s="7">
        <v>2087</v>
      </c>
      <c r="B2088" s="7">
        <v>0</v>
      </c>
    </row>
    <row r="2089" spans="1:2" x14ac:dyDescent="0.15">
      <c r="A2089" s="7">
        <v>2088</v>
      </c>
      <c r="B2089" s="7">
        <v>0</v>
      </c>
    </row>
    <row r="2090" spans="1:2" x14ac:dyDescent="0.15">
      <c r="A2090" s="7">
        <v>2089</v>
      </c>
      <c r="B2090" s="7">
        <v>2</v>
      </c>
    </row>
    <row r="2091" spans="1:2" x14ac:dyDescent="0.15">
      <c r="A2091" s="7">
        <v>2090</v>
      </c>
      <c r="B2091" s="7">
        <v>0</v>
      </c>
    </row>
    <row r="2092" spans="1:2" x14ac:dyDescent="0.15">
      <c r="A2092" s="7">
        <v>2091</v>
      </c>
      <c r="B2092" s="7">
        <v>0</v>
      </c>
    </row>
    <row r="2093" spans="1:2" x14ac:dyDescent="0.15">
      <c r="A2093" s="7">
        <v>2092</v>
      </c>
      <c r="B2093" s="7">
        <v>0</v>
      </c>
    </row>
    <row r="2094" spans="1:2" x14ac:dyDescent="0.15">
      <c r="A2094" s="7">
        <v>2093</v>
      </c>
      <c r="B2094" s="7">
        <v>0</v>
      </c>
    </row>
    <row r="2095" spans="1:2" x14ac:dyDescent="0.15">
      <c r="A2095" s="7">
        <v>2094</v>
      </c>
      <c r="B2095" s="7">
        <v>0</v>
      </c>
    </row>
    <row r="2096" spans="1:2" x14ac:dyDescent="0.15">
      <c r="A2096" s="7">
        <v>2095</v>
      </c>
      <c r="B2096" s="7">
        <v>0</v>
      </c>
    </row>
    <row r="2097" spans="1:2" x14ac:dyDescent="0.15">
      <c r="A2097" s="7">
        <v>2096</v>
      </c>
      <c r="B2097" s="7">
        <v>0</v>
      </c>
    </row>
    <row r="2098" spans="1:2" x14ac:dyDescent="0.15">
      <c r="A2098" s="7">
        <v>2097</v>
      </c>
      <c r="B2098" s="7">
        <v>0</v>
      </c>
    </row>
    <row r="2099" spans="1:2" x14ac:dyDescent="0.15">
      <c r="A2099" s="7">
        <v>2098</v>
      </c>
      <c r="B2099" s="7">
        <v>1</v>
      </c>
    </row>
    <row r="2100" spans="1:2" x14ac:dyDescent="0.15">
      <c r="A2100" s="7">
        <v>2099</v>
      </c>
      <c r="B2100" s="7">
        <v>2</v>
      </c>
    </row>
    <row r="2101" spans="1:2" x14ac:dyDescent="0.15">
      <c r="A2101" s="7">
        <v>2100</v>
      </c>
      <c r="B2101" s="7">
        <v>1</v>
      </c>
    </row>
    <row r="2102" spans="1:2" x14ac:dyDescent="0.15">
      <c r="A2102" s="7">
        <v>2101</v>
      </c>
      <c r="B2102" s="7">
        <v>0</v>
      </c>
    </row>
    <row r="2103" spans="1:2" x14ac:dyDescent="0.15">
      <c r="A2103" s="7">
        <v>2102</v>
      </c>
      <c r="B2103" s="7">
        <v>0</v>
      </c>
    </row>
    <row r="2104" spans="1:2" x14ac:dyDescent="0.15">
      <c r="A2104" s="7">
        <v>2103</v>
      </c>
      <c r="B2104" s="7">
        <v>0</v>
      </c>
    </row>
    <row r="2105" spans="1:2" x14ac:dyDescent="0.15">
      <c r="A2105" s="7">
        <v>2104</v>
      </c>
      <c r="B2105" s="7">
        <v>0</v>
      </c>
    </row>
    <row r="2106" spans="1:2" x14ac:dyDescent="0.15">
      <c r="A2106" s="7">
        <v>2105</v>
      </c>
      <c r="B2106" s="7">
        <v>0</v>
      </c>
    </row>
    <row r="2107" spans="1:2" x14ac:dyDescent="0.15">
      <c r="A2107" s="7">
        <v>2106</v>
      </c>
      <c r="B2107" s="7">
        <v>0</v>
      </c>
    </row>
    <row r="2108" spans="1:2" x14ac:dyDescent="0.15">
      <c r="A2108" s="7">
        <v>2107</v>
      </c>
      <c r="B2108" s="7">
        <v>0</v>
      </c>
    </row>
    <row r="2109" spans="1:2" x14ac:dyDescent="0.15">
      <c r="A2109" s="7">
        <v>2108</v>
      </c>
      <c r="B2109" s="7">
        <v>0</v>
      </c>
    </row>
    <row r="2110" spans="1:2" x14ac:dyDescent="0.15">
      <c r="A2110" s="7">
        <v>2109</v>
      </c>
      <c r="B2110" s="7">
        <v>0</v>
      </c>
    </row>
    <row r="2111" spans="1:2" x14ac:dyDescent="0.15">
      <c r="A2111" s="7">
        <v>2110</v>
      </c>
      <c r="B2111" s="7">
        <v>0</v>
      </c>
    </row>
    <row r="2112" spans="1:2" x14ac:dyDescent="0.15">
      <c r="A2112" s="7">
        <v>2111</v>
      </c>
      <c r="B2112" s="7">
        <v>1</v>
      </c>
    </row>
    <row r="2113" spans="1:2" x14ac:dyDescent="0.15">
      <c r="A2113" s="7">
        <v>2112</v>
      </c>
      <c r="B2113" s="7">
        <v>0</v>
      </c>
    </row>
    <row r="2114" spans="1:2" x14ac:dyDescent="0.15">
      <c r="A2114" s="7">
        <v>2113</v>
      </c>
      <c r="B2114" s="7">
        <v>1</v>
      </c>
    </row>
    <row r="2115" spans="1:2" x14ac:dyDescent="0.15">
      <c r="A2115" s="7">
        <v>2114</v>
      </c>
      <c r="B2115" s="7">
        <v>0</v>
      </c>
    </row>
    <row r="2116" spans="1:2" x14ac:dyDescent="0.15">
      <c r="A2116" s="7">
        <v>2115</v>
      </c>
      <c r="B2116" s="7">
        <v>0</v>
      </c>
    </row>
    <row r="2117" spans="1:2" x14ac:dyDescent="0.15">
      <c r="A2117" s="7">
        <v>2116</v>
      </c>
      <c r="B2117" s="7">
        <v>0</v>
      </c>
    </row>
    <row r="2118" spans="1:2" x14ac:dyDescent="0.15">
      <c r="A2118" s="7">
        <v>2117</v>
      </c>
      <c r="B2118" s="7">
        <v>3</v>
      </c>
    </row>
    <row r="2119" spans="1:2" x14ac:dyDescent="0.15">
      <c r="A2119" s="7">
        <v>2118</v>
      </c>
      <c r="B2119" s="7">
        <v>0</v>
      </c>
    </row>
    <row r="2120" spans="1:2" x14ac:dyDescent="0.15">
      <c r="A2120" s="7">
        <v>2119</v>
      </c>
      <c r="B2120" s="7">
        <v>1</v>
      </c>
    </row>
    <row r="2121" spans="1:2" x14ac:dyDescent="0.15">
      <c r="A2121" s="7">
        <v>2120</v>
      </c>
      <c r="B2121" s="7">
        <v>0</v>
      </c>
    </row>
    <row r="2122" spans="1:2" x14ac:dyDescent="0.15">
      <c r="A2122" s="7">
        <v>2121</v>
      </c>
      <c r="B2122" s="7">
        <v>0</v>
      </c>
    </row>
    <row r="2123" spans="1:2" x14ac:dyDescent="0.15">
      <c r="A2123" s="7">
        <v>2122</v>
      </c>
      <c r="B2123" s="7">
        <v>0</v>
      </c>
    </row>
    <row r="2124" spans="1:2" x14ac:dyDescent="0.15">
      <c r="A2124" s="7">
        <v>2123</v>
      </c>
      <c r="B2124" s="7">
        <v>0</v>
      </c>
    </row>
    <row r="2125" spans="1:2" x14ac:dyDescent="0.15">
      <c r="A2125" s="7">
        <v>2124</v>
      </c>
      <c r="B2125" s="7">
        <v>0</v>
      </c>
    </row>
    <row r="2126" spans="1:2" x14ac:dyDescent="0.15">
      <c r="A2126" s="7">
        <v>2125</v>
      </c>
      <c r="B2126" s="7">
        <v>0</v>
      </c>
    </row>
    <row r="2127" spans="1:2" x14ac:dyDescent="0.15">
      <c r="A2127" s="7">
        <v>2126</v>
      </c>
      <c r="B2127" s="7">
        <v>0</v>
      </c>
    </row>
    <row r="2128" spans="1:2" x14ac:dyDescent="0.15">
      <c r="A2128" s="7">
        <v>2127</v>
      </c>
      <c r="B2128" s="7">
        <v>0</v>
      </c>
    </row>
    <row r="2129" spans="1:2" x14ac:dyDescent="0.15">
      <c r="A2129" s="7">
        <v>2128</v>
      </c>
      <c r="B2129" s="7">
        <v>0</v>
      </c>
    </row>
    <row r="2130" spans="1:2" x14ac:dyDescent="0.15">
      <c r="A2130" s="7">
        <v>2129</v>
      </c>
      <c r="B2130" s="7">
        <v>0</v>
      </c>
    </row>
    <row r="2131" spans="1:2" x14ac:dyDescent="0.15">
      <c r="A2131" s="7">
        <v>2130</v>
      </c>
      <c r="B2131" s="7">
        <v>0</v>
      </c>
    </row>
    <row r="2132" spans="1:2" x14ac:dyDescent="0.15">
      <c r="A2132" s="7">
        <v>2131</v>
      </c>
      <c r="B2132" s="7">
        <v>0</v>
      </c>
    </row>
    <row r="2133" spans="1:2" x14ac:dyDescent="0.15">
      <c r="A2133" s="7">
        <v>2132</v>
      </c>
      <c r="B2133" s="7">
        <v>0</v>
      </c>
    </row>
    <row r="2134" spans="1:2" x14ac:dyDescent="0.15">
      <c r="A2134" s="7">
        <v>2133</v>
      </c>
      <c r="B2134" s="7">
        <v>0</v>
      </c>
    </row>
    <row r="2135" spans="1:2" x14ac:dyDescent="0.15">
      <c r="A2135" s="7">
        <v>2134</v>
      </c>
      <c r="B2135" s="7">
        <v>0</v>
      </c>
    </row>
    <row r="2136" spans="1:2" x14ac:dyDescent="0.15">
      <c r="A2136" s="7">
        <v>2135</v>
      </c>
      <c r="B2136" s="7">
        <v>0</v>
      </c>
    </row>
    <row r="2137" spans="1:2" x14ac:dyDescent="0.15">
      <c r="A2137" s="7">
        <v>2136</v>
      </c>
      <c r="B2137" s="7">
        <v>0</v>
      </c>
    </row>
    <row r="2138" spans="1:2" x14ac:dyDescent="0.15">
      <c r="A2138" s="7">
        <v>2137</v>
      </c>
      <c r="B2138" s="7">
        <v>0</v>
      </c>
    </row>
    <row r="2139" spans="1:2" x14ac:dyDescent="0.15">
      <c r="A2139" s="7">
        <v>2138</v>
      </c>
      <c r="B2139" s="7">
        <v>2</v>
      </c>
    </row>
    <row r="2140" spans="1:2" x14ac:dyDescent="0.15">
      <c r="A2140" s="7">
        <v>2139</v>
      </c>
      <c r="B2140" s="7">
        <v>5</v>
      </c>
    </row>
    <row r="2141" spans="1:2" x14ac:dyDescent="0.15">
      <c r="A2141" s="7">
        <v>2140</v>
      </c>
      <c r="B2141" s="7">
        <v>0</v>
      </c>
    </row>
    <row r="2142" spans="1:2" x14ac:dyDescent="0.15">
      <c r="A2142" s="7">
        <v>2141</v>
      </c>
      <c r="B2142" s="7">
        <v>0</v>
      </c>
    </row>
    <row r="2143" spans="1:2" x14ac:dyDescent="0.15">
      <c r="A2143" s="7">
        <v>2142</v>
      </c>
      <c r="B2143" s="7">
        <v>0</v>
      </c>
    </row>
    <row r="2144" spans="1:2" x14ac:dyDescent="0.15">
      <c r="A2144" s="7">
        <v>2143</v>
      </c>
      <c r="B2144" s="7">
        <v>0</v>
      </c>
    </row>
    <row r="2145" spans="1:2" x14ac:dyDescent="0.15">
      <c r="A2145" s="7">
        <v>2144</v>
      </c>
      <c r="B2145" s="7">
        <v>0</v>
      </c>
    </row>
    <row r="2146" spans="1:2" x14ac:dyDescent="0.15">
      <c r="A2146" s="7">
        <v>2145</v>
      </c>
      <c r="B2146" s="7">
        <v>5</v>
      </c>
    </row>
    <row r="2147" spans="1:2" x14ac:dyDescent="0.15">
      <c r="A2147" s="7">
        <v>2146</v>
      </c>
      <c r="B2147" s="7">
        <v>0</v>
      </c>
    </row>
    <row r="2148" spans="1:2" x14ac:dyDescent="0.15">
      <c r="A2148" s="7">
        <v>2147</v>
      </c>
      <c r="B2148" s="7">
        <v>1</v>
      </c>
    </row>
    <row r="2149" spans="1:2" x14ac:dyDescent="0.15">
      <c r="A2149" s="7">
        <v>2148</v>
      </c>
      <c r="B2149" s="7">
        <v>0</v>
      </c>
    </row>
    <row r="2150" spans="1:2" x14ac:dyDescent="0.15">
      <c r="A2150" s="7">
        <v>2149</v>
      </c>
      <c r="B2150" s="7">
        <v>0</v>
      </c>
    </row>
    <row r="2151" spans="1:2" x14ac:dyDescent="0.15">
      <c r="A2151" s="7">
        <v>2150</v>
      </c>
      <c r="B2151" s="7">
        <v>1</v>
      </c>
    </row>
    <row r="2152" spans="1:2" x14ac:dyDescent="0.15">
      <c r="A2152" s="7">
        <v>2151</v>
      </c>
      <c r="B2152" s="7">
        <v>0</v>
      </c>
    </row>
    <row r="2153" spans="1:2" x14ac:dyDescent="0.15">
      <c r="A2153" s="7">
        <v>2152</v>
      </c>
      <c r="B2153" s="7">
        <v>0</v>
      </c>
    </row>
    <row r="2154" spans="1:2" x14ac:dyDescent="0.15">
      <c r="A2154" s="7">
        <v>2153</v>
      </c>
      <c r="B2154" s="7">
        <v>4</v>
      </c>
    </row>
    <row r="2155" spans="1:2" x14ac:dyDescent="0.15">
      <c r="A2155" s="7">
        <v>2154</v>
      </c>
      <c r="B2155" s="7">
        <v>0</v>
      </c>
    </row>
    <row r="2156" spans="1:2" x14ac:dyDescent="0.15">
      <c r="A2156" s="7">
        <v>2155</v>
      </c>
      <c r="B2156" s="7">
        <v>40</v>
      </c>
    </row>
    <row r="2157" spans="1:2" x14ac:dyDescent="0.15">
      <c r="A2157" s="7">
        <v>2156</v>
      </c>
      <c r="B2157" s="7">
        <v>2</v>
      </c>
    </row>
    <row r="2158" spans="1:2" x14ac:dyDescent="0.15">
      <c r="A2158" s="7">
        <v>2157</v>
      </c>
      <c r="B2158" s="7">
        <v>0</v>
      </c>
    </row>
    <row r="2159" spans="1:2" x14ac:dyDescent="0.15">
      <c r="A2159" s="7">
        <v>2158</v>
      </c>
      <c r="B2159" s="7">
        <v>0</v>
      </c>
    </row>
    <row r="2160" spans="1:2" x14ac:dyDescent="0.15">
      <c r="A2160" s="7">
        <v>2159</v>
      </c>
      <c r="B2160" s="7">
        <v>0</v>
      </c>
    </row>
    <row r="2161" spans="1:2" x14ac:dyDescent="0.15">
      <c r="A2161" s="7">
        <v>2160</v>
      </c>
      <c r="B2161" s="7">
        <v>0</v>
      </c>
    </row>
    <row r="2162" spans="1:2" x14ac:dyDescent="0.15">
      <c r="A2162" s="7">
        <v>2161</v>
      </c>
      <c r="B2162" s="7">
        <v>0</v>
      </c>
    </row>
    <row r="2163" spans="1:2" x14ac:dyDescent="0.15">
      <c r="A2163" s="7">
        <v>2162</v>
      </c>
      <c r="B2163" s="7">
        <v>0</v>
      </c>
    </row>
    <row r="2164" spans="1:2" x14ac:dyDescent="0.15">
      <c r="A2164" s="7">
        <v>2163</v>
      </c>
      <c r="B2164" s="7">
        <v>0</v>
      </c>
    </row>
    <row r="2165" spans="1:2" x14ac:dyDescent="0.15">
      <c r="A2165" s="7">
        <v>2164</v>
      </c>
      <c r="B2165" s="7">
        <v>0</v>
      </c>
    </row>
    <row r="2166" spans="1:2" x14ac:dyDescent="0.15">
      <c r="A2166" s="7">
        <v>2165</v>
      </c>
      <c r="B2166" s="7">
        <v>4</v>
      </c>
    </row>
    <row r="2167" spans="1:2" x14ac:dyDescent="0.15">
      <c r="A2167" s="7">
        <v>2166</v>
      </c>
      <c r="B2167" s="7">
        <v>1</v>
      </c>
    </row>
    <row r="2168" spans="1:2" x14ac:dyDescent="0.15">
      <c r="A2168" s="7">
        <v>2167</v>
      </c>
      <c r="B2168" s="7">
        <v>0</v>
      </c>
    </row>
    <row r="2169" spans="1:2" x14ac:dyDescent="0.15">
      <c r="A2169" s="7">
        <v>2168</v>
      </c>
      <c r="B2169" s="7">
        <v>0</v>
      </c>
    </row>
    <row r="2170" spans="1:2" x14ac:dyDescent="0.15">
      <c r="A2170" s="7">
        <v>2169</v>
      </c>
      <c r="B2170" s="7">
        <v>0</v>
      </c>
    </row>
    <row r="2171" spans="1:2" x14ac:dyDescent="0.15">
      <c r="A2171" s="7">
        <v>2170</v>
      </c>
      <c r="B2171" s="7">
        <v>0</v>
      </c>
    </row>
    <row r="2172" spans="1:2" x14ac:dyDescent="0.15">
      <c r="A2172" s="7">
        <v>2171</v>
      </c>
      <c r="B2172" s="7">
        <v>0</v>
      </c>
    </row>
    <row r="2173" spans="1:2" x14ac:dyDescent="0.15">
      <c r="A2173" s="7">
        <v>2172</v>
      </c>
      <c r="B2173" s="7">
        <v>0</v>
      </c>
    </row>
    <row r="2174" spans="1:2" x14ac:dyDescent="0.15">
      <c r="A2174" s="7">
        <v>2173</v>
      </c>
      <c r="B2174" s="7">
        <v>0</v>
      </c>
    </row>
    <row r="2175" spans="1:2" x14ac:dyDescent="0.15">
      <c r="A2175" s="7">
        <v>2174</v>
      </c>
      <c r="B2175" s="7">
        <v>2</v>
      </c>
    </row>
    <row r="2176" spans="1:2" x14ac:dyDescent="0.15">
      <c r="A2176" s="7">
        <v>2175</v>
      </c>
      <c r="B2176" s="7">
        <v>0</v>
      </c>
    </row>
    <row r="2177" spans="1:2" x14ac:dyDescent="0.15">
      <c r="A2177" s="7">
        <v>2176</v>
      </c>
      <c r="B2177" s="7">
        <v>0</v>
      </c>
    </row>
    <row r="2178" spans="1:2" x14ac:dyDescent="0.15">
      <c r="A2178" s="7">
        <v>2177</v>
      </c>
      <c r="B2178" s="7">
        <v>4</v>
      </c>
    </row>
    <row r="2179" spans="1:2" x14ac:dyDescent="0.15">
      <c r="A2179" s="7">
        <v>2178</v>
      </c>
      <c r="B2179" s="7">
        <v>2</v>
      </c>
    </row>
    <row r="2180" spans="1:2" x14ac:dyDescent="0.15">
      <c r="A2180" s="7">
        <v>2179</v>
      </c>
      <c r="B2180" s="7">
        <v>0</v>
      </c>
    </row>
    <row r="2181" spans="1:2" x14ac:dyDescent="0.15">
      <c r="A2181" s="7">
        <v>2180</v>
      </c>
      <c r="B2181" s="7">
        <v>0</v>
      </c>
    </row>
    <row r="2182" spans="1:2" x14ac:dyDescent="0.15">
      <c r="A2182" s="7">
        <v>2181</v>
      </c>
      <c r="B2182" s="7">
        <v>0</v>
      </c>
    </row>
    <row r="2183" spans="1:2" x14ac:dyDescent="0.15">
      <c r="A2183" s="7">
        <v>2182</v>
      </c>
      <c r="B2183" s="7">
        <v>0</v>
      </c>
    </row>
    <row r="2184" spans="1:2" x14ac:dyDescent="0.15">
      <c r="A2184" s="7">
        <v>2183</v>
      </c>
      <c r="B2184" s="7">
        <v>0</v>
      </c>
    </row>
    <row r="2185" spans="1:2" x14ac:dyDescent="0.15">
      <c r="A2185" s="7">
        <v>2184</v>
      </c>
      <c r="B2185" s="7">
        <v>0</v>
      </c>
    </row>
    <row r="2186" spans="1:2" x14ac:dyDescent="0.15">
      <c r="A2186" s="7">
        <v>2185</v>
      </c>
      <c r="B2186" s="7">
        <v>5</v>
      </c>
    </row>
    <row r="2187" spans="1:2" x14ac:dyDescent="0.15">
      <c r="A2187" s="7">
        <v>2186</v>
      </c>
      <c r="B2187" s="7">
        <v>0</v>
      </c>
    </row>
    <row r="2188" spans="1:2" x14ac:dyDescent="0.15">
      <c r="A2188" s="7">
        <v>2187</v>
      </c>
      <c r="B2188" s="7">
        <v>0</v>
      </c>
    </row>
    <row r="2189" spans="1:2" x14ac:dyDescent="0.15">
      <c r="A2189" s="7">
        <v>2188</v>
      </c>
      <c r="B2189" s="7">
        <v>0</v>
      </c>
    </row>
    <row r="2190" spans="1:2" x14ac:dyDescent="0.15">
      <c r="A2190" s="7">
        <v>2189</v>
      </c>
      <c r="B2190" s="7">
        <v>0</v>
      </c>
    </row>
    <row r="2191" spans="1:2" x14ac:dyDescent="0.15">
      <c r="A2191" s="7">
        <v>2190</v>
      </c>
      <c r="B2191" s="7">
        <v>0</v>
      </c>
    </row>
    <row r="2192" spans="1:2" x14ac:dyDescent="0.15">
      <c r="A2192" s="7">
        <v>2191</v>
      </c>
      <c r="B2192" s="7">
        <v>0</v>
      </c>
    </row>
    <row r="2193" spans="1:2" x14ac:dyDescent="0.15">
      <c r="A2193" s="7">
        <v>2192</v>
      </c>
      <c r="B2193" s="7">
        <v>3</v>
      </c>
    </row>
    <row r="2194" spans="1:2" x14ac:dyDescent="0.15">
      <c r="A2194" s="7">
        <v>2193</v>
      </c>
      <c r="B2194" s="7">
        <v>1</v>
      </c>
    </row>
    <row r="2195" spans="1:2" x14ac:dyDescent="0.15">
      <c r="A2195" s="7">
        <v>2194</v>
      </c>
      <c r="B2195" s="7">
        <v>2</v>
      </c>
    </row>
    <row r="2196" spans="1:2" x14ac:dyDescent="0.15">
      <c r="A2196" s="7">
        <v>2195</v>
      </c>
      <c r="B2196" s="7">
        <v>0</v>
      </c>
    </row>
    <row r="2197" spans="1:2" x14ac:dyDescent="0.15">
      <c r="A2197" s="7">
        <v>2196</v>
      </c>
      <c r="B2197" s="7">
        <v>0</v>
      </c>
    </row>
    <row r="2198" spans="1:2" x14ac:dyDescent="0.15">
      <c r="A2198" s="7">
        <v>2197</v>
      </c>
      <c r="B2198" s="7">
        <v>0</v>
      </c>
    </row>
    <row r="2199" spans="1:2" x14ac:dyDescent="0.15">
      <c r="A2199" s="7">
        <v>2198</v>
      </c>
      <c r="B2199" s="7">
        <v>3</v>
      </c>
    </row>
    <row r="2200" spans="1:2" x14ac:dyDescent="0.15">
      <c r="A2200" s="7">
        <v>2199</v>
      </c>
      <c r="B2200" s="7">
        <v>0</v>
      </c>
    </row>
    <row r="2201" spans="1:2" x14ac:dyDescent="0.15">
      <c r="A2201" s="7">
        <v>2200</v>
      </c>
      <c r="B2201" s="7">
        <v>1</v>
      </c>
    </row>
    <row r="2202" spans="1:2" x14ac:dyDescent="0.15">
      <c r="A2202" s="7">
        <v>2201</v>
      </c>
      <c r="B2202" s="7">
        <v>0</v>
      </c>
    </row>
    <row r="2203" spans="1:2" x14ac:dyDescent="0.15">
      <c r="A2203" s="7">
        <v>2202</v>
      </c>
      <c r="B2203" s="7">
        <v>0</v>
      </c>
    </row>
    <row r="2204" spans="1:2" x14ac:dyDescent="0.15">
      <c r="A2204" s="7">
        <v>2203</v>
      </c>
      <c r="B2204" s="7">
        <v>1</v>
      </c>
    </row>
    <row r="2205" spans="1:2" x14ac:dyDescent="0.15">
      <c r="A2205" s="7">
        <v>2204</v>
      </c>
      <c r="B2205" s="7">
        <v>14</v>
      </c>
    </row>
    <row r="2206" spans="1:2" x14ac:dyDescent="0.15">
      <c r="A2206" s="7">
        <v>2205</v>
      </c>
      <c r="B2206" s="7">
        <v>1</v>
      </c>
    </row>
    <row r="2207" spans="1:2" x14ac:dyDescent="0.15">
      <c r="A2207" s="7">
        <v>2206</v>
      </c>
      <c r="B2207" s="7">
        <v>1</v>
      </c>
    </row>
    <row r="2208" spans="1:2" x14ac:dyDescent="0.15">
      <c r="A2208" s="7">
        <v>2207</v>
      </c>
      <c r="B2208" s="7">
        <v>0</v>
      </c>
    </row>
    <row r="2209" spans="1:2" x14ac:dyDescent="0.15">
      <c r="A2209" s="7">
        <v>2208</v>
      </c>
      <c r="B2209" s="7">
        <v>0</v>
      </c>
    </row>
    <row r="2210" spans="1:2" x14ac:dyDescent="0.15">
      <c r="A2210" s="7">
        <v>2209</v>
      </c>
      <c r="B2210" s="7">
        <v>0</v>
      </c>
    </row>
    <row r="2211" spans="1:2" x14ac:dyDescent="0.15">
      <c r="A2211" s="7">
        <v>2210</v>
      </c>
      <c r="B2211" s="7">
        <v>0</v>
      </c>
    </row>
    <row r="2212" spans="1:2" x14ac:dyDescent="0.15">
      <c r="A2212" s="7">
        <v>2211</v>
      </c>
      <c r="B2212" s="7">
        <v>6</v>
      </c>
    </row>
    <row r="2213" spans="1:2" x14ac:dyDescent="0.15">
      <c r="A2213" s="7">
        <v>2212</v>
      </c>
      <c r="B2213" s="7">
        <v>0</v>
      </c>
    </row>
    <row r="2214" spans="1:2" x14ac:dyDescent="0.15">
      <c r="A2214" s="7">
        <v>2213</v>
      </c>
      <c r="B2214" s="7">
        <v>0</v>
      </c>
    </row>
    <row r="2215" spans="1:2" x14ac:dyDescent="0.15">
      <c r="A2215" s="7">
        <v>2214</v>
      </c>
      <c r="B2215" s="7">
        <v>0</v>
      </c>
    </row>
    <row r="2216" spans="1:2" x14ac:dyDescent="0.15">
      <c r="A2216" s="7">
        <v>2215</v>
      </c>
      <c r="B2216" s="7">
        <v>0</v>
      </c>
    </row>
    <row r="2217" spans="1:2" x14ac:dyDescent="0.15">
      <c r="A2217" s="7">
        <v>2216</v>
      </c>
      <c r="B2217" s="7">
        <v>0</v>
      </c>
    </row>
    <row r="2218" spans="1:2" x14ac:dyDescent="0.15">
      <c r="A2218" s="7">
        <v>2217</v>
      </c>
      <c r="B2218" s="7">
        <v>3</v>
      </c>
    </row>
    <row r="2219" spans="1:2" x14ac:dyDescent="0.15">
      <c r="A2219" s="7">
        <v>2218</v>
      </c>
      <c r="B2219" s="7">
        <v>0</v>
      </c>
    </row>
    <row r="2220" spans="1:2" x14ac:dyDescent="0.15">
      <c r="A2220" s="7">
        <v>2219</v>
      </c>
      <c r="B2220" s="7">
        <v>1</v>
      </c>
    </row>
    <row r="2221" spans="1:2" x14ac:dyDescent="0.15">
      <c r="A2221" s="7">
        <v>2220</v>
      </c>
      <c r="B2221" s="7">
        <v>1</v>
      </c>
    </row>
    <row r="2222" spans="1:2" x14ac:dyDescent="0.15">
      <c r="A2222" s="7">
        <v>2221</v>
      </c>
      <c r="B2222" s="7">
        <v>0</v>
      </c>
    </row>
    <row r="2223" spans="1:2" x14ac:dyDescent="0.15">
      <c r="A2223" s="7">
        <v>2222</v>
      </c>
      <c r="B2223" s="7">
        <v>1</v>
      </c>
    </row>
    <row r="2224" spans="1:2" x14ac:dyDescent="0.15">
      <c r="A2224" s="7">
        <v>2223</v>
      </c>
      <c r="B2224" s="7">
        <v>0</v>
      </c>
    </row>
    <row r="2225" spans="1:2" x14ac:dyDescent="0.15">
      <c r="A2225" s="7">
        <v>2224</v>
      </c>
      <c r="B2225" s="7">
        <v>0</v>
      </c>
    </row>
    <row r="2226" spans="1:2" x14ac:dyDescent="0.15">
      <c r="A2226" s="7">
        <v>2225</v>
      </c>
      <c r="B2226" s="7">
        <v>0</v>
      </c>
    </row>
    <row r="2227" spans="1:2" x14ac:dyDescent="0.15">
      <c r="A2227" s="7">
        <v>2226</v>
      </c>
      <c r="B2227" s="7">
        <v>1</v>
      </c>
    </row>
    <row r="2228" spans="1:2" x14ac:dyDescent="0.15">
      <c r="A2228" s="7">
        <v>2227</v>
      </c>
      <c r="B2228" s="7">
        <v>0</v>
      </c>
    </row>
    <row r="2229" spans="1:2" x14ac:dyDescent="0.15">
      <c r="A2229" s="7">
        <v>2228</v>
      </c>
      <c r="B2229" s="7">
        <v>3</v>
      </c>
    </row>
    <row r="2230" spans="1:2" x14ac:dyDescent="0.15">
      <c r="A2230" s="7">
        <v>2229</v>
      </c>
      <c r="B2230" s="7">
        <v>1</v>
      </c>
    </row>
    <row r="2231" spans="1:2" x14ac:dyDescent="0.15">
      <c r="A2231" s="7">
        <v>2230</v>
      </c>
      <c r="B2231" s="7">
        <v>0</v>
      </c>
    </row>
    <row r="2232" spans="1:2" x14ac:dyDescent="0.15">
      <c r="A2232" s="7">
        <v>2231</v>
      </c>
      <c r="B2232" s="7">
        <v>3</v>
      </c>
    </row>
    <row r="2233" spans="1:2" x14ac:dyDescent="0.15">
      <c r="A2233" s="7">
        <v>2232</v>
      </c>
      <c r="B2233" s="7">
        <v>0</v>
      </c>
    </row>
    <row r="2234" spans="1:2" x14ac:dyDescent="0.15">
      <c r="A2234" s="7">
        <v>2233</v>
      </c>
      <c r="B2234" s="7">
        <v>0</v>
      </c>
    </row>
    <row r="2235" spans="1:2" x14ac:dyDescent="0.15">
      <c r="A2235" s="7">
        <v>2234</v>
      </c>
      <c r="B2235" s="7">
        <v>0</v>
      </c>
    </row>
    <row r="2236" spans="1:2" x14ac:dyDescent="0.15">
      <c r="A2236" s="7">
        <v>2235</v>
      </c>
      <c r="B2236" s="7">
        <v>1</v>
      </c>
    </row>
    <row r="2237" spans="1:2" x14ac:dyDescent="0.15">
      <c r="A2237" s="7">
        <v>2236</v>
      </c>
      <c r="B2237" s="7">
        <v>0</v>
      </c>
    </row>
    <row r="2238" spans="1:2" x14ac:dyDescent="0.15">
      <c r="A2238" s="7">
        <v>2237</v>
      </c>
      <c r="B2238" s="7">
        <v>0</v>
      </c>
    </row>
    <row r="2239" spans="1:2" x14ac:dyDescent="0.15">
      <c r="A2239" s="7">
        <v>2238</v>
      </c>
      <c r="B2239" s="7">
        <v>0</v>
      </c>
    </row>
    <row r="2240" spans="1:2" x14ac:dyDescent="0.15">
      <c r="A2240" s="7">
        <v>2239</v>
      </c>
      <c r="B2240" s="7">
        <v>1</v>
      </c>
    </row>
    <row r="2241" spans="1:2" x14ac:dyDescent="0.15">
      <c r="A2241" s="7">
        <v>2240</v>
      </c>
      <c r="B2241" s="7">
        <v>0</v>
      </c>
    </row>
    <row r="2242" spans="1:2" x14ac:dyDescent="0.15">
      <c r="A2242" s="7">
        <v>2241</v>
      </c>
      <c r="B2242" s="7">
        <v>0</v>
      </c>
    </row>
    <row r="2243" spans="1:2" x14ac:dyDescent="0.15">
      <c r="A2243" s="7">
        <v>2242</v>
      </c>
      <c r="B2243" s="7">
        <v>0</v>
      </c>
    </row>
    <row r="2244" spans="1:2" x14ac:dyDescent="0.15">
      <c r="A2244" s="7">
        <v>2243</v>
      </c>
      <c r="B2244" s="7">
        <v>0</v>
      </c>
    </row>
    <row r="2245" spans="1:2" x14ac:dyDescent="0.15">
      <c r="A2245" s="7">
        <v>2244</v>
      </c>
      <c r="B2245" s="7">
        <v>1</v>
      </c>
    </row>
    <row r="2246" spans="1:2" x14ac:dyDescent="0.15">
      <c r="A2246" s="7">
        <v>2245</v>
      </c>
      <c r="B2246" s="7">
        <v>0</v>
      </c>
    </row>
    <row r="2247" spans="1:2" x14ac:dyDescent="0.15">
      <c r="A2247" s="7">
        <v>2246</v>
      </c>
      <c r="B2247" s="7">
        <v>1</v>
      </c>
    </row>
    <row r="2248" spans="1:2" x14ac:dyDescent="0.15">
      <c r="A2248" s="7">
        <v>2247</v>
      </c>
      <c r="B2248" s="7">
        <v>0</v>
      </c>
    </row>
    <row r="2249" spans="1:2" x14ac:dyDescent="0.15">
      <c r="A2249" s="7">
        <v>2248</v>
      </c>
      <c r="B2249" s="7">
        <v>0</v>
      </c>
    </row>
    <row r="2250" spans="1:2" x14ac:dyDescent="0.15">
      <c r="A2250" s="7">
        <v>2249</v>
      </c>
      <c r="B2250" s="7">
        <v>0</v>
      </c>
    </row>
    <row r="2251" spans="1:2" x14ac:dyDescent="0.15">
      <c r="A2251" s="7">
        <v>2250</v>
      </c>
      <c r="B2251" s="7">
        <v>6</v>
      </c>
    </row>
    <row r="2252" spans="1:2" x14ac:dyDescent="0.15">
      <c r="A2252" s="7">
        <v>2251</v>
      </c>
      <c r="B2252" s="7">
        <v>0</v>
      </c>
    </row>
    <row r="2253" spans="1:2" x14ac:dyDescent="0.15">
      <c r="A2253" s="7">
        <v>2252</v>
      </c>
      <c r="B2253" s="7">
        <v>0</v>
      </c>
    </row>
    <row r="2254" spans="1:2" x14ac:dyDescent="0.15">
      <c r="A2254" s="7">
        <v>2253</v>
      </c>
      <c r="B2254" s="7">
        <v>5</v>
      </c>
    </row>
    <row r="2255" spans="1:2" x14ac:dyDescent="0.15">
      <c r="A2255" s="7">
        <v>2254</v>
      </c>
      <c r="B2255" s="7">
        <v>0</v>
      </c>
    </row>
    <row r="2256" spans="1:2" x14ac:dyDescent="0.15">
      <c r="A2256" s="7">
        <v>2255</v>
      </c>
      <c r="B2256" s="7">
        <v>0</v>
      </c>
    </row>
    <row r="2257" spans="1:2" x14ac:dyDescent="0.15">
      <c r="A2257" s="7">
        <v>2256</v>
      </c>
      <c r="B2257" s="7">
        <v>1</v>
      </c>
    </row>
    <row r="2258" spans="1:2" x14ac:dyDescent="0.15">
      <c r="A2258" s="7">
        <v>2257</v>
      </c>
      <c r="B2258" s="7">
        <v>3</v>
      </c>
    </row>
    <row r="2259" spans="1:2" x14ac:dyDescent="0.15">
      <c r="A2259" s="7">
        <v>2258</v>
      </c>
      <c r="B2259" s="7">
        <v>0</v>
      </c>
    </row>
    <row r="2260" spans="1:2" x14ac:dyDescent="0.15">
      <c r="A2260" s="7">
        <v>2259</v>
      </c>
      <c r="B2260" s="7">
        <v>0</v>
      </c>
    </row>
    <row r="2261" spans="1:2" x14ac:dyDescent="0.15">
      <c r="A2261" s="7">
        <v>2260</v>
      </c>
      <c r="B2261" s="7">
        <v>0</v>
      </c>
    </row>
    <row r="2262" spans="1:2" x14ac:dyDescent="0.15">
      <c r="A2262" s="7">
        <v>2261</v>
      </c>
      <c r="B2262" s="7">
        <v>0</v>
      </c>
    </row>
    <row r="2263" spans="1:2" x14ac:dyDescent="0.15">
      <c r="A2263" s="7">
        <v>2262</v>
      </c>
      <c r="B2263" s="7">
        <v>2</v>
      </c>
    </row>
    <row r="2264" spans="1:2" x14ac:dyDescent="0.15">
      <c r="A2264" s="7">
        <v>2263</v>
      </c>
      <c r="B2264" s="7">
        <v>1</v>
      </c>
    </row>
    <row r="2265" spans="1:2" x14ac:dyDescent="0.15">
      <c r="A2265" s="7">
        <v>2264</v>
      </c>
      <c r="B2265" s="7">
        <v>0</v>
      </c>
    </row>
    <row r="2266" spans="1:2" x14ac:dyDescent="0.15">
      <c r="A2266" s="7">
        <v>2265</v>
      </c>
      <c r="B2266" s="7">
        <v>0</v>
      </c>
    </row>
    <row r="2267" spans="1:2" x14ac:dyDescent="0.15">
      <c r="A2267" s="7">
        <v>2266</v>
      </c>
      <c r="B2267" s="7">
        <v>0</v>
      </c>
    </row>
    <row r="2268" spans="1:2" x14ac:dyDescent="0.15">
      <c r="A2268" s="7">
        <v>2267</v>
      </c>
      <c r="B2268" s="7">
        <v>0</v>
      </c>
    </row>
    <row r="2269" spans="1:2" x14ac:dyDescent="0.15">
      <c r="A2269" s="7">
        <v>2268</v>
      </c>
      <c r="B2269" s="7">
        <v>2</v>
      </c>
    </row>
    <row r="2270" spans="1:2" x14ac:dyDescent="0.15">
      <c r="A2270" s="7">
        <v>2269</v>
      </c>
      <c r="B2270" s="7">
        <v>0</v>
      </c>
    </row>
    <row r="2271" spans="1:2" x14ac:dyDescent="0.15">
      <c r="A2271" s="7">
        <v>2270</v>
      </c>
      <c r="B2271" s="7">
        <v>11</v>
      </c>
    </row>
    <row r="2272" spans="1:2" x14ac:dyDescent="0.15">
      <c r="A2272" s="7">
        <v>2271</v>
      </c>
      <c r="B2272" s="7">
        <v>0</v>
      </c>
    </row>
    <row r="2273" spans="1:2" x14ac:dyDescent="0.15">
      <c r="A2273" s="7">
        <v>2272</v>
      </c>
      <c r="B2273" s="7">
        <v>0</v>
      </c>
    </row>
    <row r="2274" spans="1:2" x14ac:dyDescent="0.15">
      <c r="A2274" s="7">
        <v>2273</v>
      </c>
      <c r="B2274" s="7">
        <v>0</v>
      </c>
    </row>
    <row r="2275" spans="1:2" x14ac:dyDescent="0.15">
      <c r="A2275" s="7">
        <v>2274</v>
      </c>
      <c r="B2275" s="7">
        <v>0</v>
      </c>
    </row>
    <row r="2276" spans="1:2" x14ac:dyDescent="0.15">
      <c r="A2276" s="7">
        <v>2275</v>
      </c>
      <c r="B2276" s="7">
        <v>0</v>
      </c>
    </row>
    <row r="2277" spans="1:2" x14ac:dyDescent="0.15">
      <c r="A2277" s="7">
        <v>2276</v>
      </c>
      <c r="B2277" s="7">
        <v>0</v>
      </c>
    </row>
    <row r="2278" spans="1:2" x14ac:dyDescent="0.15">
      <c r="A2278" s="7">
        <v>2277</v>
      </c>
      <c r="B2278" s="7">
        <v>0</v>
      </c>
    </row>
    <row r="2279" spans="1:2" x14ac:dyDescent="0.15">
      <c r="A2279" s="7">
        <v>2278</v>
      </c>
      <c r="B2279" s="7">
        <v>0</v>
      </c>
    </row>
    <row r="2280" spans="1:2" x14ac:dyDescent="0.15">
      <c r="A2280" s="7">
        <v>2279</v>
      </c>
      <c r="B2280" s="7">
        <v>0</v>
      </c>
    </row>
    <row r="2281" spans="1:2" x14ac:dyDescent="0.15">
      <c r="A2281" s="7">
        <v>2280</v>
      </c>
      <c r="B2281" s="7">
        <v>3</v>
      </c>
    </row>
    <row r="2282" spans="1:2" x14ac:dyDescent="0.15">
      <c r="A2282" s="7">
        <v>2281</v>
      </c>
      <c r="B2282" s="7">
        <v>0</v>
      </c>
    </row>
    <row r="2283" spans="1:2" x14ac:dyDescent="0.15">
      <c r="A2283" s="7">
        <v>2282</v>
      </c>
      <c r="B2283" s="7">
        <v>1</v>
      </c>
    </row>
    <row r="2284" spans="1:2" x14ac:dyDescent="0.15">
      <c r="A2284" s="7">
        <v>2283</v>
      </c>
      <c r="B2284" s="7">
        <v>9</v>
      </c>
    </row>
    <row r="2285" spans="1:2" x14ac:dyDescent="0.15">
      <c r="A2285" s="7">
        <v>2284</v>
      </c>
      <c r="B2285" s="7">
        <v>0</v>
      </c>
    </row>
    <row r="2286" spans="1:2" x14ac:dyDescent="0.15">
      <c r="A2286" s="7">
        <v>2285</v>
      </c>
      <c r="B2286" s="7">
        <v>1</v>
      </c>
    </row>
    <row r="2287" spans="1:2" x14ac:dyDescent="0.15">
      <c r="A2287" s="7">
        <v>2286</v>
      </c>
      <c r="B2287" s="7">
        <v>0</v>
      </c>
    </row>
    <row r="2288" spans="1:2" x14ac:dyDescent="0.15">
      <c r="A2288" s="7">
        <v>2287</v>
      </c>
      <c r="B2288" s="7">
        <v>2</v>
      </c>
    </row>
    <row r="2289" spans="1:2" x14ac:dyDescent="0.15">
      <c r="A2289" s="7">
        <v>2288</v>
      </c>
      <c r="B2289" s="7">
        <v>1</v>
      </c>
    </row>
    <row r="2290" spans="1:2" x14ac:dyDescent="0.15">
      <c r="A2290" s="7">
        <v>2289</v>
      </c>
      <c r="B2290" s="7">
        <v>2</v>
      </c>
    </row>
    <row r="2291" spans="1:2" x14ac:dyDescent="0.15">
      <c r="A2291" s="7">
        <v>2290</v>
      </c>
      <c r="B2291" s="7">
        <v>0</v>
      </c>
    </row>
    <row r="2292" spans="1:2" x14ac:dyDescent="0.15">
      <c r="A2292" s="7">
        <v>2291</v>
      </c>
      <c r="B2292" s="7">
        <v>0</v>
      </c>
    </row>
    <row r="2293" spans="1:2" x14ac:dyDescent="0.15">
      <c r="A2293" s="7">
        <v>2292</v>
      </c>
      <c r="B2293" s="7">
        <v>9</v>
      </c>
    </row>
    <row r="2294" spans="1:2" x14ac:dyDescent="0.15">
      <c r="A2294" s="7">
        <v>2293</v>
      </c>
      <c r="B2294" s="7">
        <v>0</v>
      </c>
    </row>
    <row r="2295" spans="1:2" x14ac:dyDescent="0.15">
      <c r="A2295" s="7">
        <v>2294</v>
      </c>
      <c r="B2295" s="7">
        <v>0</v>
      </c>
    </row>
    <row r="2296" spans="1:2" x14ac:dyDescent="0.15">
      <c r="A2296" s="7">
        <v>2295</v>
      </c>
      <c r="B2296" s="7">
        <v>0</v>
      </c>
    </row>
    <row r="2297" spans="1:2" x14ac:dyDescent="0.15">
      <c r="A2297" s="7">
        <v>2296</v>
      </c>
      <c r="B2297" s="7">
        <v>1</v>
      </c>
    </row>
    <row r="2298" spans="1:2" x14ac:dyDescent="0.15">
      <c r="A2298" s="7">
        <v>2297</v>
      </c>
      <c r="B2298" s="7">
        <v>10</v>
      </c>
    </row>
    <row r="2299" spans="1:2" x14ac:dyDescent="0.15">
      <c r="A2299" s="7">
        <v>2298</v>
      </c>
      <c r="B2299" s="7">
        <v>5</v>
      </c>
    </row>
    <row r="2300" spans="1:2" x14ac:dyDescent="0.15">
      <c r="A2300" s="7">
        <v>2299</v>
      </c>
      <c r="B2300" s="7">
        <v>0</v>
      </c>
    </row>
    <row r="2301" spans="1:2" x14ac:dyDescent="0.15">
      <c r="A2301" s="7">
        <v>2300</v>
      </c>
      <c r="B2301" s="7">
        <v>0</v>
      </c>
    </row>
    <row r="2302" spans="1:2" x14ac:dyDescent="0.15">
      <c r="A2302" s="7">
        <v>2301</v>
      </c>
      <c r="B2302" s="7">
        <v>0</v>
      </c>
    </row>
    <row r="2303" spans="1:2" x14ac:dyDescent="0.15">
      <c r="A2303" s="7">
        <v>2302</v>
      </c>
      <c r="B2303" s="7">
        <v>1</v>
      </c>
    </row>
    <row r="2304" spans="1:2" x14ac:dyDescent="0.15">
      <c r="A2304" s="7">
        <v>2303</v>
      </c>
      <c r="B2304" s="7">
        <v>0</v>
      </c>
    </row>
    <row r="2305" spans="1:2" x14ac:dyDescent="0.15">
      <c r="A2305" s="7">
        <v>2304</v>
      </c>
      <c r="B2305" s="7">
        <v>0</v>
      </c>
    </row>
    <row r="2306" spans="1:2" x14ac:dyDescent="0.15">
      <c r="A2306" s="7">
        <v>2305</v>
      </c>
      <c r="B2306" s="7">
        <v>0</v>
      </c>
    </row>
    <row r="2307" spans="1:2" x14ac:dyDescent="0.15">
      <c r="A2307" s="7">
        <v>2306</v>
      </c>
      <c r="B2307" s="7">
        <v>0</v>
      </c>
    </row>
    <row r="2308" spans="1:2" x14ac:dyDescent="0.15">
      <c r="A2308" s="7">
        <v>2307</v>
      </c>
      <c r="B2308" s="7">
        <v>1</v>
      </c>
    </row>
    <row r="2309" spans="1:2" x14ac:dyDescent="0.15">
      <c r="A2309" s="7">
        <v>2308</v>
      </c>
      <c r="B2309" s="7">
        <v>1</v>
      </c>
    </row>
    <row r="2310" spans="1:2" x14ac:dyDescent="0.15">
      <c r="A2310" s="7">
        <v>2309</v>
      </c>
      <c r="B2310" s="7">
        <v>0</v>
      </c>
    </row>
    <row r="2311" spans="1:2" x14ac:dyDescent="0.15">
      <c r="A2311" s="7">
        <v>2310</v>
      </c>
      <c r="B2311" s="7">
        <v>0</v>
      </c>
    </row>
    <row r="2312" spans="1:2" x14ac:dyDescent="0.15">
      <c r="A2312" s="7">
        <v>2311</v>
      </c>
      <c r="B2312" s="7">
        <v>0</v>
      </c>
    </row>
    <row r="2313" spans="1:2" x14ac:dyDescent="0.15">
      <c r="A2313" s="7">
        <v>2312</v>
      </c>
      <c r="B2313" s="7">
        <v>0</v>
      </c>
    </row>
    <row r="2314" spans="1:2" x14ac:dyDescent="0.15">
      <c r="A2314" s="7">
        <v>2313</v>
      </c>
      <c r="B2314" s="7">
        <v>1</v>
      </c>
    </row>
    <row r="2315" spans="1:2" x14ac:dyDescent="0.15">
      <c r="A2315" s="7">
        <v>2314</v>
      </c>
      <c r="B2315" s="7">
        <v>0</v>
      </c>
    </row>
    <row r="2316" spans="1:2" x14ac:dyDescent="0.15">
      <c r="A2316" s="7">
        <v>2315</v>
      </c>
      <c r="B2316" s="7">
        <v>1</v>
      </c>
    </row>
    <row r="2317" spans="1:2" x14ac:dyDescent="0.15">
      <c r="A2317" s="7">
        <v>2316</v>
      </c>
      <c r="B2317" s="7">
        <v>0</v>
      </c>
    </row>
    <row r="2318" spans="1:2" x14ac:dyDescent="0.15">
      <c r="A2318" s="7">
        <v>2317</v>
      </c>
      <c r="B2318" s="7">
        <v>0</v>
      </c>
    </row>
    <row r="2319" spans="1:2" x14ac:dyDescent="0.15">
      <c r="A2319" s="7">
        <v>2318</v>
      </c>
      <c r="B2319" s="7">
        <v>1</v>
      </c>
    </row>
    <row r="2320" spans="1:2" x14ac:dyDescent="0.15">
      <c r="A2320" s="7">
        <v>2319</v>
      </c>
      <c r="B2320" s="7">
        <v>0</v>
      </c>
    </row>
    <row r="2321" spans="1:2" x14ac:dyDescent="0.15">
      <c r="A2321" s="7">
        <v>2320</v>
      </c>
      <c r="B2321" s="7">
        <v>0</v>
      </c>
    </row>
    <row r="2322" spans="1:2" x14ac:dyDescent="0.15">
      <c r="A2322" s="7">
        <v>2321</v>
      </c>
      <c r="B2322" s="7">
        <v>0</v>
      </c>
    </row>
    <row r="2323" spans="1:2" x14ac:dyDescent="0.15">
      <c r="A2323" s="7">
        <v>2322</v>
      </c>
      <c r="B2323" s="7">
        <v>0</v>
      </c>
    </row>
    <row r="2324" spans="1:2" x14ac:dyDescent="0.15">
      <c r="A2324" s="7">
        <v>2323</v>
      </c>
      <c r="B2324" s="7">
        <v>0</v>
      </c>
    </row>
    <row r="2325" spans="1:2" x14ac:dyDescent="0.15">
      <c r="A2325" s="7">
        <v>2324</v>
      </c>
      <c r="B2325" s="7">
        <v>0</v>
      </c>
    </row>
    <row r="2326" spans="1:2" x14ac:dyDescent="0.15">
      <c r="A2326" s="7">
        <v>2325</v>
      </c>
      <c r="B2326" s="7">
        <v>0</v>
      </c>
    </row>
    <row r="2327" spans="1:2" x14ac:dyDescent="0.15">
      <c r="A2327" s="7">
        <v>2326</v>
      </c>
      <c r="B2327" s="7">
        <v>0</v>
      </c>
    </row>
    <row r="2328" spans="1:2" x14ac:dyDescent="0.15">
      <c r="A2328" s="7">
        <v>2327</v>
      </c>
      <c r="B2328" s="7">
        <v>0</v>
      </c>
    </row>
    <row r="2329" spans="1:2" x14ac:dyDescent="0.15">
      <c r="A2329" s="7">
        <v>2328</v>
      </c>
      <c r="B2329" s="7">
        <v>0</v>
      </c>
    </row>
    <row r="2330" spans="1:2" x14ac:dyDescent="0.15">
      <c r="A2330" s="7">
        <v>2329</v>
      </c>
      <c r="B2330" s="7">
        <v>0</v>
      </c>
    </row>
    <row r="2331" spans="1:2" x14ac:dyDescent="0.15">
      <c r="A2331" s="7">
        <v>2330</v>
      </c>
      <c r="B2331" s="7">
        <v>0</v>
      </c>
    </row>
    <row r="2332" spans="1:2" x14ac:dyDescent="0.15">
      <c r="A2332" s="7">
        <v>2331</v>
      </c>
      <c r="B2332" s="7">
        <v>0</v>
      </c>
    </row>
    <row r="2333" spans="1:2" x14ac:dyDescent="0.15">
      <c r="A2333" s="7">
        <v>2332</v>
      </c>
      <c r="B2333" s="7">
        <v>0</v>
      </c>
    </row>
    <row r="2334" spans="1:2" x14ac:dyDescent="0.15">
      <c r="A2334" s="7">
        <v>2333</v>
      </c>
      <c r="B2334" s="7">
        <v>1</v>
      </c>
    </row>
    <row r="2335" spans="1:2" x14ac:dyDescent="0.15">
      <c r="A2335" s="7">
        <v>2334</v>
      </c>
      <c r="B2335" s="7">
        <v>0</v>
      </c>
    </row>
    <row r="2336" spans="1:2" x14ac:dyDescent="0.15">
      <c r="A2336" s="7">
        <v>2335</v>
      </c>
      <c r="B2336" s="7">
        <v>0</v>
      </c>
    </row>
    <row r="2337" spans="1:2" x14ac:dyDescent="0.15">
      <c r="A2337" s="7">
        <v>2336</v>
      </c>
      <c r="B2337" s="7">
        <v>0</v>
      </c>
    </row>
    <row r="2338" spans="1:2" x14ac:dyDescent="0.15">
      <c r="A2338" s="7">
        <v>2337</v>
      </c>
      <c r="B2338" s="7">
        <v>1</v>
      </c>
    </row>
    <row r="2339" spans="1:2" x14ac:dyDescent="0.15">
      <c r="A2339" s="7">
        <v>2338</v>
      </c>
      <c r="B2339" s="7">
        <v>0</v>
      </c>
    </row>
    <row r="2340" spans="1:2" x14ac:dyDescent="0.15">
      <c r="A2340" s="7">
        <v>2339</v>
      </c>
      <c r="B2340" s="7">
        <v>3</v>
      </c>
    </row>
    <row r="2341" spans="1:2" x14ac:dyDescent="0.15">
      <c r="A2341" s="7">
        <v>2340</v>
      </c>
      <c r="B2341" s="7">
        <v>0</v>
      </c>
    </row>
    <row r="2342" spans="1:2" x14ac:dyDescent="0.15">
      <c r="A2342" s="7">
        <v>2341</v>
      </c>
      <c r="B2342" s="7">
        <v>0</v>
      </c>
    </row>
    <row r="2343" spans="1:2" x14ac:dyDescent="0.15">
      <c r="A2343" s="7">
        <v>2342</v>
      </c>
      <c r="B2343" s="7">
        <v>0</v>
      </c>
    </row>
    <row r="2344" spans="1:2" x14ac:dyDescent="0.15">
      <c r="A2344" s="7">
        <v>2343</v>
      </c>
      <c r="B2344" s="7">
        <v>0</v>
      </c>
    </row>
    <row r="2345" spans="1:2" x14ac:dyDescent="0.15">
      <c r="A2345" s="7">
        <v>2344</v>
      </c>
      <c r="B2345" s="7">
        <v>0</v>
      </c>
    </row>
    <row r="2346" spans="1:2" x14ac:dyDescent="0.15">
      <c r="A2346" s="7">
        <v>2345</v>
      </c>
      <c r="B2346" s="7">
        <v>9</v>
      </c>
    </row>
    <row r="2347" spans="1:2" x14ac:dyDescent="0.15">
      <c r="A2347" s="7">
        <v>2346</v>
      </c>
      <c r="B2347" s="7">
        <v>0</v>
      </c>
    </row>
    <row r="2348" spans="1:2" x14ac:dyDescent="0.15">
      <c r="A2348" s="7">
        <v>2347</v>
      </c>
      <c r="B2348" s="7">
        <v>0</v>
      </c>
    </row>
    <row r="2349" spans="1:2" x14ac:dyDescent="0.15">
      <c r="A2349" s="7">
        <v>2348</v>
      </c>
      <c r="B2349" s="7">
        <v>0</v>
      </c>
    </row>
    <row r="2350" spans="1:2" x14ac:dyDescent="0.15">
      <c r="A2350" s="7">
        <v>2349</v>
      </c>
      <c r="B2350" s="7">
        <v>1</v>
      </c>
    </row>
    <row r="2351" spans="1:2" x14ac:dyDescent="0.15">
      <c r="A2351" s="7">
        <v>2350</v>
      </c>
      <c r="B2351" s="7">
        <v>0</v>
      </c>
    </row>
    <row r="2352" spans="1:2" x14ac:dyDescent="0.15">
      <c r="A2352" s="7">
        <v>2351</v>
      </c>
      <c r="B2352" s="7">
        <v>1</v>
      </c>
    </row>
    <row r="2353" spans="1:2" x14ac:dyDescent="0.15">
      <c r="A2353" s="7">
        <v>2352</v>
      </c>
      <c r="B2353" s="7">
        <v>1</v>
      </c>
    </row>
    <row r="2354" spans="1:2" x14ac:dyDescent="0.15">
      <c r="A2354" s="7">
        <v>2353</v>
      </c>
      <c r="B2354" s="7">
        <v>1</v>
      </c>
    </row>
    <row r="2355" spans="1:2" x14ac:dyDescent="0.15">
      <c r="A2355" s="7">
        <v>2354</v>
      </c>
      <c r="B2355" s="7">
        <v>0</v>
      </c>
    </row>
    <row r="2356" spans="1:2" x14ac:dyDescent="0.15">
      <c r="A2356" s="7">
        <v>2355</v>
      </c>
      <c r="B2356" s="7">
        <v>0</v>
      </c>
    </row>
    <row r="2357" spans="1:2" x14ac:dyDescent="0.15">
      <c r="A2357" s="7">
        <v>2356</v>
      </c>
      <c r="B2357" s="7">
        <v>0</v>
      </c>
    </row>
    <row r="2358" spans="1:2" x14ac:dyDescent="0.15">
      <c r="A2358" s="7">
        <v>2357</v>
      </c>
      <c r="B2358" s="7">
        <v>0</v>
      </c>
    </row>
    <row r="2359" spans="1:2" x14ac:dyDescent="0.15">
      <c r="A2359" s="7">
        <v>2358</v>
      </c>
      <c r="B2359" s="7">
        <v>0</v>
      </c>
    </row>
    <row r="2360" spans="1:2" x14ac:dyDescent="0.15">
      <c r="A2360" s="7">
        <v>2359</v>
      </c>
      <c r="B2360" s="7">
        <v>0</v>
      </c>
    </row>
    <row r="2361" spans="1:2" x14ac:dyDescent="0.15">
      <c r="A2361" s="7">
        <v>2360</v>
      </c>
      <c r="B2361" s="7">
        <v>0</v>
      </c>
    </row>
    <row r="2362" spans="1:2" x14ac:dyDescent="0.15">
      <c r="A2362" s="7">
        <v>2361</v>
      </c>
      <c r="B2362" s="7">
        <v>0</v>
      </c>
    </row>
    <row r="2363" spans="1:2" x14ac:dyDescent="0.15">
      <c r="A2363" s="7">
        <v>2362</v>
      </c>
      <c r="B2363" s="7">
        <v>2</v>
      </c>
    </row>
    <row r="2364" spans="1:2" x14ac:dyDescent="0.15">
      <c r="A2364" s="7">
        <v>2363</v>
      </c>
      <c r="B2364" s="7">
        <v>0</v>
      </c>
    </row>
    <row r="2365" spans="1:2" x14ac:dyDescent="0.15">
      <c r="A2365" s="7">
        <v>2364</v>
      </c>
      <c r="B2365" s="7">
        <v>0</v>
      </c>
    </row>
    <row r="2366" spans="1:2" x14ac:dyDescent="0.15">
      <c r="A2366" s="7">
        <v>2365</v>
      </c>
      <c r="B2366" s="7">
        <v>1</v>
      </c>
    </row>
    <row r="2367" spans="1:2" x14ac:dyDescent="0.15">
      <c r="A2367" s="7">
        <v>2366</v>
      </c>
      <c r="B2367" s="7">
        <v>0</v>
      </c>
    </row>
    <row r="2368" spans="1:2" x14ac:dyDescent="0.15">
      <c r="A2368" s="7">
        <v>2367</v>
      </c>
      <c r="B2368" s="7">
        <v>0</v>
      </c>
    </row>
    <row r="2369" spans="1:2" x14ac:dyDescent="0.15">
      <c r="A2369" s="7">
        <v>2368</v>
      </c>
      <c r="B2369" s="7">
        <v>0</v>
      </c>
    </row>
    <row r="2370" spans="1:2" x14ac:dyDescent="0.15">
      <c r="A2370" s="7">
        <v>2369</v>
      </c>
      <c r="B2370" s="7">
        <v>0</v>
      </c>
    </row>
    <row r="2371" spans="1:2" x14ac:dyDescent="0.15">
      <c r="A2371" s="7">
        <v>2370</v>
      </c>
      <c r="B2371" s="7">
        <v>0</v>
      </c>
    </row>
    <row r="2372" spans="1:2" x14ac:dyDescent="0.15">
      <c r="A2372" s="7">
        <v>2371</v>
      </c>
      <c r="B2372" s="7">
        <v>0</v>
      </c>
    </row>
    <row r="2373" spans="1:2" x14ac:dyDescent="0.15">
      <c r="A2373" s="7">
        <v>2372</v>
      </c>
      <c r="B2373" s="7">
        <v>1</v>
      </c>
    </row>
    <row r="2374" spans="1:2" x14ac:dyDescent="0.15">
      <c r="A2374" s="7">
        <v>2373</v>
      </c>
      <c r="B2374" s="7">
        <v>0</v>
      </c>
    </row>
    <row r="2375" spans="1:2" x14ac:dyDescent="0.15">
      <c r="A2375" s="7">
        <v>2374</v>
      </c>
      <c r="B2375" s="7">
        <v>0</v>
      </c>
    </row>
    <row r="2376" spans="1:2" x14ac:dyDescent="0.15">
      <c r="A2376" s="7">
        <v>2375</v>
      </c>
      <c r="B2376" s="7">
        <v>0</v>
      </c>
    </row>
    <row r="2377" spans="1:2" x14ac:dyDescent="0.15">
      <c r="A2377" s="7">
        <v>2376</v>
      </c>
      <c r="B2377" s="7">
        <v>0</v>
      </c>
    </row>
    <row r="2378" spans="1:2" x14ac:dyDescent="0.15">
      <c r="A2378" s="7">
        <v>2377</v>
      </c>
      <c r="B2378" s="7">
        <v>0</v>
      </c>
    </row>
    <row r="2379" spans="1:2" x14ac:dyDescent="0.15">
      <c r="A2379" s="7">
        <v>2378</v>
      </c>
      <c r="B2379" s="7">
        <v>3</v>
      </c>
    </row>
    <row r="2380" spans="1:2" x14ac:dyDescent="0.15">
      <c r="A2380" s="7">
        <v>2379</v>
      </c>
      <c r="B2380" s="7">
        <v>2</v>
      </c>
    </row>
    <row r="2381" spans="1:2" x14ac:dyDescent="0.15">
      <c r="A2381" s="7">
        <v>2380</v>
      </c>
      <c r="B2381" s="7">
        <v>0</v>
      </c>
    </row>
    <row r="2382" spans="1:2" x14ac:dyDescent="0.15">
      <c r="A2382" s="7">
        <v>2381</v>
      </c>
      <c r="B2382" s="7">
        <v>0</v>
      </c>
    </row>
    <row r="2383" spans="1:2" x14ac:dyDescent="0.15">
      <c r="A2383" s="7">
        <v>2382</v>
      </c>
      <c r="B2383" s="7">
        <v>0</v>
      </c>
    </row>
    <row r="2384" spans="1:2" x14ac:dyDescent="0.15">
      <c r="A2384" s="7">
        <v>2383</v>
      </c>
      <c r="B2384" s="7">
        <v>0</v>
      </c>
    </row>
    <row r="2385" spans="1:2" x14ac:dyDescent="0.15">
      <c r="A2385" s="7">
        <v>2384</v>
      </c>
      <c r="B2385" s="7">
        <v>0</v>
      </c>
    </row>
    <row r="2386" spans="1:2" x14ac:dyDescent="0.15">
      <c r="A2386" s="7">
        <v>2385</v>
      </c>
      <c r="B2386" s="7">
        <v>1</v>
      </c>
    </row>
    <row r="2387" spans="1:2" x14ac:dyDescent="0.15">
      <c r="A2387" s="7">
        <v>2386</v>
      </c>
      <c r="B2387" s="7">
        <v>0</v>
      </c>
    </row>
    <row r="2388" spans="1:2" x14ac:dyDescent="0.15">
      <c r="A2388" s="7">
        <v>2387</v>
      </c>
      <c r="B2388" s="7">
        <v>0</v>
      </c>
    </row>
    <row r="2389" spans="1:2" x14ac:dyDescent="0.15">
      <c r="A2389" s="7">
        <v>2388</v>
      </c>
      <c r="B2389" s="7">
        <v>0</v>
      </c>
    </row>
    <row r="2390" spans="1:2" x14ac:dyDescent="0.15">
      <c r="A2390" s="7">
        <v>2389</v>
      </c>
      <c r="B2390" s="7">
        <v>0</v>
      </c>
    </row>
    <row r="2391" spans="1:2" x14ac:dyDescent="0.15">
      <c r="A2391" s="7">
        <v>2390</v>
      </c>
      <c r="B2391" s="7">
        <v>0</v>
      </c>
    </row>
    <row r="2392" spans="1:2" x14ac:dyDescent="0.15">
      <c r="A2392" s="7">
        <v>2391</v>
      </c>
      <c r="B2392" s="7">
        <v>0</v>
      </c>
    </row>
    <row r="2393" spans="1:2" x14ac:dyDescent="0.15">
      <c r="A2393" s="7">
        <v>2392</v>
      </c>
      <c r="B2393" s="7">
        <v>0</v>
      </c>
    </row>
    <row r="2394" spans="1:2" x14ac:dyDescent="0.15">
      <c r="A2394" s="7">
        <v>2393</v>
      </c>
      <c r="B2394" s="7">
        <v>0</v>
      </c>
    </row>
    <row r="2395" spans="1:2" x14ac:dyDescent="0.15">
      <c r="A2395" s="7">
        <v>2394</v>
      </c>
      <c r="B2395" s="7">
        <v>0</v>
      </c>
    </row>
    <row r="2396" spans="1:2" x14ac:dyDescent="0.15">
      <c r="A2396" s="7">
        <v>2395</v>
      </c>
      <c r="B2396" s="7">
        <v>8</v>
      </c>
    </row>
    <row r="2397" spans="1:2" x14ac:dyDescent="0.15">
      <c r="A2397" s="7">
        <v>2396</v>
      </c>
      <c r="B2397" s="7">
        <v>1</v>
      </c>
    </row>
    <row r="2398" spans="1:2" x14ac:dyDescent="0.15">
      <c r="A2398" s="7">
        <v>2397</v>
      </c>
      <c r="B2398" s="7">
        <v>0</v>
      </c>
    </row>
    <row r="2399" spans="1:2" x14ac:dyDescent="0.15">
      <c r="A2399" s="7">
        <v>2398</v>
      </c>
      <c r="B2399" s="7">
        <v>0</v>
      </c>
    </row>
    <row r="2400" spans="1:2" x14ac:dyDescent="0.15">
      <c r="A2400" s="7">
        <v>2399</v>
      </c>
      <c r="B2400" s="7">
        <v>0</v>
      </c>
    </row>
    <row r="2401" spans="1:2" x14ac:dyDescent="0.15">
      <c r="A2401" s="7">
        <v>2400</v>
      </c>
      <c r="B2401" s="7">
        <v>0</v>
      </c>
    </row>
    <row r="2402" spans="1:2" x14ac:dyDescent="0.15">
      <c r="A2402" s="7">
        <v>2401</v>
      </c>
      <c r="B2402" s="7">
        <v>0</v>
      </c>
    </row>
    <row r="2403" spans="1:2" x14ac:dyDescent="0.15">
      <c r="A2403" s="7">
        <v>2402</v>
      </c>
      <c r="B2403" s="7">
        <v>1</v>
      </c>
    </row>
    <row r="2404" spans="1:2" x14ac:dyDescent="0.15">
      <c r="A2404" s="7">
        <v>2403</v>
      </c>
      <c r="B2404" s="7">
        <v>0</v>
      </c>
    </row>
    <row r="2405" spans="1:2" x14ac:dyDescent="0.15">
      <c r="A2405" s="7">
        <v>2404</v>
      </c>
      <c r="B2405" s="7">
        <v>2</v>
      </c>
    </row>
    <row r="2406" spans="1:2" x14ac:dyDescent="0.15">
      <c r="A2406" s="7">
        <v>2405</v>
      </c>
      <c r="B2406" s="7">
        <v>0</v>
      </c>
    </row>
    <row r="2407" spans="1:2" x14ac:dyDescent="0.15">
      <c r="A2407" s="7">
        <v>2406</v>
      </c>
      <c r="B2407" s="7">
        <v>0</v>
      </c>
    </row>
    <row r="2408" spans="1:2" x14ac:dyDescent="0.15">
      <c r="A2408" s="7">
        <v>2407</v>
      </c>
      <c r="B2408" s="7">
        <v>5</v>
      </c>
    </row>
    <row r="2409" spans="1:2" x14ac:dyDescent="0.15">
      <c r="A2409" s="7">
        <v>2408</v>
      </c>
      <c r="B2409" s="7">
        <v>1</v>
      </c>
    </row>
    <row r="2410" spans="1:2" x14ac:dyDescent="0.15">
      <c r="A2410" s="7">
        <v>2409</v>
      </c>
      <c r="B2410" s="7">
        <v>0</v>
      </c>
    </row>
    <row r="2411" spans="1:2" x14ac:dyDescent="0.15">
      <c r="A2411" s="7">
        <v>2410</v>
      </c>
      <c r="B2411" s="7">
        <v>0</v>
      </c>
    </row>
    <row r="2412" spans="1:2" x14ac:dyDescent="0.15">
      <c r="A2412" s="7">
        <v>2411</v>
      </c>
      <c r="B2412" s="7">
        <v>0</v>
      </c>
    </row>
    <row r="2413" spans="1:2" x14ac:dyDescent="0.15">
      <c r="A2413" s="7">
        <v>2412</v>
      </c>
      <c r="B2413" s="7">
        <v>0</v>
      </c>
    </row>
    <row r="2414" spans="1:2" x14ac:dyDescent="0.15">
      <c r="A2414" s="7">
        <v>2413</v>
      </c>
      <c r="B2414" s="7">
        <v>0</v>
      </c>
    </row>
    <row r="2415" spans="1:2" x14ac:dyDescent="0.15">
      <c r="A2415" s="7">
        <v>2414</v>
      </c>
      <c r="B2415" s="7">
        <v>0</v>
      </c>
    </row>
    <row r="2416" spans="1:2" x14ac:dyDescent="0.15">
      <c r="A2416" s="7">
        <v>2415</v>
      </c>
      <c r="B2416" s="7">
        <v>0</v>
      </c>
    </row>
    <row r="2417" spans="1:2" x14ac:dyDescent="0.15">
      <c r="A2417" s="7">
        <v>2416</v>
      </c>
      <c r="B2417" s="7">
        <v>0</v>
      </c>
    </row>
    <row r="2418" spans="1:2" x14ac:dyDescent="0.15">
      <c r="A2418" s="7">
        <v>2417</v>
      </c>
      <c r="B2418" s="7">
        <v>0</v>
      </c>
    </row>
    <row r="2419" spans="1:2" x14ac:dyDescent="0.15">
      <c r="A2419" s="7">
        <v>2418</v>
      </c>
      <c r="B2419" s="7">
        <v>0</v>
      </c>
    </row>
    <row r="2420" spans="1:2" x14ac:dyDescent="0.15">
      <c r="A2420" s="7">
        <v>2419</v>
      </c>
      <c r="B2420" s="7">
        <v>1</v>
      </c>
    </row>
    <row r="2421" spans="1:2" x14ac:dyDescent="0.15">
      <c r="A2421" s="7">
        <v>2420</v>
      </c>
      <c r="B2421" s="7">
        <v>0</v>
      </c>
    </row>
    <row r="2422" spans="1:2" x14ac:dyDescent="0.15">
      <c r="A2422" s="7">
        <v>2421</v>
      </c>
      <c r="B2422" s="7">
        <v>0</v>
      </c>
    </row>
    <row r="2423" spans="1:2" x14ac:dyDescent="0.15">
      <c r="A2423" s="7">
        <v>2422</v>
      </c>
      <c r="B2423" s="7">
        <v>0</v>
      </c>
    </row>
    <row r="2424" spans="1:2" x14ac:dyDescent="0.15">
      <c r="A2424" s="7">
        <v>2423</v>
      </c>
      <c r="B2424" s="7">
        <v>0</v>
      </c>
    </row>
    <row r="2425" spans="1:2" x14ac:dyDescent="0.15">
      <c r="A2425" s="7">
        <v>2424</v>
      </c>
      <c r="B2425" s="7">
        <v>0</v>
      </c>
    </row>
    <row r="2426" spans="1:2" x14ac:dyDescent="0.15">
      <c r="A2426" s="7">
        <v>2425</v>
      </c>
      <c r="B2426" s="7">
        <v>0</v>
      </c>
    </row>
    <row r="2427" spans="1:2" x14ac:dyDescent="0.15">
      <c r="A2427" s="7">
        <v>2426</v>
      </c>
      <c r="B2427" s="7">
        <v>0</v>
      </c>
    </row>
    <row r="2428" spans="1:2" x14ac:dyDescent="0.15">
      <c r="A2428" s="7">
        <v>2427</v>
      </c>
      <c r="B2428" s="7">
        <v>0</v>
      </c>
    </row>
    <row r="2429" spans="1:2" x14ac:dyDescent="0.15">
      <c r="A2429" s="7">
        <v>2428</v>
      </c>
      <c r="B2429" s="7">
        <v>2</v>
      </c>
    </row>
    <row r="2430" spans="1:2" x14ac:dyDescent="0.15">
      <c r="A2430" s="7">
        <v>2429</v>
      </c>
      <c r="B2430" s="7">
        <v>12</v>
      </c>
    </row>
    <row r="2431" spans="1:2" x14ac:dyDescent="0.15">
      <c r="A2431" s="7">
        <v>2430</v>
      </c>
      <c r="B2431" s="7">
        <v>0</v>
      </c>
    </row>
    <row r="2432" spans="1:2" x14ac:dyDescent="0.15">
      <c r="A2432" s="7">
        <v>2431</v>
      </c>
      <c r="B2432" s="7">
        <v>1</v>
      </c>
    </row>
    <row r="2433" spans="1:2" x14ac:dyDescent="0.15">
      <c r="A2433" s="7">
        <v>2432</v>
      </c>
      <c r="B2433" s="7">
        <v>0</v>
      </c>
    </row>
    <row r="2434" spans="1:2" x14ac:dyDescent="0.15">
      <c r="A2434" s="7">
        <v>2433</v>
      </c>
      <c r="B2434" s="7">
        <v>0</v>
      </c>
    </row>
    <row r="2435" spans="1:2" x14ac:dyDescent="0.15">
      <c r="A2435" s="7">
        <v>2434</v>
      </c>
      <c r="B2435" s="7">
        <v>0</v>
      </c>
    </row>
    <row r="2436" spans="1:2" x14ac:dyDescent="0.15">
      <c r="A2436" s="7">
        <v>2435</v>
      </c>
      <c r="B2436" s="7">
        <v>0</v>
      </c>
    </row>
    <row r="2437" spans="1:2" x14ac:dyDescent="0.15">
      <c r="A2437" s="7">
        <v>2436</v>
      </c>
      <c r="B2437" s="7">
        <v>0</v>
      </c>
    </row>
    <row r="2438" spans="1:2" x14ac:dyDescent="0.15">
      <c r="A2438" s="7">
        <v>2437</v>
      </c>
      <c r="B2438" s="7">
        <v>0</v>
      </c>
    </row>
    <row r="2439" spans="1:2" x14ac:dyDescent="0.15">
      <c r="A2439" s="7">
        <v>2438</v>
      </c>
      <c r="B2439" s="7">
        <v>0</v>
      </c>
    </row>
    <row r="2440" spans="1:2" x14ac:dyDescent="0.15">
      <c r="A2440" s="7">
        <v>2439</v>
      </c>
      <c r="B2440" s="7">
        <v>0</v>
      </c>
    </row>
    <row r="2441" spans="1:2" x14ac:dyDescent="0.15">
      <c r="A2441" s="7">
        <v>2440</v>
      </c>
      <c r="B2441" s="7">
        <v>0</v>
      </c>
    </row>
    <row r="2442" spans="1:2" x14ac:dyDescent="0.15">
      <c r="A2442" s="7">
        <v>2441</v>
      </c>
      <c r="B2442" s="7">
        <v>0</v>
      </c>
    </row>
    <row r="2443" spans="1:2" x14ac:dyDescent="0.15">
      <c r="A2443" s="7">
        <v>2442</v>
      </c>
      <c r="B2443" s="7">
        <v>0</v>
      </c>
    </row>
    <row r="2444" spans="1:2" x14ac:dyDescent="0.15">
      <c r="A2444" s="7">
        <v>2443</v>
      </c>
      <c r="B2444" s="7">
        <v>0</v>
      </c>
    </row>
    <row r="2445" spans="1:2" x14ac:dyDescent="0.15">
      <c r="A2445" s="7">
        <v>2444</v>
      </c>
      <c r="B2445" s="7">
        <v>0</v>
      </c>
    </row>
    <row r="2446" spans="1:2" x14ac:dyDescent="0.15">
      <c r="A2446" s="7">
        <v>2445</v>
      </c>
      <c r="B2446" s="7">
        <v>0</v>
      </c>
    </row>
    <row r="2447" spans="1:2" x14ac:dyDescent="0.15">
      <c r="A2447" s="7">
        <v>2446</v>
      </c>
      <c r="B2447" s="7">
        <v>1</v>
      </c>
    </row>
    <row r="2448" spans="1:2" x14ac:dyDescent="0.15">
      <c r="A2448" s="7">
        <v>2447</v>
      </c>
      <c r="B2448" s="7">
        <v>0</v>
      </c>
    </row>
    <row r="2449" spans="1:2" x14ac:dyDescent="0.15">
      <c r="A2449" s="7">
        <v>2448</v>
      </c>
      <c r="B2449" s="7">
        <v>0</v>
      </c>
    </row>
    <row r="2450" spans="1:2" x14ac:dyDescent="0.15">
      <c r="A2450" s="7">
        <v>2449</v>
      </c>
      <c r="B2450" s="7">
        <v>1</v>
      </c>
    </row>
    <row r="2451" spans="1:2" x14ac:dyDescent="0.15">
      <c r="A2451" s="7">
        <v>2450</v>
      </c>
      <c r="B2451" s="7">
        <v>0</v>
      </c>
    </row>
    <row r="2452" spans="1:2" x14ac:dyDescent="0.15">
      <c r="A2452" s="7">
        <v>2451</v>
      </c>
      <c r="B2452" s="7">
        <v>0</v>
      </c>
    </row>
    <row r="2453" spans="1:2" x14ac:dyDescent="0.15">
      <c r="A2453" s="7">
        <v>2452</v>
      </c>
      <c r="B2453" s="7">
        <v>0</v>
      </c>
    </row>
    <row r="2454" spans="1:2" x14ac:dyDescent="0.15">
      <c r="A2454" s="7">
        <v>2453</v>
      </c>
      <c r="B2454" s="7">
        <v>2</v>
      </c>
    </row>
    <row r="2455" spans="1:2" x14ac:dyDescent="0.15">
      <c r="A2455" s="7">
        <v>2454</v>
      </c>
      <c r="B2455" s="7">
        <v>0</v>
      </c>
    </row>
    <row r="2456" spans="1:2" x14ac:dyDescent="0.15">
      <c r="A2456" s="7">
        <v>2455</v>
      </c>
      <c r="B2456" s="7">
        <v>0</v>
      </c>
    </row>
    <row r="2457" spans="1:2" x14ac:dyDescent="0.15">
      <c r="A2457" s="7">
        <v>2456</v>
      </c>
      <c r="B2457" s="7">
        <v>0</v>
      </c>
    </row>
    <row r="2458" spans="1:2" x14ac:dyDescent="0.15">
      <c r="A2458" s="7">
        <v>2457</v>
      </c>
      <c r="B2458" s="7">
        <v>0</v>
      </c>
    </row>
    <row r="2459" spans="1:2" x14ac:dyDescent="0.15">
      <c r="A2459" s="7">
        <v>2458</v>
      </c>
      <c r="B2459" s="7">
        <v>1</v>
      </c>
    </row>
    <row r="2460" spans="1:2" x14ac:dyDescent="0.15">
      <c r="A2460" s="7">
        <v>2459</v>
      </c>
      <c r="B2460" s="7">
        <v>0</v>
      </c>
    </row>
    <row r="2461" spans="1:2" x14ac:dyDescent="0.15">
      <c r="A2461" s="7">
        <v>2460</v>
      </c>
      <c r="B2461" s="7">
        <v>0</v>
      </c>
    </row>
    <row r="2462" spans="1:2" x14ac:dyDescent="0.15">
      <c r="A2462" s="7">
        <v>2461</v>
      </c>
      <c r="B2462" s="7">
        <v>0</v>
      </c>
    </row>
    <row r="2463" spans="1:2" x14ac:dyDescent="0.15">
      <c r="A2463" s="7">
        <v>2462</v>
      </c>
      <c r="B2463" s="7">
        <v>2</v>
      </c>
    </row>
    <row r="2464" spans="1:2" x14ac:dyDescent="0.15">
      <c r="A2464" s="7">
        <v>2463</v>
      </c>
      <c r="B2464" s="7">
        <v>0</v>
      </c>
    </row>
    <row r="2465" spans="1:2" x14ac:dyDescent="0.15">
      <c r="A2465" s="7">
        <v>2464</v>
      </c>
      <c r="B2465" s="7">
        <v>3</v>
      </c>
    </row>
    <row r="2466" spans="1:2" x14ac:dyDescent="0.15">
      <c r="A2466" s="7">
        <v>2465</v>
      </c>
      <c r="B2466" s="7">
        <v>1</v>
      </c>
    </row>
    <row r="2467" spans="1:2" x14ac:dyDescent="0.15">
      <c r="A2467" s="7">
        <v>2466</v>
      </c>
      <c r="B2467" s="7">
        <v>0</v>
      </c>
    </row>
    <row r="2468" spans="1:2" x14ac:dyDescent="0.15">
      <c r="A2468" s="7">
        <v>2467</v>
      </c>
      <c r="B2468" s="7">
        <v>11</v>
      </c>
    </row>
    <row r="2469" spans="1:2" x14ac:dyDescent="0.15">
      <c r="A2469" s="7">
        <v>2468</v>
      </c>
      <c r="B2469" s="7">
        <v>1</v>
      </c>
    </row>
    <row r="2470" spans="1:2" x14ac:dyDescent="0.15">
      <c r="A2470" s="7">
        <v>2469</v>
      </c>
      <c r="B2470" s="7">
        <v>0</v>
      </c>
    </row>
    <row r="2471" spans="1:2" x14ac:dyDescent="0.15">
      <c r="A2471" s="7">
        <v>2470</v>
      </c>
      <c r="B2471" s="7">
        <v>2</v>
      </c>
    </row>
    <row r="2472" spans="1:2" x14ac:dyDescent="0.15">
      <c r="A2472" s="7">
        <v>2471</v>
      </c>
      <c r="B2472" s="7">
        <v>0</v>
      </c>
    </row>
    <row r="2473" spans="1:2" x14ac:dyDescent="0.15">
      <c r="A2473" s="7">
        <v>2472</v>
      </c>
      <c r="B2473" s="7">
        <v>0</v>
      </c>
    </row>
    <row r="2474" spans="1:2" x14ac:dyDescent="0.15">
      <c r="A2474" s="7">
        <v>2473</v>
      </c>
      <c r="B2474" s="7">
        <v>1</v>
      </c>
    </row>
    <row r="2475" spans="1:2" x14ac:dyDescent="0.15">
      <c r="A2475" s="7">
        <v>2474</v>
      </c>
      <c r="B2475" s="7">
        <v>0</v>
      </c>
    </row>
    <row r="2476" spans="1:2" x14ac:dyDescent="0.15">
      <c r="A2476" s="7">
        <v>2475</v>
      </c>
      <c r="B2476" s="7">
        <v>0</v>
      </c>
    </row>
    <row r="2477" spans="1:2" x14ac:dyDescent="0.15">
      <c r="A2477" s="7">
        <v>2476</v>
      </c>
      <c r="B2477" s="7">
        <v>0</v>
      </c>
    </row>
    <row r="2478" spans="1:2" x14ac:dyDescent="0.15">
      <c r="A2478" s="7">
        <v>2477</v>
      </c>
      <c r="B2478" s="7">
        <v>3</v>
      </c>
    </row>
    <row r="2479" spans="1:2" x14ac:dyDescent="0.15">
      <c r="A2479" s="7">
        <v>2478</v>
      </c>
      <c r="B2479" s="7">
        <v>0</v>
      </c>
    </row>
    <row r="2480" spans="1:2" x14ac:dyDescent="0.15">
      <c r="A2480" s="7">
        <v>2479</v>
      </c>
      <c r="B2480" s="7">
        <v>0</v>
      </c>
    </row>
    <row r="2481" spans="1:2" x14ac:dyDescent="0.15">
      <c r="A2481" s="7">
        <v>2480</v>
      </c>
      <c r="B2481" s="7">
        <v>0</v>
      </c>
    </row>
    <row r="2482" spans="1:2" x14ac:dyDescent="0.15">
      <c r="A2482" s="7">
        <v>2481</v>
      </c>
      <c r="B2482" s="7">
        <v>0</v>
      </c>
    </row>
    <row r="2483" spans="1:2" x14ac:dyDescent="0.15">
      <c r="A2483" s="7">
        <v>2482</v>
      </c>
      <c r="B2483" s="7">
        <v>0</v>
      </c>
    </row>
    <row r="2484" spans="1:2" x14ac:dyDescent="0.15">
      <c r="A2484" s="7">
        <v>2483</v>
      </c>
      <c r="B2484" s="7">
        <v>4</v>
      </c>
    </row>
    <row r="2485" spans="1:2" x14ac:dyDescent="0.15">
      <c r="A2485" s="7">
        <v>2484</v>
      </c>
      <c r="B2485" s="7">
        <v>0</v>
      </c>
    </row>
    <row r="2486" spans="1:2" x14ac:dyDescent="0.15">
      <c r="A2486" s="7">
        <v>2485</v>
      </c>
      <c r="B2486" s="7">
        <v>0</v>
      </c>
    </row>
    <row r="2487" spans="1:2" x14ac:dyDescent="0.15">
      <c r="A2487" s="7">
        <v>2486</v>
      </c>
      <c r="B2487" s="7">
        <v>1</v>
      </c>
    </row>
    <row r="2488" spans="1:2" x14ac:dyDescent="0.15">
      <c r="A2488" s="7">
        <v>2487</v>
      </c>
      <c r="B2488" s="7">
        <v>2</v>
      </c>
    </row>
    <row r="2489" spans="1:2" x14ac:dyDescent="0.15">
      <c r="A2489" s="7">
        <v>2488</v>
      </c>
      <c r="B2489" s="7">
        <v>1</v>
      </c>
    </row>
    <row r="2490" spans="1:2" x14ac:dyDescent="0.15">
      <c r="A2490" s="7">
        <v>2489</v>
      </c>
      <c r="B2490" s="7">
        <v>0</v>
      </c>
    </row>
    <row r="2491" spans="1:2" x14ac:dyDescent="0.15">
      <c r="A2491" s="7">
        <v>2490</v>
      </c>
      <c r="B2491" s="7">
        <v>0</v>
      </c>
    </row>
    <row r="2492" spans="1:2" x14ac:dyDescent="0.15">
      <c r="A2492" s="7">
        <v>2491</v>
      </c>
      <c r="B2492" s="7">
        <v>0</v>
      </c>
    </row>
    <row r="2493" spans="1:2" x14ac:dyDescent="0.15">
      <c r="A2493" s="7">
        <v>2492</v>
      </c>
      <c r="B2493" s="7">
        <v>0</v>
      </c>
    </row>
    <row r="2494" spans="1:2" x14ac:dyDescent="0.15">
      <c r="A2494" s="7">
        <v>2493</v>
      </c>
      <c r="B2494" s="7">
        <v>0</v>
      </c>
    </row>
    <row r="2495" spans="1:2" x14ac:dyDescent="0.15">
      <c r="A2495" s="7">
        <v>2494</v>
      </c>
      <c r="B2495" s="7">
        <v>5</v>
      </c>
    </row>
    <row r="2496" spans="1:2" x14ac:dyDescent="0.15">
      <c r="A2496" s="7">
        <v>2495</v>
      </c>
      <c r="B2496" s="7">
        <v>1</v>
      </c>
    </row>
    <row r="2497" spans="1:2" x14ac:dyDescent="0.15">
      <c r="A2497" s="7">
        <v>2496</v>
      </c>
      <c r="B2497" s="7">
        <v>5</v>
      </c>
    </row>
    <row r="2498" spans="1:2" x14ac:dyDescent="0.15">
      <c r="A2498" s="7">
        <v>2497</v>
      </c>
      <c r="B2498" s="7">
        <v>0</v>
      </c>
    </row>
    <row r="2499" spans="1:2" x14ac:dyDescent="0.15">
      <c r="A2499" s="7">
        <v>2498</v>
      </c>
      <c r="B2499" s="7">
        <v>0</v>
      </c>
    </row>
    <row r="2500" spans="1:2" x14ac:dyDescent="0.15">
      <c r="A2500" s="7">
        <v>2499</v>
      </c>
      <c r="B2500" s="7">
        <v>2</v>
      </c>
    </row>
    <row r="2501" spans="1:2" x14ac:dyDescent="0.15">
      <c r="A2501" s="7">
        <v>2500</v>
      </c>
      <c r="B2501" s="7">
        <v>0</v>
      </c>
    </row>
    <row r="2502" spans="1:2" x14ac:dyDescent="0.15">
      <c r="A2502" s="7">
        <v>2501</v>
      </c>
      <c r="B2502" s="7">
        <v>0</v>
      </c>
    </row>
    <row r="2503" spans="1:2" x14ac:dyDescent="0.15">
      <c r="A2503" s="7">
        <v>2502</v>
      </c>
      <c r="B2503" s="7">
        <v>0</v>
      </c>
    </row>
    <row r="2504" spans="1:2" x14ac:dyDescent="0.15">
      <c r="A2504" s="7">
        <v>2503</v>
      </c>
      <c r="B2504" s="7">
        <v>0</v>
      </c>
    </row>
    <row r="2505" spans="1:2" x14ac:dyDescent="0.15">
      <c r="A2505" s="7">
        <v>2504</v>
      </c>
      <c r="B2505" s="7">
        <v>0</v>
      </c>
    </row>
    <row r="2506" spans="1:2" x14ac:dyDescent="0.15">
      <c r="A2506" s="7">
        <v>2505</v>
      </c>
      <c r="B2506" s="7">
        <v>0</v>
      </c>
    </row>
    <row r="2507" spans="1:2" x14ac:dyDescent="0.15">
      <c r="A2507" s="7">
        <v>2506</v>
      </c>
      <c r="B2507" s="7">
        <v>0</v>
      </c>
    </row>
    <row r="2508" spans="1:2" x14ac:dyDescent="0.15">
      <c r="A2508" s="7">
        <v>2507</v>
      </c>
      <c r="B2508" s="7">
        <v>0</v>
      </c>
    </row>
    <row r="2509" spans="1:2" x14ac:dyDescent="0.15">
      <c r="A2509" s="7">
        <v>2508</v>
      </c>
      <c r="B2509" s="7">
        <v>0</v>
      </c>
    </row>
    <row r="2510" spans="1:2" x14ac:dyDescent="0.15">
      <c r="A2510" s="7">
        <v>2509</v>
      </c>
      <c r="B2510" s="7">
        <v>1</v>
      </c>
    </row>
    <row r="2511" spans="1:2" x14ac:dyDescent="0.15">
      <c r="A2511" s="7">
        <v>2510</v>
      </c>
      <c r="B2511" s="7">
        <v>0</v>
      </c>
    </row>
    <row r="2512" spans="1:2" x14ac:dyDescent="0.15">
      <c r="A2512" s="7">
        <v>2511</v>
      </c>
      <c r="B2512" s="7">
        <v>0</v>
      </c>
    </row>
    <row r="2513" spans="1:2" x14ac:dyDescent="0.15">
      <c r="A2513" s="7">
        <v>2512</v>
      </c>
      <c r="B2513" s="7">
        <v>0</v>
      </c>
    </row>
    <row r="2514" spans="1:2" x14ac:dyDescent="0.15">
      <c r="A2514" s="7">
        <v>2513</v>
      </c>
      <c r="B2514" s="7">
        <v>1</v>
      </c>
    </row>
    <row r="2515" spans="1:2" x14ac:dyDescent="0.15">
      <c r="A2515" s="7">
        <v>2514</v>
      </c>
      <c r="B2515" s="7">
        <v>0</v>
      </c>
    </row>
    <row r="2516" spans="1:2" x14ac:dyDescent="0.15">
      <c r="A2516" s="7">
        <v>2515</v>
      </c>
      <c r="B2516" s="7">
        <v>1</v>
      </c>
    </row>
    <row r="2517" spans="1:2" x14ac:dyDescent="0.15">
      <c r="A2517" s="7">
        <v>2516</v>
      </c>
      <c r="B2517" s="7">
        <v>1</v>
      </c>
    </row>
    <row r="2518" spans="1:2" x14ac:dyDescent="0.15">
      <c r="A2518" s="7">
        <v>2517</v>
      </c>
      <c r="B2518" s="7">
        <v>1</v>
      </c>
    </row>
    <row r="2519" spans="1:2" x14ac:dyDescent="0.15">
      <c r="A2519" s="7">
        <v>2518</v>
      </c>
      <c r="B2519" s="7">
        <v>2</v>
      </c>
    </row>
    <row r="2520" spans="1:2" x14ac:dyDescent="0.15">
      <c r="A2520" s="7">
        <v>2519</v>
      </c>
      <c r="B2520" s="7">
        <v>0</v>
      </c>
    </row>
    <row r="2521" spans="1:2" x14ac:dyDescent="0.15">
      <c r="A2521" s="7">
        <v>2520</v>
      </c>
      <c r="B2521" s="7">
        <v>0</v>
      </c>
    </row>
    <row r="2522" spans="1:2" x14ac:dyDescent="0.15">
      <c r="A2522" s="7">
        <v>2521</v>
      </c>
      <c r="B2522" s="7">
        <v>0</v>
      </c>
    </row>
    <row r="2523" spans="1:2" x14ac:dyDescent="0.15">
      <c r="A2523" s="7">
        <v>2522</v>
      </c>
      <c r="B2523" s="7">
        <v>0</v>
      </c>
    </row>
    <row r="2524" spans="1:2" x14ac:dyDescent="0.15">
      <c r="A2524" s="7">
        <v>2523</v>
      </c>
      <c r="B2524" s="7">
        <v>0</v>
      </c>
    </row>
    <row r="2525" spans="1:2" x14ac:dyDescent="0.15">
      <c r="A2525" s="7">
        <v>2524</v>
      </c>
      <c r="B2525" s="7">
        <v>0</v>
      </c>
    </row>
    <row r="2526" spans="1:2" x14ac:dyDescent="0.15">
      <c r="A2526" s="7">
        <v>2525</v>
      </c>
      <c r="B2526" s="7">
        <v>0</v>
      </c>
    </row>
    <row r="2527" spans="1:2" x14ac:dyDescent="0.15">
      <c r="A2527" s="7">
        <v>2526</v>
      </c>
      <c r="B2527" s="7">
        <v>0</v>
      </c>
    </row>
    <row r="2528" spans="1:2" x14ac:dyDescent="0.15">
      <c r="A2528" s="7">
        <v>2527</v>
      </c>
      <c r="B2528" s="7">
        <v>0</v>
      </c>
    </row>
    <row r="2529" spans="1:2" x14ac:dyDescent="0.15">
      <c r="A2529" s="7">
        <v>2528</v>
      </c>
      <c r="B2529" s="7">
        <v>0</v>
      </c>
    </row>
    <row r="2530" spans="1:2" x14ac:dyDescent="0.15">
      <c r="A2530" s="7">
        <v>2529</v>
      </c>
      <c r="B2530" s="7">
        <v>0</v>
      </c>
    </row>
    <row r="2531" spans="1:2" x14ac:dyDescent="0.15">
      <c r="A2531" s="7">
        <v>2530</v>
      </c>
      <c r="B2531" s="7">
        <v>0</v>
      </c>
    </row>
    <row r="2532" spans="1:2" x14ac:dyDescent="0.15">
      <c r="A2532" s="7">
        <v>2531</v>
      </c>
      <c r="B2532" s="7">
        <v>0</v>
      </c>
    </row>
    <row r="2533" spans="1:2" x14ac:dyDescent="0.15">
      <c r="A2533" s="7">
        <v>2532</v>
      </c>
      <c r="B2533" s="7">
        <v>0</v>
      </c>
    </row>
    <row r="2534" spans="1:2" x14ac:dyDescent="0.15">
      <c r="A2534" s="7">
        <v>2533</v>
      </c>
      <c r="B2534" s="7">
        <v>1</v>
      </c>
    </row>
    <row r="2535" spans="1:2" x14ac:dyDescent="0.15">
      <c r="A2535" s="7">
        <v>2534</v>
      </c>
      <c r="B2535" s="7">
        <v>2</v>
      </c>
    </row>
    <row r="2536" spans="1:2" x14ac:dyDescent="0.15">
      <c r="A2536" s="7">
        <v>2535</v>
      </c>
      <c r="B2536" s="7">
        <v>7</v>
      </c>
    </row>
    <row r="2537" spans="1:2" x14ac:dyDescent="0.15">
      <c r="A2537" s="7">
        <v>2536</v>
      </c>
      <c r="B2537" s="7">
        <v>0</v>
      </c>
    </row>
    <row r="2538" spans="1:2" x14ac:dyDescent="0.15">
      <c r="A2538" s="7">
        <v>2537</v>
      </c>
      <c r="B2538" s="7">
        <v>0</v>
      </c>
    </row>
    <row r="2539" spans="1:2" x14ac:dyDescent="0.15">
      <c r="A2539" s="7">
        <v>2538</v>
      </c>
      <c r="B2539" s="7">
        <v>0</v>
      </c>
    </row>
    <row r="2540" spans="1:2" x14ac:dyDescent="0.15">
      <c r="A2540" s="7">
        <v>2539</v>
      </c>
      <c r="B2540" s="7">
        <v>1</v>
      </c>
    </row>
    <row r="2541" spans="1:2" x14ac:dyDescent="0.15">
      <c r="A2541" s="7">
        <v>2540</v>
      </c>
      <c r="B2541" s="7">
        <v>0</v>
      </c>
    </row>
    <row r="2542" spans="1:2" x14ac:dyDescent="0.15">
      <c r="A2542" s="7">
        <v>2541</v>
      </c>
      <c r="B2542" s="7">
        <v>0</v>
      </c>
    </row>
    <row r="2543" spans="1:2" x14ac:dyDescent="0.15">
      <c r="A2543" s="7">
        <v>2542</v>
      </c>
      <c r="B2543" s="7">
        <v>1</v>
      </c>
    </row>
    <row r="2544" spans="1:2" x14ac:dyDescent="0.15">
      <c r="A2544" s="7">
        <v>2543</v>
      </c>
      <c r="B2544" s="7">
        <v>0</v>
      </c>
    </row>
    <row r="2545" spans="1:2" x14ac:dyDescent="0.15">
      <c r="A2545" s="7">
        <v>2544</v>
      </c>
      <c r="B2545" s="7">
        <v>0</v>
      </c>
    </row>
    <row r="2546" spans="1:2" x14ac:dyDescent="0.15">
      <c r="A2546" s="7">
        <v>2545</v>
      </c>
      <c r="B2546" s="7">
        <v>0</v>
      </c>
    </row>
    <row r="2547" spans="1:2" x14ac:dyDescent="0.15">
      <c r="A2547" s="7">
        <v>2546</v>
      </c>
      <c r="B2547" s="7">
        <v>0</v>
      </c>
    </row>
    <row r="2548" spans="1:2" x14ac:dyDescent="0.15">
      <c r="A2548" s="7">
        <v>2547</v>
      </c>
      <c r="B2548" s="7">
        <v>3</v>
      </c>
    </row>
    <row r="2549" spans="1:2" x14ac:dyDescent="0.15">
      <c r="A2549" s="7">
        <v>2548</v>
      </c>
      <c r="B2549" s="7">
        <v>1</v>
      </c>
    </row>
    <row r="2550" spans="1:2" x14ac:dyDescent="0.15">
      <c r="A2550" s="7">
        <v>2549</v>
      </c>
      <c r="B2550" s="7">
        <v>12</v>
      </c>
    </row>
    <row r="2551" spans="1:2" x14ac:dyDescent="0.15">
      <c r="A2551" s="7">
        <v>2550</v>
      </c>
      <c r="B2551" s="7">
        <v>2</v>
      </c>
    </row>
    <row r="2552" spans="1:2" x14ac:dyDescent="0.15">
      <c r="A2552" s="7">
        <v>2551</v>
      </c>
      <c r="B2552" s="7">
        <v>0</v>
      </c>
    </row>
    <row r="2553" spans="1:2" x14ac:dyDescent="0.15">
      <c r="A2553" s="7">
        <v>2552</v>
      </c>
      <c r="B2553" s="7">
        <v>0</v>
      </c>
    </row>
    <row r="2554" spans="1:2" x14ac:dyDescent="0.15">
      <c r="A2554" s="7">
        <v>2553</v>
      </c>
      <c r="B2554" s="7">
        <v>0</v>
      </c>
    </row>
    <row r="2555" spans="1:2" x14ac:dyDescent="0.15">
      <c r="A2555" s="7">
        <v>2554</v>
      </c>
      <c r="B2555" s="7">
        <v>0</v>
      </c>
    </row>
    <row r="2556" spans="1:2" x14ac:dyDescent="0.15">
      <c r="A2556" s="7">
        <v>2555</v>
      </c>
      <c r="B2556" s="7">
        <v>1</v>
      </c>
    </row>
    <row r="2557" spans="1:2" x14ac:dyDescent="0.15">
      <c r="A2557" s="7">
        <v>2556</v>
      </c>
      <c r="B2557" s="7">
        <v>1</v>
      </c>
    </row>
    <row r="2558" spans="1:2" x14ac:dyDescent="0.15">
      <c r="A2558" s="7">
        <v>2557</v>
      </c>
      <c r="B2558" s="7">
        <v>0</v>
      </c>
    </row>
    <row r="2559" spans="1:2" x14ac:dyDescent="0.15">
      <c r="A2559" s="7">
        <v>2558</v>
      </c>
      <c r="B2559" s="7">
        <v>0</v>
      </c>
    </row>
    <row r="2560" spans="1:2" x14ac:dyDescent="0.15">
      <c r="A2560" s="7">
        <v>2559</v>
      </c>
      <c r="B2560" s="7">
        <v>0</v>
      </c>
    </row>
    <row r="2561" spans="1:2" x14ac:dyDescent="0.15">
      <c r="A2561" s="7">
        <v>2560</v>
      </c>
      <c r="B2561" s="7">
        <v>0</v>
      </c>
    </row>
    <row r="2562" spans="1:2" x14ac:dyDescent="0.15">
      <c r="A2562" s="7">
        <v>2561</v>
      </c>
      <c r="B2562" s="7">
        <v>0</v>
      </c>
    </row>
    <row r="2563" spans="1:2" x14ac:dyDescent="0.15">
      <c r="A2563" s="7">
        <v>2562</v>
      </c>
      <c r="B2563" s="7">
        <v>0</v>
      </c>
    </row>
    <row r="2564" spans="1:2" x14ac:dyDescent="0.15">
      <c r="A2564" s="7">
        <v>2563</v>
      </c>
      <c r="B2564" s="7">
        <v>0</v>
      </c>
    </row>
    <row r="2565" spans="1:2" x14ac:dyDescent="0.15">
      <c r="A2565" s="7">
        <v>2564</v>
      </c>
      <c r="B2565" s="7">
        <v>0</v>
      </c>
    </row>
    <row r="2566" spans="1:2" x14ac:dyDescent="0.15">
      <c r="A2566" s="7">
        <v>2565</v>
      </c>
      <c r="B2566" s="7">
        <v>0</v>
      </c>
    </row>
    <row r="2567" spans="1:2" x14ac:dyDescent="0.15">
      <c r="A2567" s="7">
        <v>2566</v>
      </c>
      <c r="B2567" s="7">
        <v>3</v>
      </c>
    </row>
    <row r="2568" spans="1:2" x14ac:dyDescent="0.15">
      <c r="A2568" s="7">
        <v>2567</v>
      </c>
      <c r="B2568" s="7">
        <v>0</v>
      </c>
    </row>
    <row r="2569" spans="1:2" x14ac:dyDescent="0.15">
      <c r="A2569" s="7">
        <v>2568</v>
      </c>
      <c r="B2569" s="7">
        <v>0</v>
      </c>
    </row>
    <row r="2570" spans="1:2" x14ac:dyDescent="0.15">
      <c r="A2570" s="7">
        <v>2569</v>
      </c>
      <c r="B2570" s="7">
        <v>0</v>
      </c>
    </row>
    <row r="2571" spans="1:2" x14ac:dyDescent="0.15">
      <c r="A2571" s="7">
        <v>2570</v>
      </c>
      <c r="B2571" s="7">
        <v>0</v>
      </c>
    </row>
    <row r="2572" spans="1:2" x14ac:dyDescent="0.15">
      <c r="A2572" s="7">
        <v>2571</v>
      </c>
      <c r="B2572" s="7">
        <v>1</v>
      </c>
    </row>
    <row r="2573" spans="1:2" x14ac:dyDescent="0.15">
      <c r="A2573" s="7">
        <v>2572</v>
      </c>
      <c r="B2573" s="7">
        <v>3</v>
      </c>
    </row>
    <row r="2574" spans="1:2" x14ac:dyDescent="0.15">
      <c r="A2574" s="7">
        <v>2573</v>
      </c>
      <c r="B2574" s="7">
        <v>0</v>
      </c>
    </row>
    <row r="2575" spans="1:2" x14ac:dyDescent="0.15">
      <c r="A2575" s="7">
        <v>2574</v>
      </c>
      <c r="B2575" s="7">
        <v>0</v>
      </c>
    </row>
    <row r="2576" spans="1:2" x14ac:dyDescent="0.15">
      <c r="A2576" s="7">
        <v>2575</v>
      </c>
      <c r="B2576" s="7">
        <v>0</v>
      </c>
    </row>
    <row r="2577" spans="1:2" x14ac:dyDescent="0.15">
      <c r="A2577" s="7">
        <v>2576</v>
      </c>
      <c r="B2577" s="7">
        <v>0</v>
      </c>
    </row>
    <row r="2578" spans="1:2" x14ac:dyDescent="0.15">
      <c r="A2578" s="7">
        <v>2577</v>
      </c>
      <c r="B2578" s="7">
        <v>1</v>
      </c>
    </row>
    <row r="2579" spans="1:2" x14ac:dyDescent="0.15">
      <c r="A2579" s="7">
        <v>2578</v>
      </c>
      <c r="B2579" s="7">
        <v>0</v>
      </c>
    </row>
    <row r="2580" spans="1:2" x14ac:dyDescent="0.15">
      <c r="A2580" s="7">
        <v>2579</v>
      </c>
      <c r="B2580" s="7">
        <v>0</v>
      </c>
    </row>
    <row r="2581" spans="1:2" x14ac:dyDescent="0.15">
      <c r="A2581" s="7">
        <v>2580</v>
      </c>
      <c r="B2581" s="7">
        <v>0</v>
      </c>
    </row>
    <row r="2582" spans="1:2" x14ac:dyDescent="0.15">
      <c r="A2582" s="7">
        <v>2581</v>
      </c>
      <c r="B2582" s="7">
        <v>0</v>
      </c>
    </row>
    <row r="2583" spans="1:2" x14ac:dyDescent="0.15">
      <c r="A2583" s="7">
        <v>2582</v>
      </c>
      <c r="B2583" s="7">
        <v>0</v>
      </c>
    </row>
    <row r="2584" spans="1:2" x14ac:dyDescent="0.15">
      <c r="A2584" s="7">
        <v>2583</v>
      </c>
      <c r="B2584" s="7">
        <v>4</v>
      </c>
    </row>
    <row r="2585" spans="1:2" x14ac:dyDescent="0.15">
      <c r="A2585" s="7">
        <v>2584</v>
      </c>
      <c r="B2585" s="7">
        <v>0</v>
      </c>
    </row>
    <row r="2586" spans="1:2" x14ac:dyDescent="0.15">
      <c r="A2586" s="7">
        <v>2585</v>
      </c>
      <c r="B2586" s="7">
        <v>0</v>
      </c>
    </row>
    <row r="2587" spans="1:2" x14ac:dyDescent="0.15">
      <c r="A2587" s="7">
        <v>2586</v>
      </c>
      <c r="B2587" s="7">
        <v>0</v>
      </c>
    </row>
    <row r="2588" spans="1:2" x14ac:dyDescent="0.15">
      <c r="A2588" s="7">
        <v>2587</v>
      </c>
      <c r="B2588" s="7">
        <v>0</v>
      </c>
    </row>
    <row r="2589" spans="1:2" x14ac:dyDescent="0.15">
      <c r="A2589" s="7">
        <v>2588</v>
      </c>
      <c r="B2589" s="7">
        <v>1</v>
      </c>
    </row>
    <row r="2590" spans="1:2" x14ac:dyDescent="0.15">
      <c r="A2590" s="7">
        <v>2589</v>
      </c>
      <c r="B2590" s="7">
        <v>0</v>
      </c>
    </row>
    <row r="2591" spans="1:2" x14ac:dyDescent="0.15">
      <c r="A2591" s="7">
        <v>2590</v>
      </c>
      <c r="B2591" s="7">
        <v>0</v>
      </c>
    </row>
    <row r="2592" spans="1:2" x14ac:dyDescent="0.15">
      <c r="A2592" s="7">
        <v>2591</v>
      </c>
      <c r="B2592" s="7">
        <v>0</v>
      </c>
    </row>
    <row r="2593" spans="1:2" x14ac:dyDescent="0.15">
      <c r="A2593" s="7">
        <v>2592</v>
      </c>
      <c r="B2593" s="7">
        <v>0</v>
      </c>
    </row>
    <row r="2594" spans="1:2" x14ac:dyDescent="0.15">
      <c r="A2594" s="7">
        <v>2593</v>
      </c>
      <c r="B2594" s="7">
        <v>0</v>
      </c>
    </row>
    <row r="2595" spans="1:2" x14ac:dyDescent="0.15">
      <c r="A2595" s="7">
        <v>2594</v>
      </c>
      <c r="B2595" s="7">
        <v>0</v>
      </c>
    </row>
    <row r="2596" spans="1:2" x14ac:dyDescent="0.15">
      <c r="A2596" s="7">
        <v>2595</v>
      </c>
      <c r="B2596" s="7">
        <v>0</v>
      </c>
    </row>
    <row r="2597" spans="1:2" x14ac:dyDescent="0.15">
      <c r="A2597" s="7">
        <v>2596</v>
      </c>
      <c r="B2597" s="7">
        <v>1</v>
      </c>
    </row>
    <row r="2598" spans="1:2" x14ac:dyDescent="0.15">
      <c r="A2598" s="7">
        <v>2597</v>
      </c>
      <c r="B2598" s="7">
        <v>0</v>
      </c>
    </row>
    <row r="2599" spans="1:2" x14ac:dyDescent="0.15">
      <c r="A2599" s="7">
        <v>2598</v>
      </c>
      <c r="B2599" s="7">
        <v>0</v>
      </c>
    </row>
    <row r="2600" spans="1:2" x14ac:dyDescent="0.15">
      <c r="A2600" s="7">
        <v>2599</v>
      </c>
      <c r="B2600" s="7">
        <v>0</v>
      </c>
    </row>
    <row r="2601" spans="1:2" x14ac:dyDescent="0.15">
      <c r="A2601" s="7">
        <v>2600</v>
      </c>
      <c r="B2601" s="7">
        <v>0</v>
      </c>
    </row>
    <row r="2602" spans="1:2" x14ac:dyDescent="0.15">
      <c r="A2602" s="7">
        <v>2601</v>
      </c>
      <c r="B2602" s="7">
        <v>0</v>
      </c>
    </row>
    <row r="2603" spans="1:2" x14ac:dyDescent="0.15">
      <c r="A2603" s="7">
        <v>2602</v>
      </c>
      <c r="B2603" s="7">
        <v>0</v>
      </c>
    </row>
    <row r="2604" spans="1:2" x14ac:dyDescent="0.15">
      <c r="A2604" s="7">
        <v>2603</v>
      </c>
      <c r="B2604" s="7">
        <v>0</v>
      </c>
    </row>
    <row r="2605" spans="1:2" x14ac:dyDescent="0.15">
      <c r="A2605" s="7">
        <v>2604</v>
      </c>
      <c r="B2605" s="7">
        <v>1</v>
      </c>
    </row>
    <row r="2606" spans="1:2" x14ac:dyDescent="0.15">
      <c r="A2606" s="7">
        <v>2605</v>
      </c>
      <c r="B2606" s="7">
        <v>0</v>
      </c>
    </row>
    <row r="2607" spans="1:2" x14ac:dyDescent="0.15">
      <c r="A2607" s="7">
        <v>2606</v>
      </c>
      <c r="B2607" s="7">
        <v>0</v>
      </c>
    </row>
    <row r="2608" spans="1:2" x14ac:dyDescent="0.15">
      <c r="A2608" s="7">
        <v>2607</v>
      </c>
      <c r="B2608" s="7">
        <v>0</v>
      </c>
    </row>
    <row r="2609" spans="1:2" x14ac:dyDescent="0.15">
      <c r="A2609" s="7">
        <v>2608</v>
      </c>
      <c r="B2609" s="7">
        <v>0</v>
      </c>
    </row>
    <row r="2610" spans="1:2" x14ac:dyDescent="0.15">
      <c r="A2610" s="7">
        <v>2609</v>
      </c>
      <c r="B2610" s="7">
        <v>0</v>
      </c>
    </row>
    <row r="2611" spans="1:2" x14ac:dyDescent="0.15">
      <c r="A2611" s="7">
        <v>2610</v>
      </c>
      <c r="B2611" s="7">
        <v>0</v>
      </c>
    </row>
    <row r="2612" spans="1:2" x14ac:dyDescent="0.15">
      <c r="A2612" s="7">
        <v>2611</v>
      </c>
      <c r="B2612" s="7">
        <v>0</v>
      </c>
    </row>
    <row r="2613" spans="1:2" x14ac:dyDescent="0.15">
      <c r="A2613" s="7">
        <v>2612</v>
      </c>
      <c r="B2613" s="7">
        <v>0</v>
      </c>
    </row>
    <row r="2614" spans="1:2" x14ac:dyDescent="0.15">
      <c r="A2614" s="7">
        <v>2613</v>
      </c>
      <c r="B2614" s="7">
        <v>0</v>
      </c>
    </row>
    <row r="2615" spans="1:2" x14ac:dyDescent="0.15">
      <c r="A2615" s="7">
        <v>2614</v>
      </c>
      <c r="B2615" s="7">
        <v>0</v>
      </c>
    </row>
    <row r="2616" spans="1:2" x14ac:dyDescent="0.15">
      <c r="A2616" s="7">
        <v>2615</v>
      </c>
      <c r="B2616" s="7">
        <v>0</v>
      </c>
    </row>
    <row r="2617" spans="1:2" x14ac:dyDescent="0.15">
      <c r="A2617" s="7">
        <v>2616</v>
      </c>
      <c r="B2617" s="7">
        <v>1</v>
      </c>
    </row>
    <row r="2618" spans="1:2" x14ac:dyDescent="0.15">
      <c r="A2618" s="7">
        <v>2617</v>
      </c>
      <c r="B2618" s="7">
        <v>0</v>
      </c>
    </row>
    <row r="2619" spans="1:2" x14ac:dyDescent="0.15">
      <c r="A2619" s="7">
        <v>2618</v>
      </c>
      <c r="B2619" s="7">
        <v>0</v>
      </c>
    </row>
    <row r="2620" spans="1:2" x14ac:dyDescent="0.15">
      <c r="A2620" s="7">
        <v>2619</v>
      </c>
      <c r="B2620" s="7">
        <v>0</v>
      </c>
    </row>
    <row r="2621" spans="1:2" x14ac:dyDescent="0.15">
      <c r="A2621" s="7">
        <v>2620</v>
      </c>
      <c r="B2621" s="7">
        <v>0</v>
      </c>
    </row>
    <row r="2622" spans="1:2" x14ac:dyDescent="0.15">
      <c r="A2622" s="7">
        <v>2621</v>
      </c>
      <c r="B2622" s="7">
        <v>0</v>
      </c>
    </row>
    <row r="2623" spans="1:2" x14ac:dyDescent="0.15">
      <c r="A2623" s="7">
        <v>2622</v>
      </c>
      <c r="B2623" s="7">
        <v>0</v>
      </c>
    </row>
    <row r="2624" spans="1:2" x14ac:dyDescent="0.15">
      <c r="A2624" s="7">
        <v>2623</v>
      </c>
      <c r="B2624" s="7">
        <v>0</v>
      </c>
    </row>
    <row r="2625" spans="1:2" x14ac:dyDescent="0.15">
      <c r="A2625" s="7">
        <v>2624</v>
      </c>
      <c r="B2625" s="7">
        <v>4</v>
      </c>
    </row>
    <row r="2626" spans="1:2" x14ac:dyDescent="0.15">
      <c r="A2626" s="7">
        <v>2625</v>
      </c>
      <c r="B2626" s="7">
        <v>0</v>
      </c>
    </row>
    <row r="2627" spans="1:2" x14ac:dyDescent="0.15">
      <c r="A2627" s="7">
        <v>2626</v>
      </c>
      <c r="B2627" s="7">
        <v>0</v>
      </c>
    </row>
    <row r="2628" spans="1:2" x14ac:dyDescent="0.15">
      <c r="A2628" s="7">
        <v>2627</v>
      </c>
      <c r="B2628" s="7">
        <v>0</v>
      </c>
    </row>
    <row r="2629" spans="1:2" x14ac:dyDescent="0.15">
      <c r="A2629" s="7">
        <v>2628</v>
      </c>
      <c r="B2629" s="7">
        <v>0</v>
      </c>
    </row>
    <row r="2630" spans="1:2" x14ac:dyDescent="0.15">
      <c r="A2630" s="7">
        <v>2629</v>
      </c>
      <c r="B2630" s="7">
        <v>0</v>
      </c>
    </row>
    <row r="2631" spans="1:2" x14ac:dyDescent="0.15">
      <c r="A2631" s="7">
        <v>2630</v>
      </c>
      <c r="B2631" s="7">
        <v>3</v>
      </c>
    </row>
    <row r="2632" spans="1:2" x14ac:dyDescent="0.15">
      <c r="A2632" s="7">
        <v>2631</v>
      </c>
      <c r="B2632" s="7">
        <v>0</v>
      </c>
    </row>
    <row r="2633" spans="1:2" x14ac:dyDescent="0.15">
      <c r="A2633" s="7">
        <v>2632</v>
      </c>
      <c r="B2633" s="7">
        <v>1</v>
      </c>
    </row>
    <row r="2634" spans="1:2" x14ac:dyDescent="0.15">
      <c r="A2634" s="7">
        <v>2633</v>
      </c>
      <c r="B2634" s="7">
        <v>1</v>
      </c>
    </row>
    <row r="2635" spans="1:2" x14ac:dyDescent="0.15">
      <c r="A2635" s="7">
        <v>2634</v>
      </c>
      <c r="B2635" s="7">
        <v>0</v>
      </c>
    </row>
    <row r="2636" spans="1:2" x14ac:dyDescent="0.15">
      <c r="A2636" s="7">
        <v>2635</v>
      </c>
      <c r="B2636" s="7">
        <v>0</v>
      </c>
    </row>
    <row r="2637" spans="1:2" x14ac:dyDescent="0.15">
      <c r="A2637" s="7">
        <v>2636</v>
      </c>
      <c r="B2637" s="7">
        <v>0</v>
      </c>
    </row>
    <row r="2638" spans="1:2" x14ac:dyDescent="0.15">
      <c r="A2638" s="7">
        <v>2637</v>
      </c>
      <c r="B2638" s="7">
        <v>0</v>
      </c>
    </row>
    <row r="2639" spans="1:2" x14ac:dyDescent="0.15">
      <c r="A2639" s="7">
        <v>2638</v>
      </c>
      <c r="B2639" s="7">
        <v>0</v>
      </c>
    </row>
    <row r="2640" spans="1:2" x14ac:dyDescent="0.15">
      <c r="A2640" s="7">
        <v>2639</v>
      </c>
      <c r="B2640" s="7">
        <v>0</v>
      </c>
    </row>
    <row r="2641" spans="1:2" x14ac:dyDescent="0.15">
      <c r="A2641" s="7">
        <v>2640</v>
      </c>
      <c r="B2641" s="7">
        <v>0</v>
      </c>
    </row>
    <row r="2642" spans="1:2" x14ac:dyDescent="0.15">
      <c r="A2642" s="7">
        <v>2641</v>
      </c>
      <c r="B2642" s="7">
        <v>0</v>
      </c>
    </row>
    <row r="2643" spans="1:2" x14ac:dyDescent="0.15">
      <c r="A2643" s="7">
        <v>2642</v>
      </c>
      <c r="B2643" s="7">
        <v>1</v>
      </c>
    </row>
    <row r="2644" spans="1:2" x14ac:dyDescent="0.15">
      <c r="A2644" s="7">
        <v>2643</v>
      </c>
      <c r="B2644" s="7">
        <v>0</v>
      </c>
    </row>
    <row r="2645" spans="1:2" x14ac:dyDescent="0.15">
      <c r="A2645" s="7">
        <v>2644</v>
      </c>
      <c r="B2645" s="7">
        <v>0</v>
      </c>
    </row>
    <row r="2646" spans="1:2" x14ac:dyDescent="0.15">
      <c r="A2646" s="7">
        <v>2645</v>
      </c>
      <c r="B2646" s="7">
        <v>2</v>
      </c>
    </row>
    <row r="2647" spans="1:2" x14ac:dyDescent="0.15">
      <c r="A2647" s="7">
        <v>2646</v>
      </c>
      <c r="B2647" s="7">
        <v>0</v>
      </c>
    </row>
    <row r="2648" spans="1:2" x14ac:dyDescent="0.15">
      <c r="A2648" s="7">
        <v>2647</v>
      </c>
      <c r="B2648" s="7">
        <v>0</v>
      </c>
    </row>
    <row r="2649" spans="1:2" x14ac:dyDescent="0.15">
      <c r="A2649" s="7">
        <v>2648</v>
      </c>
      <c r="B2649" s="7">
        <v>0</v>
      </c>
    </row>
    <row r="2650" spans="1:2" x14ac:dyDescent="0.15">
      <c r="A2650" s="7">
        <v>2649</v>
      </c>
      <c r="B2650" s="7">
        <v>0</v>
      </c>
    </row>
    <row r="2651" spans="1:2" x14ac:dyDescent="0.15">
      <c r="A2651" s="7">
        <v>2650</v>
      </c>
      <c r="B2651" s="7">
        <v>0</v>
      </c>
    </row>
    <row r="2652" spans="1:2" x14ac:dyDescent="0.15">
      <c r="A2652" s="7">
        <v>2651</v>
      </c>
      <c r="B2652" s="7">
        <v>0</v>
      </c>
    </row>
    <row r="2653" spans="1:2" x14ac:dyDescent="0.15">
      <c r="A2653" s="7">
        <v>2652</v>
      </c>
      <c r="B2653" s="7">
        <v>4</v>
      </c>
    </row>
    <row r="2654" spans="1:2" x14ac:dyDescent="0.15">
      <c r="A2654" s="7">
        <v>2653</v>
      </c>
      <c r="B2654" s="7">
        <v>0</v>
      </c>
    </row>
    <row r="2655" spans="1:2" x14ac:dyDescent="0.15">
      <c r="A2655" s="7">
        <v>2654</v>
      </c>
      <c r="B2655" s="7">
        <v>4</v>
      </c>
    </row>
    <row r="2656" spans="1:2" x14ac:dyDescent="0.15">
      <c r="A2656" s="7">
        <v>2655</v>
      </c>
      <c r="B2656" s="7">
        <v>0</v>
      </c>
    </row>
    <row r="2657" spans="1:2" x14ac:dyDescent="0.15">
      <c r="A2657" s="7">
        <v>2656</v>
      </c>
      <c r="B2657" s="7">
        <v>0</v>
      </c>
    </row>
    <row r="2658" spans="1:2" x14ac:dyDescent="0.15">
      <c r="A2658" s="7">
        <v>2657</v>
      </c>
      <c r="B2658" s="7">
        <v>1</v>
      </c>
    </row>
    <row r="2659" spans="1:2" x14ac:dyDescent="0.15">
      <c r="A2659" s="7">
        <v>2658</v>
      </c>
      <c r="B2659" s="7">
        <v>10</v>
      </c>
    </row>
    <row r="2660" spans="1:2" x14ac:dyDescent="0.15">
      <c r="A2660" s="7">
        <v>2659</v>
      </c>
      <c r="B2660" s="7">
        <v>0</v>
      </c>
    </row>
    <row r="2661" spans="1:2" x14ac:dyDescent="0.15">
      <c r="A2661" s="7">
        <v>2660</v>
      </c>
      <c r="B2661" s="7">
        <v>4</v>
      </c>
    </row>
    <row r="2662" spans="1:2" x14ac:dyDescent="0.15">
      <c r="A2662" s="7">
        <v>2661</v>
      </c>
      <c r="B2662" s="7">
        <v>1</v>
      </c>
    </row>
    <row r="2663" spans="1:2" x14ac:dyDescent="0.15">
      <c r="A2663" s="7">
        <v>2662</v>
      </c>
      <c r="B2663" s="7">
        <v>0</v>
      </c>
    </row>
    <row r="2664" spans="1:2" x14ac:dyDescent="0.15">
      <c r="A2664" s="7">
        <v>2663</v>
      </c>
      <c r="B2664" s="7">
        <v>0</v>
      </c>
    </row>
    <row r="2665" spans="1:2" x14ac:dyDescent="0.15">
      <c r="A2665" s="7">
        <v>2664</v>
      </c>
      <c r="B2665" s="7">
        <v>0</v>
      </c>
    </row>
    <row r="2666" spans="1:2" x14ac:dyDescent="0.15">
      <c r="A2666" s="7">
        <v>2665</v>
      </c>
      <c r="B2666" s="7">
        <v>0</v>
      </c>
    </row>
    <row r="2667" spans="1:2" x14ac:dyDescent="0.15">
      <c r="A2667" s="7">
        <v>2666</v>
      </c>
      <c r="B2667" s="7">
        <v>17</v>
      </c>
    </row>
    <row r="2668" spans="1:2" x14ac:dyDescent="0.15">
      <c r="A2668" s="7">
        <v>2667</v>
      </c>
      <c r="B2668" s="7">
        <v>1</v>
      </c>
    </row>
    <row r="2669" spans="1:2" x14ac:dyDescent="0.15">
      <c r="A2669" s="7">
        <v>2668</v>
      </c>
      <c r="B2669" s="7">
        <v>0</v>
      </c>
    </row>
    <row r="2670" spans="1:2" x14ac:dyDescent="0.15">
      <c r="A2670" s="7">
        <v>2669</v>
      </c>
      <c r="B2670" s="7">
        <v>0</v>
      </c>
    </row>
    <row r="2671" spans="1:2" x14ac:dyDescent="0.15">
      <c r="A2671" s="7">
        <v>2670</v>
      </c>
      <c r="B2671" s="7">
        <v>0</v>
      </c>
    </row>
    <row r="2672" spans="1:2" x14ac:dyDescent="0.15">
      <c r="A2672" s="7">
        <v>2671</v>
      </c>
      <c r="B2672" s="7">
        <v>1</v>
      </c>
    </row>
    <row r="2673" spans="1:2" x14ac:dyDescent="0.15">
      <c r="A2673" s="7">
        <v>2672</v>
      </c>
      <c r="B2673" s="7">
        <v>0</v>
      </c>
    </row>
    <row r="2674" spans="1:2" x14ac:dyDescent="0.15">
      <c r="A2674" s="7">
        <v>2673</v>
      </c>
      <c r="B2674" s="7">
        <v>0</v>
      </c>
    </row>
    <row r="2675" spans="1:2" x14ac:dyDescent="0.15">
      <c r="A2675" s="7">
        <v>2674</v>
      </c>
      <c r="B2675" s="7">
        <v>0</v>
      </c>
    </row>
    <row r="2676" spans="1:2" x14ac:dyDescent="0.15">
      <c r="A2676" s="7">
        <v>2675</v>
      </c>
      <c r="B2676" s="7">
        <v>0</v>
      </c>
    </row>
    <row r="2677" spans="1:2" x14ac:dyDescent="0.15">
      <c r="A2677" s="7">
        <v>2676</v>
      </c>
      <c r="B2677" s="7">
        <v>0</v>
      </c>
    </row>
    <row r="2678" spans="1:2" x14ac:dyDescent="0.15">
      <c r="A2678" s="7">
        <v>2677</v>
      </c>
      <c r="B2678" s="7">
        <v>0</v>
      </c>
    </row>
    <row r="2679" spans="1:2" x14ac:dyDescent="0.15">
      <c r="A2679" s="7">
        <v>2678</v>
      </c>
      <c r="B2679" s="7">
        <v>0</v>
      </c>
    </row>
    <row r="2680" spans="1:2" x14ac:dyDescent="0.15">
      <c r="A2680" s="7">
        <v>2679</v>
      </c>
      <c r="B2680" s="7">
        <v>0</v>
      </c>
    </row>
    <row r="2681" spans="1:2" x14ac:dyDescent="0.15">
      <c r="A2681" s="7">
        <v>2680</v>
      </c>
      <c r="B2681" s="7">
        <v>0</v>
      </c>
    </row>
    <row r="2682" spans="1:2" x14ac:dyDescent="0.15">
      <c r="A2682" s="7">
        <v>2681</v>
      </c>
      <c r="B2682" s="7">
        <v>0</v>
      </c>
    </row>
    <row r="2683" spans="1:2" x14ac:dyDescent="0.15">
      <c r="A2683" s="7">
        <v>2682</v>
      </c>
      <c r="B2683" s="7">
        <v>0</v>
      </c>
    </row>
    <row r="2684" spans="1:2" x14ac:dyDescent="0.15">
      <c r="A2684" s="7">
        <v>2683</v>
      </c>
      <c r="B2684" s="7">
        <v>0</v>
      </c>
    </row>
    <row r="2685" spans="1:2" x14ac:dyDescent="0.15">
      <c r="A2685" s="7">
        <v>2684</v>
      </c>
      <c r="B2685" s="7">
        <v>0</v>
      </c>
    </row>
    <row r="2686" spans="1:2" x14ac:dyDescent="0.15">
      <c r="A2686" s="7">
        <v>2685</v>
      </c>
      <c r="B2686" s="7">
        <v>0</v>
      </c>
    </row>
    <row r="2687" spans="1:2" x14ac:dyDescent="0.15">
      <c r="A2687" s="7">
        <v>2686</v>
      </c>
      <c r="B2687" s="7">
        <v>0</v>
      </c>
    </row>
    <row r="2688" spans="1:2" x14ac:dyDescent="0.15">
      <c r="A2688" s="7">
        <v>2687</v>
      </c>
      <c r="B2688" s="7">
        <v>0</v>
      </c>
    </row>
    <row r="2689" spans="1:2" x14ac:dyDescent="0.15">
      <c r="A2689" s="7">
        <v>2688</v>
      </c>
      <c r="B2689" s="7">
        <v>0</v>
      </c>
    </row>
    <row r="2690" spans="1:2" x14ac:dyDescent="0.15">
      <c r="A2690" s="7">
        <v>2689</v>
      </c>
      <c r="B2690" s="7">
        <v>0</v>
      </c>
    </row>
    <row r="2691" spans="1:2" x14ac:dyDescent="0.15">
      <c r="A2691" s="7">
        <v>2690</v>
      </c>
      <c r="B2691" s="7">
        <v>0</v>
      </c>
    </row>
    <row r="2692" spans="1:2" x14ac:dyDescent="0.15">
      <c r="A2692" s="7">
        <v>2691</v>
      </c>
      <c r="B2692" s="7">
        <v>0</v>
      </c>
    </row>
    <row r="2693" spans="1:2" x14ac:dyDescent="0.15">
      <c r="A2693" s="7">
        <v>2692</v>
      </c>
      <c r="B2693" s="7">
        <v>0</v>
      </c>
    </row>
    <row r="2694" spans="1:2" x14ac:dyDescent="0.15">
      <c r="A2694" s="7">
        <v>2693</v>
      </c>
      <c r="B2694" s="7">
        <v>0</v>
      </c>
    </row>
    <row r="2695" spans="1:2" x14ac:dyDescent="0.15">
      <c r="A2695" s="7">
        <v>2694</v>
      </c>
      <c r="B2695" s="7">
        <v>0</v>
      </c>
    </row>
    <row r="2696" spans="1:2" x14ac:dyDescent="0.15">
      <c r="A2696" s="7">
        <v>2695</v>
      </c>
      <c r="B2696" s="7">
        <v>0</v>
      </c>
    </row>
    <row r="2697" spans="1:2" x14ac:dyDescent="0.15">
      <c r="A2697" s="7">
        <v>2696</v>
      </c>
      <c r="B2697" s="7">
        <v>0</v>
      </c>
    </row>
    <row r="2698" spans="1:2" x14ac:dyDescent="0.15">
      <c r="A2698" s="7">
        <v>2697</v>
      </c>
      <c r="B2698" s="7">
        <v>49</v>
      </c>
    </row>
    <row r="2699" spans="1:2" x14ac:dyDescent="0.15">
      <c r="A2699" s="7">
        <v>2698</v>
      </c>
      <c r="B2699" s="7">
        <v>0</v>
      </c>
    </row>
    <row r="2700" spans="1:2" x14ac:dyDescent="0.15">
      <c r="A2700" s="7">
        <v>2699</v>
      </c>
      <c r="B2700" s="7">
        <v>0</v>
      </c>
    </row>
    <row r="2701" spans="1:2" x14ac:dyDescent="0.15">
      <c r="A2701" s="7">
        <v>2700</v>
      </c>
      <c r="B2701" s="7">
        <v>0</v>
      </c>
    </row>
    <row r="2702" spans="1:2" x14ac:dyDescent="0.15">
      <c r="A2702" s="7">
        <v>2701</v>
      </c>
      <c r="B2702" s="7">
        <v>0</v>
      </c>
    </row>
    <row r="2703" spans="1:2" x14ac:dyDescent="0.15">
      <c r="A2703" s="7">
        <v>2702</v>
      </c>
      <c r="B2703" s="7">
        <v>0</v>
      </c>
    </row>
    <row r="2704" spans="1:2" x14ac:dyDescent="0.15">
      <c r="A2704" s="7">
        <v>2703</v>
      </c>
      <c r="B2704" s="7">
        <v>0</v>
      </c>
    </row>
    <row r="2705" spans="1:2" x14ac:dyDescent="0.15">
      <c r="A2705" s="7">
        <v>2704</v>
      </c>
      <c r="B2705" s="7">
        <v>0</v>
      </c>
    </row>
    <row r="2706" spans="1:2" x14ac:dyDescent="0.15">
      <c r="A2706" s="7">
        <v>2705</v>
      </c>
      <c r="B2706" s="7">
        <v>6</v>
      </c>
    </row>
    <row r="2707" spans="1:2" x14ac:dyDescent="0.15">
      <c r="A2707" s="7">
        <v>2706</v>
      </c>
      <c r="B2707" s="7">
        <v>0</v>
      </c>
    </row>
    <row r="2708" spans="1:2" x14ac:dyDescent="0.15">
      <c r="A2708" s="7">
        <v>2707</v>
      </c>
      <c r="B2708" s="7">
        <v>1</v>
      </c>
    </row>
    <row r="2709" spans="1:2" x14ac:dyDescent="0.15">
      <c r="A2709" s="7">
        <v>2708</v>
      </c>
      <c r="B2709" s="7">
        <v>4</v>
      </c>
    </row>
    <row r="2710" spans="1:2" x14ac:dyDescent="0.15">
      <c r="A2710" s="7">
        <v>2709</v>
      </c>
      <c r="B2710" s="7">
        <v>0</v>
      </c>
    </row>
    <row r="2711" spans="1:2" x14ac:dyDescent="0.15">
      <c r="A2711" s="7">
        <v>2710</v>
      </c>
      <c r="B2711" s="7">
        <v>0</v>
      </c>
    </row>
    <row r="2712" spans="1:2" x14ac:dyDescent="0.15">
      <c r="A2712" s="7">
        <v>2711</v>
      </c>
      <c r="B2712" s="7">
        <v>0</v>
      </c>
    </row>
    <row r="2713" spans="1:2" x14ac:dyDescent="0.15">
      <c r="A2713" s="7">
        <v>2712</v>
      </c>
      <c r="B2713" s="7">
        <v>0</v>
      </c>
    </row>
    <row r="2714" spans="1:2" x14ac:dyDescent="0.15">
      <c r="A2714" s="7">
        <v>2713</v>
      </c>
      <c r="B2714" s="7">
        <v>0</v>
      </c>
    </row>
    <row r="2715" spans="1:2" x14ac:dyDescent="0.15">
      <c r="A2715" s="7">
        <v>2714</v>
      </c>
      <c r="B2715" s="7">
        <v>0</v>
      </c>
    </row>
    <row r="2716" spans="1:2" x14ac:dyDescent="0.15">
      <c r="A2716" s="7">
        <v>2715</v>
      </c>
      <c r="B2716" s="7">
        <v>2</v>
      </c>
    </row>
    <row r="2717" spans="1:2" x14ac:dyDescent="0.15">
      <c r="A2717" s="7">
        <v>2716</v>
      </c>
      <c r="B2717" s="7">
        <v>0</v>
      </c>
    </row>
    <row r="2718" spans="1:2" x14ac:dyDescent="0.15">
      <c r="A2718" s="7">
        <v>2717</v>
      </c>
      <c r="B2718" s="7">
        <v>1</v>
      </c>
    </row>
    <row r="2719" spans="1:2" x14ac:dyDescent="0.15">
      <c r="A2719" s="7">
        <v>2718</v>
      </c>
      <c r="B2719" s="7">
        <v>0</v>
      </c>
    </row>
    <row r="2720" spans="1:2" x14ac:dyDescent="0.15">
      <c r="A2720" s="7">
        <v>2719</v>
      </c>
      <c r="B2720" s="7">
        <v>0</v>
      </c>
    </row>
    <row r="2721" spans="1:2" x14ac:dyDescent="0.15">
      <c r="A2721" s="7">
        <v>2720</v>
      </c>
      <c r="B2721" s="7">
        <v>0</v>
      </c>
    </row>
    <row r="2722" spans="1:2" x14ac:dyDescent="0.15">
      <c r="A2722" s="7">
        <v>2721</v>
      </c>
      <c r="B2722" s="7">
        <v>0</v>
      </c>
    </row>
    <row r="2723" spans="1:2" x14ac:dyDescent="0.15">
      <c r="A2723" s="7">
        <v>2722</v>
      </c>
      <c r="B2723" s="7">
        <v>0</v>
      </c>
    </row>
    <row r="2724" spans="1:2" x14ac:dyDescent="0.15">
      <c r="A2724" s="7">
        <v>2723</v>
      </c>
      <c r="B2724" s="7">
        <v>0</v>
      </c>
    </row>
    <row r="2725" spans="1:2" x14ac:dyDescent="0.15">
      <c r="A2725" s="7">
        <v>2724</v>
      </c>
      <c r="B2725" s="7">
        <v>0</v>
      </c>
    </row>
    <row r="2726" spans="1:2" x14ac:dyDescent="0.15">
      <c r="A2726" s="7">
        <v>2725</v>
      </c>
      <c r="B2726" s="7">
        <v>0</v>
      </c>
    </row>
    <row r="2727" spans="1:2" x14ac:dyDescent="0.15">
      <c r="A2727" s="7">
        <v>2726</v>
      </c>
      <c r="B2727" s="7">
        <v>0</v>
      </c>
    </row>
    <row r="2728" spans="1:2" x14ac:dyDescent="0.15">
      <c r="A2728" s="7">
        <v>2727</v>
      </c>
      <c r="B2728" s="7">
        <v>0</v>
      </c>
    </row>
    <row r="2729" spans="1:2" x14ac:dyDescent="0.15">
      <c r="A2729" s="7">
        <v>2728</v>
      </c>
      <c r="B2729" s="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8616F-F771-2A46-952C-AB2FE7AFBA70}">
  <dimension ref="A1:K2734"/>
  <sheetViews>
    <sheetView zoomScale="91" workbookViewId="0">
      <selection activeCell="O18" sqref="O18"/>
    </sheetView>
  </sheetViews>
  <sheetFormatPr baseColWidth="10" defaultRowHeight="13" x14ac:dyDescent="0.15"/>
  <cols>
    <col min="3" max="3" width="14.6640625" bestFit="1" customWidth="1"/>
    <col min="5" max="5" width="12.33203125" bestFit="1" customWidth="1"/>
    <col min="9" max="9" width="12.33203125" bestFit="1" customWidth="1"/>
  </cols>
  <sheetData>
    <row r="1" spans="1:11" x14ac:dyDescent="0.15">
      <c r="A1" s="7" t="s">
        <v>18</v>
      </c>
      <c r="B1">
        <v>0.1338631055857227</v>
      </c>
    </row>
    <row r="2" spans="1:11" x14ac:dyDescent="0.15">
      <c r="A2" s="7" t="s">
        <v>19</v>
      </c>
      <c r="B2">
        <v>0.14099526084740735</v>
      </c>
    </row>
    <row r="3" spans="1:11" x14ac:dyDescent="0.15">
      <c r="A3" s="7" t="s">
        <v>17</v>
      </c>
      <c r="B3">
        <f>SUM(D7:D2738)</f>
        <v>-2905.6244960639069</v>
      </c>
    </row>
    <row r="4" spans="1:11" x14ac:dyDescent="0.15">
      <c r="A4" s="7" t="s">
        <v>20</v>
      </c>
      <c r="B4">
        <v>1</v>
      </c>
    </row>
    <row r="6" spans="1:11" x14ac:dyDescent="0.15">
      <c r="A6" s="12" t="s">
        <v>13</v>
      </c>
      <c r="B6" s="12" t="s">
        <v>3</v>
      </c>
      <c r="C6" s="7" t="s">
        <v>25</v>
      </c>
      <c r="D6" s="7" t="s">
        <v>17</v>
      </c>
      <c r="F6" s="7" t="s">
        <v>27</v>
      </c>
      <c r="G6" s="7" t="s">
        <v>2</v>
      </c>
      <c r="H6" s="7" t="s">
        <v>25</v>
      </c>
      <c r="I6" s="7" t="s">
        <v>46</v>
      </c>
      <c r="J6" s="7" t="s">
        <v>23</v>
      </c>
      <c r="K6" s="7"/>
    </row>
    <row r="7" spans="1:11" x14ac:dyDescent="0.15">
      <c r="A7" s="7">
        <v>1</v>
      </c>
      <c r="B7" s="7">
        <v>0</v>
      </c>
      <c r="C7">
        <f>(_xlfn.GAMMA($B$1+B7)/(_xlfn.GAMMA($B$1)*FACT(B7))) * ($B$2/($B$2+$B$4))^$B$1 * (1/($B$2 +$B$4))^B7</f>
        <v>0.75586055390364359</v>
      </c>
      <c r="D7">
        <f>LN(C7)</f>
        <v>-0.27989837232446807</v>
      </c>
      <c r="F7" s="10">
        <v>0</v>
      </c>
      <c r="G7" s="7">
        <v>2046</v>
      </c>
      <c r="H7">
        <f xml:space="preserve"> ($B$2/($B$2+$B$4))^$B$1</f>
        <v>0.75586055390364359</v>
      </c>
      <c r="I7">
        <f>H7*2728</f>
        <v>2061.9875910491396</v>
      </c>
      <c r="J7">
        <f>(I7-G7)^2/I7</f>
        <v>0.12395955662588545</v>
      </c>
    </row>
    <row r="8" spans="1:11" x14ac:dyDescent="0.15">
      <c r="A8" s="7">
        <v>2</v>
      </c>
      <c r="B8" s="7">
        <v>5</v>
      </c>
      <c r="C8">
        <f t="shared" ref="C8:C71" si="0">(_xlfn.GAMMA($B$1+B8)/(_xlfn.GAMMA($B$1)*FACT(B8))) * ($B$2/($B$2+$B$4))^$B$1 * (1/($B$2 +$B$4))^B8</f>
        <v>1.366675533834656E-2</v>
      </c>
      <c r="D8">
        <f t="shared" ref="D8:D71" si="1">LN(C8)</f>
        <v>-4.2927890127952875</v>
      </c>
      <c r="E8" s="7"/>
      <c r="F8" s="10">
        <v>1</v>
      </c>
      <c r="G8" s="7">
        <v>318</v>
      </c>
      <c r="H8">
        <f xml:space="preserve"> H7 * $B$4/F8 * ($B$1 + F7)/($B$2 + $B$4)</f>
        <v>8.8678581416840763E-2</v>
      </c>
      <c r="I8">
        <f t="shared" ref="I8:I17" si="2">H8*2728</f>
        <v>241.91517010514161</v>
      </c>
      <c r="J8">
        <f t="shared" ref="J8:J17" si="3">(I8-G8)^2/I8</f>
        <v>23.929468075993555</v>
      </c>
    </row>
    <row r="9" spans="1:11" x14ac:dyDescent="0.15">
      <c r="A9" s="7">
        <v>3</v>
      </c>
      <c r="B9" s="7">
        <v>0</v>
      </c>
      <c r="C9">
        <f t="shared" si="0"/>
        <v>0.75586055390364359</v>
      </c>
      <c r="D9">
        <f t="shared" si="1"/>
        <v>-0.27989837232446807</v>
      </c>
      <c r="F9" s="10">
        <v>2</v>
      </c>
      <c r="G9" s="7">
        <v>129</v>
      </c>
      <c r="H9">
        <f t="shared" ref="H9:H16" si="4" xml:space="preserve"> H8 * $B$4/F9 * ($B$1 + F8)/($B$2 + $B$4)</f>
        <v>4.4062133811825943E-2</v>
      </c>
      <c r="I9">
        <f t="shared" si="2"/>
        <v>120.20150103866118</v>
      </c>
      <c r="J9">
        <f t="shared" si="3"/>
        <v>0.64403175753837971</v>
      </c>
    </row>
    <row r="10" spans="1:11" x14ac:dyDescent="0.15">
      <c r="A10" s="7">
        <v>4</v>
      </c>
      <c r="B10" s="7">
        <v>0</v>
      </c>
      <c r="C10">
        <f t="shared" si="0"/>
        <v>0.75586055390364359</v>
      </c>
      <c r="D10">
        <f t="shared" si="1"/>
        <v>-0.27989837232446807</v>
      </c>
      <c r="F10" s="10">
        <v>3</v>
      </c>
      <c r="G10" s="7">
        <v>66</v>
      </c>
      <c r="H10">
        <f t="shared" si="4"/>
        <v>2.7467996558433502E-2</v>
      </c>
      <c r="I10">
        <f t="shared" si="2"/>
        <v>74.932694611406589</v>
      </c>
      <c r="J10">
        <f t="shared" si="3"/>
        <v>1.0648627202645113</v>
      </c>
    </row>
    <row r="11" spans="1:11" x14ac:dyDescent="0.15">
      <c r="A11" s="7">
        <v>5</v>
      </c>
      <c r="B11" s="7">
        <v>0</v>
      </c>
      <c r="C11">
        <f t="shared" si="0"/>
        <v>0.75586055390364359</v>
      </c>
      <c r="D11">
        <f t="shared" si="1"/>
        <v>-0.27989837232446807</v>
      </c>
      <c r="F11" s="10">
        <v>4</v>
      </c>
      <c r="G11" s="7">
        <v>38</v>
      </c>
      <c r="H11">
        <f t="shared" si="4"/>
        <v>1.886093307147016E-2</v>
      </c>
      <c r="I11">
        <f t="shared" si="2"/>
        <v>51.452625418970598</v>
      </c>
      <c r="J11">
        <f t="shared" si="3"/>
        <v>3.5172768967472168</v>
      </c>
    </row>
    <row r="12" spans="1:11" x14ac:dyDescent="0.15">
      <c r="A12" s="7">
        <v>6</v>
      </c>
      <c r="B12" s="7">
        <v>0</v>
      </c>
      <c r="C12">
        <f t="shared" si="0"/>
        <v>0.75586055390364359</v>
      </c>
      <c r="D12">
        <f t="shared" si="1"/>
        <v>-0.27989837232446807</v>
      </c>
      <c r="F12" s="10">
        <v>5</v>
      </c>
      <c r="G12" s="7">
        <v>30</v>
      </c>
      <c r="H12">
        <f t="shared" si="4"/>
        <v>1.3666755338346551E-2</v>
      </c>
      <c r="I12">
        <f t="shared" si="2"/>
        <v>37.282908563009393</v>
      </c>
      <c r="J12">
        <f t="shared" si="3"/>
        <v>1.4226560958224286</v>
      </c>
    </row>
    <row r="13" spans="1:11" x14ac:dyDescent="0.15">
      <c r="A13" s="7">
        <v>7</v>
      </c>
      <c r="B13" s="7">
        <v>0</v>
      </c>
      <c r="C13">
        <f t="shared" si="0"/>
        <v>0.75586055390364359</v>
      </c>
      <c r="D13">
        <f t="shared" si="1"/>
        <v>-0.27989837232446807</v>
      </c>
      <c r="F13" s="10">
        <v>6</v>
      </c>
      <c r="G13" s="7">
        <v>16</v>
      </c>
      <c r="H13">
        <f t="shared" si="4"/>
        <v>1.02488376321117E-2</v>
      </c>
      <c r="I13">
        <f t="shared" si="2"/>
        <v>27.958829060400717</v>
      </c>
      <c r="J13">
        <f t="shared" si="3"/>
        <v>5.1151495717837818</v>
      </c>
    </row>
    <row r="14" spans="1:11" x14ac:dyDescent="0.15">
      <c r="A14" s="7">
        <v>8</v>
      </c>
      <c r="B14" s="7">
        <v>1</v>
      </c>
      <c r="C14">
        <f t="shared" si="0"/>
        <v>8.8678581416840763E-2</v>
      </c>
      <c r="D14">
        <f t="shared" si="1"/>
        <v>-2.4227368910146492</v>
      </c>
      <c r="F14" s="10">
        <v>7</v>
      </c>
      <c r="G14" s="7">
        <v>11</v>
      </c>
      <c r="H14">
        <f t="shared" si="4"/>
        <v>7.870943800923319E-3</v>
      </c>
      <c r="I14">
        <f t="shared" si="2"/>
        <v>21.471934688918815</v>
      </c>
      <c r="J14">
        <f t="shared" si="3"/>
        <v>5.1071977312587018</v>
      </c>
    </row>
    <row r="15" spans="1:11" x14ac:dyDescent="0.15">
      <c r="A15" s="7">
        <v>9</v>
      </c>
      <c r="B15" s="7">
        <v>0</v>
      </c>
      <c r="C15">
        <f t="shared" si="0"/>
        <v>0.75586055390364359</v>
      </c>
      <c r="D15">
        <f t="shared" si="1"/>
        <v>-0.27989837232446807</v>
      </c>
      <c r="F15" s="10">
        <v>8</v>
      </c>
      <c r="G15" s="7">
        <v>9</v>
      </c>
      <c r="H15">
        <f t="shared" si="4"/>
        <v>6.1514536381425487E-3</v>
      </c>
      <c r="I15">
        <f t="shared" si="2"/>
        <v>16.781165524852874</v>
      </c>
      <c r="J15">
        <f t="shared" si="3"/>
        <v>3.6080054651442173</v>
      </c>
    </row>
    <row r="16" spans="1:11" x14ac:dyDescent="0.15">
      <c r="A16" s="7">
        <v>10</v>
      </c>
      <c r="B16" s="7">
        <v>0</v>
      </c>
      <c r="C16">
        <f t="shared" si="0"/>
        <v>0.75586055390364359</v>
      </c>
      <c r="D16">
        <f t="shared" si="1"/>
        <v>-0.27989837232446807</v>
      </c>
      <c r="F16" s="10">
        <v>9</v>
      </c>
      <c r="G16" s="7">
        <v>10</v>
      </c>
      <c r="H16">
        <f t="shared" si="4"/>
        <v>4.8724597930648447E-3</v>
      </c>
      <c r="I16">
        <f t="shared" si="2"/>
        <v>13.292070315480895</v>
      </c>
      <c r="J16">
        <f t="shared" si="3"/>
        <v>0.81535281599045484</v>
      </c>
    </row>
    <row r="17" spans="1:10" x14ac:dyDescent="0.15">
      <c r="A17" s="7">
        <v>11</v>
      </c>
      <c r="B17" s="7">
        <v>1</v>
      </c>
      <c r="C17">
        <f t="shared" si="0"/>
        <v>8.8678581416840763E-2</v>
      </c>
      <c r="D17">
        <f t="shared" si="1"/>
        <v>-2.4227368910146492</v>
      </c>
      <c r="F17" s="10" t="s">
        <v>0</v>
      </c>
      <c r="G17" s="7">
        <f>2728-SUM(G7:G16)</f>
        <v>55</v>
      </c>
      <c r="H17">
        <f>1-SUM(H7:H16)</f>
        <v>2.2259351035197161E-2</v>
      </c>
      <c r="I17">
        <f t="shared" si="2"/>
        <v>60.723509624017858</v>
      </c>
      <c r="J17">
        <f t="shared" si="3"/>
        <v>0.53947083459201284</v>
      </c>
    </row>
    <row r="18" spans="1:10" x14ac:dyDescent="0.15">
      <c r="A18" s="7">
        <v>12</v>
      </c>
      <c r="B18" s="7">
        <v>0</v>
      </c>
      <c r="C18">
        <f t="shared" si="0"/>
        <v>0.75586055390364359</v>
      </c>
      <c r="D18">
        <f t="shared" si="1"/>
        <v>-0.27989837232446807</v>
      </c>
    </row>
    <row r="19" spans="1:10" x14ac:dyDescent="0.15">
      <c r="A19" s="7">
        <v>13</v>
      </c>
      <c r="B19" s="7">
        <v>3</v>
      </c>
      <c r="C19">
        <f t="shared" si="0"/>
        <v>2.7467996558433502E-2</v>
      </c>
      <c r="D19">
        <f t="shared" si="1"/>
        <v>-3.594733713517384</v>
      </c>
      <c r="H19" s="7" t="s">
        <v>23</v>
      </c>
      <c r="I19">
        <f>SUM(J7:J17)</f>
        <v>45.887431521761144</v>
      </c>
    </row>
    <row r="20" spans="1:10" x14ac:dyDescent="0.15">
      <c r="A20" s="7">
        <v>14</v>
      </c>
      <c r="B20" s="7">
        <v>0</v>
      </c>
      <c r="C20">
        <f t="shared" si="0"/>
        <v>0.75586055390364359</v>
      </c>
      <c r="D20">
        <f t="shared" si="1"/>
        <v>-0.27989837232446807</v>
      </c>
      <c r="H20" s="7" t="s">
        <v>21</v>
      </c>
      <c r="I20">
        <f>11 - 2 - 1</f>
        <v>8</v>
      </c>
    </row>
    <row r="21" spans="1:10" x14ac:dyDescent="0.15">
      <c r="A21" s="7">
        <v>15</v>
      </c>
      <c r="B21" s="7">
        <v>0</v>
      </c>
      <c r="C21">
        <f t="shared" si="0"/>
        <v>0.75586055390364359</v>
      </c>
      <c r="D21">
        <f t="shared" si="1"/>
        <v>-0.27989837232446807</v>
      </c>
      <c r="H21" s="7" t="s">
        <v>24</v>
      </c>
      <c r="I21">
        <f>_xlfn.CHISQ.DIST.RT(I19,I20)</f>
        <v>2.4970305692833095E-7</v>
      </c>
    </row>
    <row r="22" spans="1:10" x14ac:dyDescent="0.15">
      <c r="A22" s="7">
        <v>16</v>
      </c>
      <c r="B22" s="7">
        <v>1</v>
      </c>
      <c r="C22">
        <f t="shared" si="0"/>
        <v>8.8678581416840763E-2</v>
      </c>
      <c r="D22">
        <f t="shared" si="1"/>
        <v>-2.4227368910146492</v>
      </c>
    </row>
    <row r="23" spans="1:10" x14ac:dyDescent="0.15">
      <c r="A23" s="7">
        <v>17</v>
      </c>
      <c r="B23" s="7">
        <v>2</v>
      </c>
      <c r="C23">
        <f t="shared" si="0"/>
        <v>4.4062133811825943E-2</v>
      </c>
      <c r="D23">
        <f t="shared" si="1"/>
        <v>-3.1221545090977791</v>
      </c>
    </row>
    <row r="24" spans="1:10" x14ac:dyDescent="0.15">
      <c r="A24" s="7">
        <v>18</v>
      </c>
      <c r="B24" s="7">
        <v>0</v>
      </c>
      <c r="C24">
        <f t="shared" si="0"/>
        <v>0.75586055390364359</v>
      </c>
      <c r="D24">
        <f t="shared" si="1"/>
        <v>-0.27989837232446807</v>
      </c>
    </row>
    <row r="25" spans="1:10" x14ac:dyDescent="0.15">
      <c r="A25" s="7">
        <v>19</v>
      </c>
      <c r="B25" s="7">
        <v>6</v>
      </c>
      <c r="C25">
        <f t="shared" si="0"/>
        <v>1.0248837632111705E-2</v>
      </c>
      <c r="D25">
        <f t="shared" si="1"/>
        <v>-4.5805909815733834</v>
      </c>
    </row>
    <row r="26" spans="1:10" x14ac:dyDescent="0.15">
      <c r="A26" s="7">
        <v>20</v>
      </c>
      <c r="B26" s="7">
        <v>0</v>
      </c>
      <c r="C26">
        <f t="shared" si="0"/>
        <v>0.75586055390364359</v>
      </c>
      <c r="D26">
        <f t="shared" si="1"/>
        <v>-0.27989837232446807</v>
      </c>
    </row>
    <row r="27" spans="1:10" x14ac:dyDescent="0.15">
      <c r="A27" s="7">
        <v>21</v>
      </c>
      <c r="B27" s="7">
        <v>2</v>
      </c>
      <c r="C27">
        <f t="shared" si="0"/>
        <v>4.4062133811825943E-2</v>
      </c>
      <c r="D27">
        <f t="shared" si="1"/>
        <v>-3.1221545090977791</v>
      </c>
    </row>
    <row r="28" spans="1:10" x14ac:dyDescent="0.15">
      <c r="A28" s="7">
        <v>22</v>
      </c>
      <c r="B28" s="7">
        <v>0</v>
      </c>
      <c r="C28">
        <f t="shared" si="0"/>
        <v>0.75586055390364359</v>
      </c>
      <c r="D28">
        <f t="shared" si="1"/>
        <v>-0.27989837232446807</v>
      </c>
    </row>
    <row r="29" spans="1:10" x14ac:dyDescent="0.15">
      <c r="A29" s="7">
        <v>23</v>
      </c>
      <c r="B29" s="7">
        <v>0</v>
      </c>
      <c r="C29">
        <f t="shared" si="0"/>
        <v>0.75586055390364359</v>
      </c>
      <c r="D29">
        <f t="shared" si="1"/>
        <v>-0.27989837232446807</v>
      </c>
    </row>
    <row r="30" spans="1:10" x14ac:dyDescent="0.15">
      <c r="A30" s="7">
        <v>24</v>
      </c>
      <c r="B30" s="7">
        <v>2</v>
      </c>
      <c r="C30">
        <f t="shared" si="0"/>
        <v>4.4062133811825943E-2</v>
      </c>
      <c r="D30">
        <f t="shared" si="1"/>
        <v>-3.1221545090977791</v>
      </c>
    </row>
    <row r="31" spans="1:10" x14ac:dyDescent="0.15">
      <c r="A31" s="7">
        <v>25</v>
      </c>
      <c r="B31" s="7">
        <v>0</v>
      </c>
      <c r="C31">
        <f t="shared" si="0"/>
        <v>0.75586055390364359</v>
      </c>
      <c r="D31">
        <f t="shared" si="1"/>
        <v>-0.27989837232446807</v>
      </c>
    </row>
    <row r="32" spans="1:10" x14ac:dyDescent="0.15">
      <c r="A32" s="7">
        <v>26</v>
      </c>
      <c r="B32" s="7">
        <v>0</v>
      </c>
      <c r="C32">
        <f t="shared" si="0"/>
        <v>0.75586055390364359</v>
      </c>
      <c r="D32">
        <f t="shared" si="1"/>
        <v>-0.27989837232446807</v>
      </c>
    </row>
    <row r="33" spans="1:4" x14ac:dyDescent="0.15">
      <c r="A33" s="7">
        <v>27</v>
      </c>
      <c r="B33" s="7">
        <v>0</v>
      </c>
      <c r="C33">
        <f t="shared" si="0"/>
        <v>0.75586055390364359</v>
      </c>
      <c r="D33">
        <f t="shared" si="1"/>
        <v>-0.27989837232446807</v>
      </c>
    </row>
    <row r="34" spans="1:4" x14ac:dyDescent="0.15">
      <c r="A34" s="7">
        <v>28</v>
      </c>
      <c r="B34" s="7">
        <v>0</v>
      </c>
      <c r="C34">
        <f t="shared" si="0"/>
        <v>0.75586055390364359</v>
      </c>
      <c r="D34">
        <f t="shared" si="1"/>
        <v>-0.27989837232446807</v>
      </c>
    </row>
    <row r="35" spans="1:4" x14ac:dyDescent="0.15">
      <c r="A35" s="7">
        <v>29</v>
      </c>
      <c r="B35" s="7">
        <v>0</v>
      </c>
      <c r="C35">
        <f t="shared" si="0"/>
        <v>0.75586055390364359</v>
      </c>
      <c r="D35">
        <f t="shared" si="1"/>
        <v>-0.27989837232446807</v>
      </c>
    </row>
    <row r="36" spans="1:4" x14ac:dyDescent="0.15">
      <c r="A36" s="7">
        <v>30</v>
      </c>
      <c r="B36" s="7">
        <v>0</v>
      </c>
      <c r="C36">
        <f t="shared" si="0"/>
        <v>0.75586055390364359</v>
      </c>
      <c r="D36">
        <f t="shared" si="1"/>
        <v>-0.27989837232446807</v>
      </c>
    </row>
    <row r="37" spans="1:4" x14ac:dyDescent="0.15">
      <c r="A37" s="7">
        <v>31</v>
      </c>
      <c r="B37" s="7">
        <v>0</v>
      </c>
      <c r="C37">
        <f t="shared" si="0"/>
        <v>0.75586055390364359</v>
      </c>
      <c r="D37">
        <f t="shared" si="1"/>
        <v>-0.27989837232446807</v>
      </c>
    </row>
    <row r="38" spans="1:4" x14ac:dyDescent="0.15">
      <c r="A38" s="7">
        <v>32</v>
      </c>
      <c r="B38" s="7">
        <v>0</v>
      </c>
      <c r="C38">
        <f t="shared" si="0"/>
        <v>0.75586055390364359</v>
      </c>
      <c r="D38">
        <f t="shared" si="1"/>
        <v>-0.27989837232446807</v>
      </c>
    </row>
    <row r="39" spans="1:4" x14ac:dyDescent="0.15">
      <c r="A39" s="7">
        <v>33</v>
      </c>
      <c r="B39" s="7">
        <v>0</v>
      </c>
      <c r="C39">
        <f t="shared" si="0"/>
        <v>0.75586055390364359</v>
      </c>
      <c r="D39">
        <f t="shared" si="1"/>
        <v>-0.27989837232446807</v>
      </c>
    </row>
    <row r="40" spans="1:4" x14ac:dyDescent="0.15">
      <c r="A40" s="7">
        <v>34</v>
      </c>
      <c r="B40" s="7">
        <v>0</v>
      </c>
      <c r="C40">
        <f t="shared" si="0"/>
        <v>0.75586055390364359</v>
      </c>
      <c r="D40">
        <f t="shared" si="1"/>
        <v>-0.27989837232446807</v>
      </c>
    </row>
    <row r="41" spans="1:4" x14ac:dyDescent="0.15">
      <c r="A41" s="7">
        <v>35</v>
      </c>
      <c r="B41" s="7">
        <v>0</v>
      </c>
      <c r="C41">
        <f t="shared" si="0"/>
        <v>0.75586055390364359</v>
      </c>
      <c r="D41">
        <f t="shared" si="1"/>
        <v>-0.27989837232446807</v>
      </c>
    </row>
    <row r="42" spans="1:4" x14ac:dyDescent="0.15">
      <c r="A42" s="7">
        <v>36</v>
      </c>
      <c r="B42" s="7">
        <v>0</v>
      </c>
      <c r="C42">
        <f t="shared" si="0"/>
        <v>0.75586055390364359</v>
      </c>
      <c r="D42">
        <f t="shared" si="1"/>
        <v>-0.27989837232446807</v>
      </c>
    </row>
    <row r="43" spans="1:4" x14ac:dyDescent="0.15">
      <c r="A43" s="7">
        <v>37</v>
      </c>
      <c r="B43" s="7">
        <v>2</v>
      </c>
      <c r="C43">
        <f t="shared" si="0"/>
        <v>4.4062133811825943E-2</v>
      </c>
      <c r="D43">
        <f t="shared" si="1"/>
        <v>-3.1221545090977791</v>
      </c>
    </row>
    <row r="44" spans="1:4" x14ac:dyDescent="0.15">
      <c r="A44" s="7">
        <v>38</v>
      </c>
      <c r="B44" s="7">
        <v>2</v>
      </c>
      <c r="C44">
        <f t="shared" si="0"/>
        <v>4.4062133811825943E-2</v>
      </c>
      <c r="D44">
        <f t="shared" si="1"/>
        <v>-3.1221545090977791</v>
      </c>
    </row>
    <row r="45" spans="1:4" x14ac:dyDescent="0.15">
      <c r="A45" s="7">
        <v>39</v>
      </c>
      <c r="B45" s="7">
        <v>1</v>
      </c>
      <c r="C45">
        <f t="shared" si="0"/>
        <v>8.8678581416840763E-2</v>
      </c>
      <c r="D45">
        <f t="shared" si="1"/>
        <v>-2.4227368910146492</v>
      </c>
    </row>
    <row r="46" spans="1:4" x14ac:dyDescent="0.15">
      <c r="A46" s="7">
        <v>40</v>
      </c>
      <c r="B46" s="7">
        <v>0</v>
      </c>
      <c r="C46">
        <f t="shared" si="0"/>
        <v>0.75586055390364359</v>
      </c>
      <c r="D46">
        <f t="shared" si="1"/>
        <v>-0.27989837232446807</v>
      </c>
    </row>
    <row r="47" spans="1:4" x14ac:dyDescent="0.15">
      <c r="A47" s="7">
        <v>41</v>
      </c>
      <c r="B47" s="7">
        <v>0</v>
      </c>
      <c r="C47">
        <f t="shared" si="0"/>
        <v>0.75586055390364359</v>
      </c>
      <c r="D47">
        <f t="shared" si="1"/>
        <v>-0.27989837232446807</v>
      </c>
    </row>
    <row r="48" spans="1:4" x14ac:dyDescent="0.15">
      <c r="A48" s="7">
        <v>42</v>
      </c>
      <c r="B48" s="7">
        <v>0</v>
      </c>
      <c r="C48">
        <f t="shared" si="0"/>
        <v>0.75586055390364359</v>
      </c>
      <c r="D48">
        <f t="shared" si="1"/>
        <v>-0.27989837232446807</v>
      </c>
    </row>
    <row r="49" spans="1:4" x14ac:dyDescent="0.15">
      <c r="A49" s="7">
        <v>43</v>
      </c>
      <c r="B49" s="7">
        <v>0</v>
      </c>
      <c r="C49">
        <f t="shared" si="0"/>
        <v>0.75586055390364359</v>
      </c>
      <c r="D49">
        <f t="shared" si="1"/>
        <v>-0.27989837232446807</v>
      </c>
    </row>
    <row r="50" spans="1:4" x14ac:dyDescent="0.15">
      <c r="A50" s="7">
        <v>44</v>
      </c>
      <c r="B50" s="7">
        <v>0</v>
      </c>
      <c r="C50">
        <f t="shared" si="0"/>
        <v>0.75586055390364359</v>
      </c>
      <c r="D50">
        <f t="shared" si="1"/>
        <v>-0.27989837232446807</v>
      </c>
    </row>
    <row r="51" spans="1:4" x14ac:dyDescent="0.15">
      <c r="A51" s="7">
        <v>45</v>
      </c>
      <c r="B51" s="7">
        <v>0</v>
      </c>
      <c r="C51">
        <f t="shared" si="0"/>
        <v>0.75586055390364359</v>
      </c>
      <c r="D51">
        <f t="shared" si="1"/>
        <v>-0.27989837232446807</v>
      </c>
    </row>
    <row r="52" spans="1:4" x14ac:dyDescent="0.15">
      <c r="A52" s="7">
        <v>46</v>
      </c>
      <c r="B52" s="7">
        <v>0</v>
      </c>
      <c r="C52">
        <f t="shared" si="0"/>
        <v>0.75586055390364359</v>
      </c>
      <c r="D52">
        <f t="shared" si="1"/>
        <v>-0.27989837232446807</v>
      </c>
    </row>
    <row r="53" spans="1:4" x14ac:dyDescent="0.15">
      <c r="A53" s="7">
        <v>47</v>
      </c>
      <c r="B53" s="7">
        <v>0</v>
      </c>
      <c r="C53">
        <f t="shared" si="0"/>
        <v>0.75586055390364359</v>
      </c>
      <c r="D53">
        <f t="shared" si="1"/>
        <v>-0.27989837232446807</v>
      </c>
    </row>
    <row r="54" spans="1:4" x14ac:dyDescent="0.15">
      <c r="A54" s="7">
        <v>48</v>
      </c>
      <c r="B54" s="7">
        <v>0</v>
      </c>
      <c r="C54">
        <f t="shared" si="0"/>
        <v>0.75586055390364359</v>
      </c>
      <c r="D54">
        <f t="shared" si="1"/>
        <v>-0.27989837232446807</v>
      </c>
    </row>
    <row r="55" spans="1:4" x14ac:dyDescent="0.15">
      <c r="A55" s="7">
        <v>49</v>
      </c>
      <c r="B55" s="7">
        <v>0</v>
      </c>
      <c r="C55">
        <f t="shared" si="0"/>
        <v>0.75586055390364359</v>
      </c>
      <c r="D55">
        <f t="shared" si="1"/>
        <v>-0.27989837232446807</v>
      </c>
    </row>
    <row r="56" spans="1:4" x14ac:dyDescent="0.15">
      <c r="A56" s="7">
        <v>50</v>
      </c>
      <c r="B56" s="7">
        <v>0</v>
      </c>
      <c r="C56">
        <f t="shared" si="0"/>
        <v>0.75586055390364359</v>
      </c>
      <c r="D56">
        <f t="shared" si="1"/>
        <v>-0.27989837232446807</v>
      </c>
    </row>
    <row r="57" spans="1:4" x14ac:dyDescent="0.15">
      <c r="A57" s="7">
        <v>51</v>
      </c>
      <c r="B57" s="7">
        <v>0</v>
      </c>
      <c r="C57">
        <f t="shared" si="0"/>
        <v>0.75586055390364359</v>
      </c>
      <c r="D57">
        <f t="shared" si="1"/>
        <v>-0.27989837232446807</v>
      </c>
    </row>
    <row r="58" spans="1:4" x14ac:dyDescent="0.15">
      <c r="A58" s="7">
        <v>52</v>
      </c>
      <c r="B58" s="7">
        <v>6</v>
      </c>
      <c r="C58">
        <f t="shared" si="0"/>
        <v>1.0248837632111705E-2</v>
      </c>
      <c r="D58">
        <f t="shared" si="1"/>
        <v>-4.5805909815733834</v>
      </c>
    </row>
    <row r="59" spans="1:4" x14ac:dyDescent="0.15">
      <c r="A59" s="7">
        <v>53</v>
      </c>
      <c r="B59" s="7">
        <v>16</v>
      </c>
      <c r="C59">
        <f t="shared" si="0"/>
        <v>1.1791864661569508E-3</v>
      </c>
      <c r="D59">
        <f t="shared" si="1"/>
        <v>-6.7429305137346924</v>
      </c>
    </row>
    <row r="60" spans="1:4" x14ac:dyDescent="0.15">
      <c r="A60" s="7">
        <v>54</v>
      </c>
      <c r="B60" s="7">
        <v>1</v>
      </c>
      <c r="C60">
        <f t="shared" si="0"/>
        <v>8.8678581416840763E-2</v>
      </c>
      <c r="D60">
        <f t="shared" si="1"/>
        <v>-2.4227368910146492</v>
      </c>
    </row>
    <row r="61" spans="1:4" x14ac:dyDescent="0.15">
      <c r="A61" s="7">
        <v>55</v>
      </c>
      <c r="B61" s="7">
        <v>0</v>
      </c>
      <c r="C61">
        <f t="shared" si="0"/>
        <v>0.75586055390364359</v>
      </c>
      <c r="D61">
        <f t="shared" si="1"/>
        <v>-0.27989837232446807</v>
      </c>
    </row>
    <row r="62" spans="1:4" x14ac:dyDescent="0.15">
      <c r="A62" s="7">
        <v>56</v>
      </c>
      <c r="B62" s="7">
        <v>0</v>
      </c>
      <c r="C62">
        <f t="shared" si="0"/>
        <v>0.75586055390364359</v>
      </c>
      <c r="D62">
        <f t="shared" si="1"/>
        <v>-0.27989837232446807</v>
      </c>
    </row>
    <row r="63" spans="1:4" x14ac:dyDescent="0.15">
      <c r="A63" s="7">
        <v>57</v>
      </c>
      <c r="B63" s="7">
        <v>0</v>
      </c>
      <c r="C63">
        <f t="shared" si="0"/>
        <v>0.75586055390364359</v>
      </c>
      <c r="D63">
        <f t="shared" si="1"/>
        <v>-0.27989837232446807</v>
      </c>
    </row>
    <row r="64" spans="1:4" x14ac:dyDescent="0.15">
      <c r="A64" s="7">
        <v>58</v>
      </c>
      <c r="B64" s="7">
        <v>1</v>
      </c>
      <c r="C64">
        <f t="shared" si="0"/>
        <v>8.8678581416840763E-2</v>
      </c>
      <c r="D64">
        <f t="shared" si="1"/>
        <v>-2.4227368910146492</v>
      </c>
    </row>
    <row r="65" spans="1:4" x14ac:dyDescent="0.15">
      <c r="A65" s="7">
        <v>59</v>
      </c>
      <c r="B65" s="7">
        <v>0</v>
      </c>
      <c r="C65">
        <f t="shared" si="0"/>
        <v>0.75586055390364359</v>
      </c>
      <c r="D65">
        <f t="shared" si="1"/>
        <v>-0.27989837232446807</v>
      </c>
    </row>
    <row r="66" spans="1:4" x14ac:dyDescent="0.15">
      <c r="A66" s="7">
        <v>60</v>
      </c>
      <c r="B66" s="7">
        <v>0</v>
      </c>
      <c r="C66">
        <f t="shared" si="0"/>
        <v>0.75586055390364359</v>
      </c>
      <c r="D66">
        <f t="shared" si="1"/>
        <v>-0.27989837232446807</v>
      </c>
    </row>
    <row r="67" spans="1:4" x14ac:dyDescent="0.15">
      <c r="A67" s="7">
        <v>61</v>
      </c>
      <c r="B67" s="7">
        <v>0</v>
      </c>
      <c r="C67">
        <f t="shared" si="0"/>
        <v>0.75586055390364359</v>
      </c>
      <c r="D67">
        <f t="shared" si="1"/>
        <v>-0.27989837232446807</v>
      </c>
    </row>
    <row r="68" spans="1:4" x14ac:dyDescent="0.15">
      <c r="A68" s="7">
        <v>62</v>
      </c>
      <c r="B68" s="7">
        <v>0</v>
      </c>
      <c r="C68">
        <f t="shared" si="0"/>
        <v>0.75586055390364359</v>
      </c>
      <c r="D68">
        <f t="shared" si="1"/>
        <v>-0.27989837232446807</v>
      </c>
    </row>
    <row r="69" spans="1:4" x14ac:dyDescent="0.15">
      <c r="A69" s="7">
        <v>63</v>
      </c>
      <c r="B69" s="7">
        <v>0</v>
      </c>
      <c r="C69">
        <f t="shared" si="0"/>
        <v>0.75586055390364359</v>
      </c>
      <c r="D69">
        <f t="shared" si="1"/>
        <v>-0.27989837232446807</v>
      </c>
    </row>
    <row r="70" spans="1:4" x14ac:dyDescent="0.15">
      <c r="A70" s="7">
        <v>64</v>
      </c>
      <c r="B70" s="7">
        <v>0</v>
      </c>
      <c r="C70">
        <f t="shared" si="0"/>
        <v>0.75586055390364359</v>
      </c>
      <c r="D70">
        <f t="shared" si="1"/>
        <v>-0.27989837232446807</v>
      </c>
    </row>
    <row r="71" spans="1:4" x14ac:dyDescent="0.15">
      <c r="A71" s="7">
        <v>65</v>
      </c>
      <c r="B71" s="7">
        <v>0</v>
      </c>
      <c r="C71">
        <f t="shared" si="0"/>
        <v>0.75586055390364359</v>
      </c>
      <c r="D71">
        <f t="shared" si="1"/>
        <v>-0.27989837232446807</v>
      </c>
    </row>
    <row r="72" spans="1:4" x14ac:dyDescent="0.15">
      <c r="A72" s="7">
        <v>66</v>
      </c>
      <c r="B72" s="7">
        <v>0</v>
      </c>
      <c r="C72">
        <f t="shared" ref="C72:C135" si="5">(_xlfn.GAMMA($B$1+B72)/(_xlfn.GAMMA($B$1)*FACT(B72))) * ($B$2/($B$2+$B$4))^$B$1 * (1/($B$2 +$B$4))^B72</f>
        <v>0.75586055390364359</v>
      </c>
      <c r="D72">
        <f t="shared" ref="D72:D135" si="6">LN(C72)</f>
        <v>-0.27989837232446807</v>
      </c>
    </row>
    <row r="73" spans="1:4" x14ac:dyDescent="0.15">
      <c r="A73" s="7">
        <v>67</v>
      </c>
      <c r="B73" s="7">
        <v>0</v>
      </c>
      <c r="C73">
        <f t="shared" si="5"/>
        <v>0.75586055390364359</v>
      </c>
      <c r="D73">
        <f t="shared" si="6"/>
        <v>-0.27989837232446807</v>
      </c>
    </row>
    <row r="74" spans="1:4" x14ac:dyDescent="0.15">
      <c r="A74" s="7">
        <v>68</v>
      </c>
      <c r="B74" s="7">
        <v>0</v>
      </c>
      <c r="C74">
        <f t="shared" si="5"/>
        <v>0.75586055390364359</v>
      </c>
      <c r="D74">
        <f t="shared" si="6"/>
        <v>-0.27989837232446807</v>
      </c>
    </row>
    <row r="75" spans="1:4" x14ac:dyDescent="0.15">
      <c r="A75" s="7">
        <v>69</v>
      </c>
      <c r="B75" s="7">
        <v>1</v>
      </c>
      <c r="C75">
        <f t="shared" si="5"/>
        <v>8.8678581416840763E-2</v>
      </c>
      <c r="D75">
        <f t="shared" si="6"/>
        <v>-2.4227368910146492</v>
      </c>
    </row>
    <row r="76" spans="1:4" x14ac:dyDescent="0.15">
      <c r="A76" s="7">
        <v>70</v>
      </c>
      <c r="B76" s="7">
        <v>2</v>
      </c>
      <c r="C76">
        <f t="shared" si="5"/>
        <v>4.4062133811825943E-2</v>
      </c>
      <c r="D76">
        <f t="shared" si="6"/>
        <v>-3.1221545090977791</v>
      </c>
    </row>
    <row r="77" spans="1:4" x14ac:dyDescent="0.15">
      <c r="A77" s="7">
        <v>71</v>
      </c>
      <c r="B77" s="7">
        <v>0</v>
      </c>
      <c r="C77">
        <f t="shared" si="5"/>
        <v>0.75586055390364359</v>
      </c>
      <c r="D77">
        <f t="shared" si="6"/>
        <v>-0.27989837232446807</v>
      </c>
    </row>
    <row r="78" spans="1:4" x14ac:dyDescent="0.15">
      <c r="A78" s="7">
        <v>72</v>
      </c>
      <c r="B78" s="7">
        <v>0</v>
      </c>
      <c r="C78">
        <f t="shared" si="5"/>
        <v>0.75586055390364359</v>
      </c>
      <c r="D78">
        <f t="shared" si="6"/>
        <v>-0.27989837232446807</v>
      </c>
    </row>
    <row r="79" spans="1:4" x14ac:dyDescent="0.15">
      <c r="A79" s="7">
        <v>73</v>
      </c>
      <c r="B79" s="7">
        <v>0</v>
      </c>
      <c r="C79">
        <f t="shared" si="5"/>
        <v>0.75586055390364359</v>
      </c>
      <c r="D79">
        <f t="shared" si="6"/>
        <v>-0.27989837232446807</v>
      </c>
    </row>
    <row r="80" spans="1:4" x14ac:dyDescent="0.15">
      <c r="A80" s="7">
        <v>74</v>
      </c>
      <c r="B80" s="7">
        <v>1</v>
      </c>
      <c r="C80">
        <f t="shared" si="5"/>
        <v>8.8678581416840763E-2</v>
      </c>
      <c r="D80">
        <f t="shared" si="6"/>
        <v>-2.4227368910146492</v>
      </c>
    </row>
    <row r="81" spans="1:4" x14ac:dyDescent="0.15">
      <c r="A81" s="7">
        <v>75</v>
      </c>
      <c r="B81" s="7">
        <v>0</v>
      </c>
      <c r="C81">
        <f t="shared" si="5"/>
        <v>0.75586055390364359</v>
      </c>
      <c r="D81">
        <f t="shared" si="6"/>
        <v>-0.27989837232446807</v>
      </c>
    </row>
    <row r="82" spans="1:4" x14ac:dyDescent="0.15">
      <c r="A82" s="7">
        <v>76</v>
      </c>
      <c r="B82" s="7">
        <v>3</v>
      </c>
      <c r="C82">
        <f t="shared" si="5"/>
        <v>2.7467996558433502E-2</v>
      </c>
      <c r="D82">
        <f t="shared" si="6"/>
        <v>-3.594733713517384</v>
      </c>
    </row>
    <row r="83" spans="1:4" x14ac:dyDescent="0.15">
      <c r="A83" s="7">
        <v>77</v>
      </c>
      <c r="B83" s="7">
        <v>0</v>
      </c>
      <c r="C83">
        <f t="shared" si="5"/>
        <v>0.75586055390364359</v>
      </c>
      <c r="D83">
        <f t="shared" si="6"/>
        <v>-0.27989837232446807</v>
      </c>
    </row>
    <row r="84" spans="1:4" x14ac:dyDescent="0.15">
      <c r="A84" s="7">
        <v>78</v>
      </c>
      <c r="B84" s="7">
        <v>0</v>
      </c>
      <c r="C84">
        <f t="shared" si="5"/>
        <v>0.75586055390364359</v>
      </c>
      <c r="D84">
        <f t="shared" si="6"/>
        <v>-0.27989837232446807</v>
      </c>
    </row>
    <row r="85" spans="1:4" x14ac:dyDescent="0.15">
      <c r="A85" s="7">
        <v>79</v>
      </c>
      <c r="B85" s="7">
        <v>0</v>
      </c>
      <c r="C85">
        <f t="shared" si="5"/>
        <v>0.75586055390364359</v>
      </c>
      <c r="D85">
        <f t="shared" si="6"/>
        <v>-0.27989837232446807</v>
      </c>
    </row>
    <row r="86" spans="1:4" x14ac:dyDescent="0.15">
      <c r="A86" s="7">
        <v>80</v>
      </c>
      <c r="B86" s="7">
        <v>0</v>
      </c>
      <c r="C86">
        <f t="shared" si="5"/>
        <v>0.75586055390364359</v>
      </c>
      <c r="D86">
        <f t="shared" si="6"/>
        <v>-0.27989837232446807</v>
      </c>
    </row>
    <row r="87" spans="1:4" x14ac:dyDescent="0.15">
      <c r="A87" s="7">
        <v>81</v>
      </c>
      <c r="B87" s="7">
        <v>0</v>
      </c>
      <c r="C87">
        <f t="shared" si="5"/>
        <v>0.75586055390364359</v>
      </c>
      <c r="D87">
        <f t="shared" si="6"/>
        <v>-0.27989837232446807</v>
      </c>
    </row>
    <row r="88" spans="1:4" x14ac:dyDescent="0.15">
      <c r="A88" s="7">
        <v>82</v>
      </c>
      <c r="B88" s="7">
        <v>1</v>
      </c>
      <c r="C88">
        <f t="shared" si="5"/>
        <v>8.8678581416840763E-2</v>
      </c>
      <c r="D88">
        <f t="shared" si="6"/>
        <v>-2.4227368910146492</v>
      </c>
    </row>
    <row r="89" spans="1:4" x14ac:dyDescent="0.15">
      <c r="A89" s="7">
        <v>83</v>
      </c>
      <c r="B89" s="7">
        <v>0</v>
      </c>
      <c r="C89">
        <f t="shared" si="5"/>
        <v>0.75586055390364359</v>
      </c>
      <c r="D89">
        <f t="shared" si="6"/>
        <v>-0.27989837232446807</v>
      </c>
    </row>
    <row r="90" spans="1:4" x14ac:dyDescent="0.15">
      <c r="A90" s="7">
        <v>84</v>
      </c>
      <c r="B90" s="7">
        <v>0</v>
      </c>
      <c r="C90">
        <f t="shared" si="5"/>
        <v>0.75586055390364359</v>
      </c>
      <c r="D90">
        <f t="shared" si="6"/>
        <v>-0.27989837232446807</v>
      </c>
    </row>
    <row r="91" spans="1:4" x14ac:dyDescent="0.15">
      <c r="A91" s="7">
        <v>85</v>
      </c>
      <c r="B91" s="7">
        <v>0</v>
      </c>
      <c r="C91">
        <f t="shared" si="5"/>
        <v>0.75586055390364359</v>
      </c>
      <c r="D91">
        <f t="shared" si="6"/>
        <v>-0.27989837232446807</v>
      </c>
    </row>
    <row r="92" spans="1:4" x14ac:dyDescent="0.15">
      <c r="A92" s="7">
        <v>86</v>
      </c>
      <c r="B92" s="7">
        <v>0</v>
      </c>
      <c r="C92">
        <f t="shared" si="5"/>
        <v>0.75586055390364359</v>
      </c>
      <c r="D92">
        <f t="shared" si="6"/>
        <v>-0.27989837232446807</v>
      </c>
    </row>
    <row r="93" spans="1:4" x14ac:dyDescent="0.15">
      <c r="A93" s="7">
        <v>87</v>
      </c>
      <c r="B93" s="7">
        <v>0</v>
      </c>
      <c r="C93">
        <f t="shared" si="5"/>
        <v>0.75586055390364359</v>
      </c>
      <c r="D93">
        <f t="shared" si="6"/>
        <v>-0.27989837232446807</v>
      </c>
    </row>
    <row r="94" spans="1:4" x14ac:dyDescent="0.15">
      <c r="A94" s="7">
        <v>88</v>
      </c>
      <c r="B94" s="7">
        <v>0</v>
      </c>
      <c r="C94">
        <f t="shared" si="5"/>
        <v>0.75586055390364359</v>
      </c>
      <c r="D94">
        <f t="shared" si="6"/>
        <v>-0.27989837232446807</v>
      </c>
    </row>
    <row r="95" spans="1:4" x14ac:dyDescent="0.15">
      <c r="A95" s="7">
        <v>89</v>
      </c>
      <c r="B95" s="7">
        <v>0</v>
      </c>
      <c r="C95">
        <f t="shared" si="5"/>
        <v>0.75586055390364359</v>
      </c>
      <c r="D95">
        <f t="shared" si="6"/>
        <v>-0.27989837232446807</v>
      </c>
    </row>
    <row r="96" spans="1:4" x14ac:dyDescent="0.15">
      <c r="A96" s="7">
        <v>90</v>
      </c>
      <c r="B96" s="7">
        <v>1</v>
      </c>
      <c r="C96">
        <f t="shared" si="5"/>
        <v>8.8678581416840763E-2</v>
      </c>
      <c r="D96">
        <f t="shared" si="6"/>
        <v>-2.4227368910146492</v>
      </c>
    </row>
    <row r="97" spans="1:4" x14ac:dyDescent="0.15">
      <c r="A97" s="7">
        <v>91</v>
      </c>
      <c r="B97" s="7">
        <v>0</v>
      </c>
      <c r="C97">
        <f t="shared" si="5"/>
        <v>0.75586055390364359</v>
      </c>
      <c r="D97">
        <f t="shared" si="6"/>
        <v>-0.27989837232446807</v>
      </c>
    </row>
    <row r="98" spans="1:4" x14ac:dyDescent="0.15">
      <c r="A98" s="7">
        <v>92</v>
      </c>
      <c r="B98" s="7">
        <v>0</v>
      </c>
      <c r="C98">
        <f t="shared" si="5"/>
        <v>0.75586055390364359</v>
      </c>
      <c r="D98">
        <f t="shared" si="6"/>
        <v>-0.27989837232446807</v>
      </c>
    </row>
    <row r="99" spans="1:4" x14ac:dyDescent="0.15">
      <c r="A99" s="7">
        <v>93</v>
      </c>
      <c r="B99" s="7">
        <v>4</v>
      </c>
      <c r="C99">
        <f t="shared" si="5"/>
        <v>1.8860933071470173E-2</v>
      </c>
      <c r="D99">
        <f t="shared" si="6"/>
        <v>-3.9706625294337847</v>
      </c>
    </row>
    <row r="100" spans="1:4" x14ac:dyDescent="0.15">
      <c r="A100" s="7">
        <v>94</v>
      </c>
      <c r="B100" s="7">
        <v>0</v>
      </c>
      <c r="C100">
        <f t="shared" si="5"/>
        <v>0.75586055390364359</v>
      </c>
      <c r="D100">
        <f t="shared" si="6"/>
        <v>-0.27989837232446807</v>
      </c>
    </row>
    <row r="101" spans="1:4" x14ac:dyDescent="0.15">
      <c r="A101" s="7">
        <v>95</v>
      </c>
      <c r="B101" s="7">
        <v>0</v>
      </c>
      <c r="C101">
        <f t="shared" si="5"/>
        <v>0.75586055390364359</v>
      </c>
      <c r="D101">
        <f t="shared" si="6"/>
        <v>-0.27989837232446807</v>
      </c>
    </row>
    <row r="102" spans="1:4" x14ac:dyDescent="0.15">
      <c r="A102" s="7">
        <v>96</v>
      </c>
      <c r="B102" s="7">
        <v>0</v>
      </c>
      <c r="C102">
        <f t="shared" si="5"/>
        <v>0.75586055390364359</v>
      </c>
      <c r="D102">
        <f t="shared" si="6"/>
        <v>-0.27989837232446807</v>
      </c>
    </row>
    <row r="103" spans="1:4" x14ac:dyDescent="0.15">
      <c r="A103" s="7">
        <v>97</v>
      </c>
      <c r="B103" s="7">
        <v>0</v>
      </c>
      <c r="C103">
        <f t="shared" si="5"/>
        <v>0.75586055390364359</v>
      </c>
      <c r="D103">
        <f t="shared" si="6"/>
        <v>-0.27989837232446807</v>
      </c>
    </row>
    <row r="104" spans="1:4" x14ac:dyDescent="0.15">
      <c r="A104" s="7">
        <v>98</v>
      </c>
      <c r="B104" s="7">
        <v>0</v>
      </c>
      <c r="C104">
        <f t="shared" si="5"/>
        <v>0.75586055390364359</v>
      </c>
      <c r="D104">
        <f t="shared" si="6"/>
        <v>-0.27989837232446807</v>
      </c>
    </row>
    <row r="105" spans="1:4" x14ac:dyDescent="0.15">
      <c r="A105" s="7">
        <v>99</v>
      </c>
      <c r="B105" s="7">
        <v>0</v>
      </c>
      <c r="C105">
        <f t="shared" si="5"/>
        <v>0.75586055390364359</v>
      </c>
      <c r="D105">
        <f t="shared" si="6"/>
        <v>-0.27989837232446807</v>
      </c>
    </row>
    <row r="106" spans="1:4" x14ac:dyDescent="0.15">
      <c r="A106" s="7">
        <v>100</v>
      </c>
      <c r="B106" s="7">
        <v>9</v>
      </c>
      <c r="C106">
        <f t="shared" si="5"/>
        <v>4.8724597930648464E-3</v>
      </c>
      <c r="D106">
        <f t="shared" si="6"/>
        <v>-5.3241563784247425</v>
      </c>
    </row>
    <row r="107" spans="1:4" x14ac:dyDescent="0.15">
      <c r="A107" s="7">
        <v>101</v>
      </c>
      <c r="B107" s="7">
        <v>0</v>
      </c>
      <c r="C107">
        <f t="shared" si="5"/>
        <v>0.75586055390364359</v>
      </c>
      <c r="D107">
        <f t="shared" si="6"/>
        <v>-0.27989837232446807</v>
      </c>
    </row>
    <row r="108" spans="1:4" x14ac:dyDescent="0.15">
      <c r="A108" s="7">
        <v>102</v>
      </c>
      <c r="B108" s="7">
        <v>0</v>
      </c>
      <c r="C108">
        <f t="shared" si="5"/>
        <v>0.75586055390364359</v>
      </c>
      <c r="D108">
        <f t="shared" si="6"/>
        <v>-0.27989837232446807</v>
      </c>
    </row>
    <row r="109" spans="1:4" x14ac:dyDescent="0.15">
      <c r="A109" s="7">
        <v>103</v>
      </c>
      <c r="B109" s="7">
        <v>1</v>
      </c>
      <c r="C109">
        <f t="shared" si="5"/>
        <v>8.8678581416840763E-2</v>
      </c>
      <c r="D109">
        <f t="shared" si="6"/>
        <v>-2.4227368910146492</v>
      </c>
    </row>
    <row r="110" spans="1:4" x14ac:dyDescent="0.15">
      <c r="A110" s="7">
        <v>104</v>
      </c>
      <c r="B110" s="7">
        <v>0</v>
      </c>
      <c r="C110">
        <f t="shared" si="5"/>
        <v>0.75586055390364359</v>
      </c>
      <c r="D110">
        <f t="shared" si="6"/>
        <v>-0.27989837232446807</v>
      </c>
    </row>
    <row r="111" spans="1:4" x14ac:dyDescent="0.15">
      <c r="A111" s="7">
        <v>105</v>
      </c>
      <c r="B111" s="7">
        <v>0</v>
      </c>
      <c r="C111">
        <f t="shared" si="5"/>
        <v>0.75586055390364359</v>
      </c>
      <c r="D111">
        <f t="shared" si="6"/>
        <v>-0.27989837232446807</v>
      </c>
    </row>
    <row r="112" spans="1:4" x14ac:dyDescent="0.15">
      <c r="A112" s="7">
        <v>106</v>
      </c>
      <c r="B112" s="7">
        <v>0</v>
      </c>
      <c r="C112">
        <f t="shared" si="5"/>
        <v>0.75586055390364359</v>
      </c>
      <c r="D112">
        <f t="shared" si="6"/>
        <v>-0.27989837232446807</v>
      </c>
    </row>
    <row r="113" spans="1:4" x14ac:dyDescent="0.15">
      <c r="A113" s="7">
        <v>107</v>
      </c>
      <c r="B113" s="7">
        <v>0</v>
      </c>
      <c r="C113">
        <f t="shared" si="5"/>
        <v>0.75586055390364359</v>
      </c>
      <c r="D113">
        <f t="shared" si="6"/>
        <v>-0.27989837232446807</v>
      </c>
    </row>
    <row r="114" spans="1:4" x14ac:dyDescent="0.15">
      <c r="A114" s="7">
        <v>108</v>
      </c>
      <c r="B114" s="7">
        <v>0</v>
      </c>
      <c r="C114">
        <f t="shared" si="5"/>
        <v>0.75586055390364359</v>
      </c>
      <c r="D114">
        <f t="shared" si="6"/>
        <v>-0.27989837232446807</v>
      </c>
    </row>
    <row r="115" spans="1:4" x14ac:dyDescent="0.15">
      <c r="A115" s="7">
        <v>109</v>
      </c>
      <c r="B115" s="7">
        <v>5</v>
      </c>
      <c r="C115">
        <f t="shared" si="5"/>
        <v>1.366675533834656E-2</v>
      </c>
      <c r="D115">
        <f t="shared" si="6"/>
        <v>-4.2927890127952875</v>
      </c>
    </row>
    <row r="116" spans="1:4" x14ac:dyDescent="0.15">
      <c r="A116" s="7">
        <v>110</v>
      </c>
      <c r="B116" s="7">
        <v>0</v>
      </c>
      <c r="C116">
        <f t="shared" si="5"/>
        <v>0.75586055390364359</v>
      </c>
      <c r="D116">
        <f t="shared" si="6"/>
        <v>-0.27989837232446807</v>
      </c>
    </row>
    <row r="117" spans="1:4" x14ac:dyDescent="0.15">
      <c r="A117" s="7">
        <v>111</v>
      </c>
      <c r="B117" s="7">
        <v>0</v>
      </c>
      <c r="C117">
        <f t="shared" si="5"/>
        <v>0.75586055390364359</v>
      </c>
      <c r="D117">
        <f t="shared" si="6"/>
        <v>-0.27989837232446807</v>
      </c>
    </row>
    <row r="118" spans="1:4" x14ac:dyDescent="0.15">
      <c r="A118" s="7">
        <v>112</v>
      </c>
      <c r="B118" s="7">
        <v>3</v>
      </c>
      <c r="C118">
        <f t="shared" si="5"/>
        <v>2.7467996558433502E-2</v>
      </c>
      <c r="D118">
        <f t="shared" si="6"/>
        <v>-3.594733713517384</v>
      </c>
    </row>
    <row r="119" spans="1:4" x14ac:dyDescent="0.15">
      <c r="A119" s="7">
        <v>113</v>
      </c>
      <c r="B119" s="7">
        <v>1</v>
      </c>
      <c r="C119">
        <f t="shared" si="5"/>
        <v>8.8678581416840763E-2</v>
      </c>
      <c r="D119">
        <f t="shared" si="6"/>
        <v>-2.4227368910146492</v>
      </c>
    </row>
    <row r="120" spans="1:4" x14ac:dyDescent="0.15">
      <c r="A120" s="7">
        <v>114</v>
      </c>
      <c r="B120" s="7">
        <v>0</v>
      </c>
      <c r="C120">
        <f t="shared" si="5"/>
        <v>0.75586055390364359</v>
      </c>
      <c r="D120">
        <f t="shared" si="6"/>
        <v>-0.27989837232446807</v>
      </c>
    </row>
    <row r="121" spans="1:4" x14ac:dyDescent="0.15">
      <c r="A121" s="7">
        <v>115</v>
      </c>
      <c r="B121" s="7">
        <v>0</v>
      </c>
      <c r="C121">
        <f t="shared" si="5"/>
        <v>0.75586055390364359</v>
      </c>
      <c r="D121">
        <f t="shared" si="6"/>
        <v>-0.27989837232446807</v>
      </c>
    </row>
    <row r="122" spans="1:4" x14ac:dyDescent="0.15">
      <c r="A122" s="7">
        <v>116</v>
      </c>
      <c r="B122" s="7">
        <v>0</v>
      </c>
      <c r="C122">
        <f t="shared" si="5"/>
        <v>0.75586055390364359</v>
      </c>
      <c r="D122">
        <f t="shared" si="6"/>
        <v>-0.27989837232446807</v>
      </c>
    </row>
    <row r="123" spans="1:4" x14ac:dyDescent="0.15">
      <c r="A123" s="7">
        <v>117</v>
      </c>
      <c r="B123" s="7">
        <v>0</v>
      </c>
      <c r="C123">
        <f t="shared" si="5"/>
        <v>0.75586055390364359</v>
      </c>
      <c r="D123">
        <f t="shared" si="6"/>
        <v>-0.27989837232446807</v>
      </c>
    </row>
    <row r="124" spans="1:4" x14ac:dyDescent="0.15">
      <c r="A124" s="7">
        <v>118</v>
      </c>
      <c r="B124" s="7">
        <v>1</v>
      </c>
      <c r="C124">
        <f t="shared" si="5"/>
        <v>8.8678581416840763E-2</v>
      </c>
      <c r="D124">
        <f t="shared" si="6"/>
        <v>-2.4227368910146492</v>
      </c>
    </row>
    <row r="125" spans="1:4" x14ac:dyDescent="0.15">
      <c r="A125" s="7">
        <v>119</v>
      </c>
      <c r="B125" s="7">
        <v>0</v>
      </c>
      <c r="C125">
        <f t="shared" si="5"/>
        <v>0.75586055390364359</v>
      </c>
      <c r="D125">
        <f t="shared" si="6"/>
        <v>-0.27989837232446807</v>
      </c>
    </row>
    <row r="126" spans="1:4" x14ac:dyDescent="0.15">
      <c r="A126" s="7">
        <v>120</v>
      </c>
      <c r="B126" s="7">
        <v>0</v>
      </c>
      <c r="C126">
        <f t="shared" si="5"/>
        <v>0.75586055390364359</v>
      </c>
      <c r="D126">
        <f t="shared" si="6"/>
        <v>-0.27989837232446807</v>
      </c>
    </row>
    <row r="127" spans="1:4" x14ac:dyDescent="0.15">
      <c r="A127" s="7">
        <v>121</v>
      </c>
      <c r="B127" s="7">
        <v>1</v>
      </c>
      <c r="C127">
        <f t="shared" si="5"/>
        <v>8.8678581416840763E-2</v>
      </c>
      <c r="D127">
        <f t="shared" si="6"/>
        <v>-2.4227368910146492</v>
      </c>
    </row>
    <row r="128" spans="1:4" x14ac:dyDescent="0.15">
      <c r="A128" s="7">
        <v>122</v>
      </c>
      <c r="B128" s="7">
        <v>0</v>
      </c>
      <c r="C128">
        <f t="shared" si="5"/>
        <v>0.75586055390364359</v>
      </c>
      <c r="D128">
        <f t="shared" si="6"/>
        <v>-0.27989837232446807</v>
      </c>
    </row>
    <row r="129" spans="1:4" x14ac:dyDescent="0.15">
      <c r="A129" s="7">
        <v>123</v>
      </c>
      <c r="B129" s="7">
        <v>0</v>
      </c>
      <c r="C129">
        <f t="shared" si="5"/>
        <v>0.75586055390364359</v>
      </c>
      <c r="D129">
        <f t="shared" si="6"/>
        <v>-0.27989837232446807</v>
      </c>
    </row>
    <row r="130" spans="1:4" x14ac:dyDescent="0.15">
      <c r="A130" s="7">
        <v>124</v>
      </c>
      <c r="B130" s="7">
        <v>0</v>
      </c>
      <c r="C130">
        <f t="shared" si="5"/>
        <v>0.75586055390364359</v>
      </c>
      <c r="D130">
        <f t="shared" si="6"/>
        <v>-0.27989837232446807</v>
      </c>
    </row>
    <row r="131" spans="1:4" x14ac:dyDescent="0.15">
      <c r="A131" s="7">
        <v>125</v>
      </c>
      <c r="B131" s="7">
        <v>0</v>
      </c>
      <c r="C131">
        <f t="shared" si="5"/>
        <v>0.75586055390364359</v>
      </c>
      <c r="D131">
        <f t="shared" si="6"/>
        <v>-0.27989837232446807</v>
      </c>
    </row>
    <row r="132" spans="1:4" x14ac:dyDescent="0.15">
      <c r="A132" s="7">
        <v>126</v>
      </c>
      <c r="B132" s="7">
        <v>0</v>
      </c>
      <c r="C132">
        <f t="shared" si="5"/>
        <v>0.75586055390364359</v>
      </c>
      <c r="D132">
        <f t="shared" si="6"/>
        <v>-0.27989837232446807</v>
      </c>
    </row>
    <row r="133" spans="1:4" x14ac:dyDescent="0.15">
      <c r="A133" s="7">
        <v>127</v>
      </c>
      <c r="B133" s="7">
        <v>0</v>
      </c>
      <c r="C133">
        <f t="shared" si="5"/>
        <v>0.75586055390364359</v>
      </c>
      <c r="D133">
        <f t="shared" si="6"/>
        <v>-0.27989837232446807</v>
      </c>
    </row>
    <row r="134" spans="1:4" x14ac:dyDescent="0.15">
      <c r="A134" s="7">
        <v>128</v>
      </c>
      <c r="B134" s="7">
        <v>0</v>
      </c>
      <c r="C134">
        <f t="shared" si="5"/>
        <v>0.75586055390364359</v>
      </c>
      <c r="D134">
        <f t="shared" si="6"/>
        <v>-0.27989837232446807</v>
      </c>
    </row>
    <row r="135" spans="1:4" x14ac:dyDescent="0.15">
      <c r="A135" s="7">
        <v>129</v>
      </c>
      <c r="B135" s="7">
        <v>0</v>
      </c>
      <c r="C135">
        <f t="shared" si="5"/>
        <v>0.75586055390364359</v>
      </c>
      <c r="D135">
        <f t="shared" si="6"/>
        <v>-0.27989837232446807</v>
      </c>
    </row>
    <row r="136" spans="1:4" x14ac:dyDescent="0.15">
      <c r="A136" s="7">
        <v>130</v>
      </c>
      <c r="B136" s="7">
        <v>0</v>
      </c>
      <c r="C136">
        <f t="shared" ref="C136:C199" si="7">(_xlfn.GAMMA($B$1+B136)/(_xlfn.GAMMA($B$1)*FACT(B136))) * ($B$2/($B$2+$B$4))^$B$1 * (1/($B$2 +$B$4))^B136</f>
        <v>0.75586055390364359</v>
      </c>
      <c r="D136">
        <f t="shared" ref="D136:D199" si="8">LN(C136)</f>
        <v>-0.27989837232446807</v>
      </c>
    </row>
    <row r="137" spans="1:4" x14ac:dyDescent="0.15">
      <c r="A137" s="7">
        <v>131</v>
      </c>
      <c r="B137" s="7">
        <v>0</v>
      </c>
      <c r="C137">
        <f t="shared" si="7"/>
        <v>0.75586055390364359</v>
      </c>
      <c r="D137">
        <f t="shared" si="8"/>
        <v>-0.27989837232446807</v>
      </c>
    </row>
    <row r="138" spans="1:4" x14ac:dyDescent="0.15">
      <c r="A138" s="7">
        <v>132</v>
      </c>
      <c r="B138" s="7">
        <v>0</v>
      </c>
      <c r="C138">
        <f t="shared" si="7"/>
        <v>0.75586055390364359</v>
      </c>
      <c r="D138">
        <f t="shared" si="8"/>
        <v>-0.27989837232446807</v>
      </c>
    </row>
    <row r="139" spans="1:4" x14ac:dyDescent="0.15">
      <c r="A139" s="7">
        <v>133</v>
      </c>
      <c r="B139" s="7">
        <v>0</v>
      </c>
      <c r="C139">
        <f t="shared" si="7"/>
        <v>0.75586055390364359</v>
      </c>
      <c r="D139">
        <f t="shared" si="8"/>
        <v>-0.27989837232446807</v>
      </c>
    </row>
    <row r="140" spans="1:4" x14ac:dyDescent="0.15">
      <c r="A140" s="7">
        <v>134</v>
      </c>
      <c r="B140" s="7">
        <v>0</v>
      </c>
      <c r="C140">
        <f t="shared" si="7"/>
        <v>0.75586055390364359</v>
      </c>
      <c r="D140">
        <f t="shared" si="8"/>
        <v>-0.27989837232446807</v>
      </c>
    </row>
    <row r="141" spans="1:4" x14ac:dyDescent="0.15">
      <c r="A141" s="7">
        <v>135</v>
      </c>
      <c r="B141" s="7">
        <v>0</v>
      </c>
      <c r="C141">
        <f t="shared" si="7"/>
        <v>0.75586055390364359</v>
      </c>
      <c r="D141">
        <f t="shared" si="8"/>
        <v>-0.27989837232446807</v>
      </c>
    </row>
    <row r="142" spans="1:4" x14ac:dyDescent="0.15">
      <c r="A142" s="7">
        <v>136</v>
      </c>
      <c r="B142" s="7">
        <v>8</v>
      </c>
      <c r="C142">
        <f t="shared" si="7"/>
        <v>6.1514536381425521E-3</v>
      </c>
      <c r="D142">
        <f t="shared" si="8"/>
        <v>-5.0910668611676444</v>
      </c>
    </row>
    <row r="143" spans="1:4" x14ac:dyDescent="0.15">
      <c r="A143" s="7">
        <v>137</v>
      </c>
      <c r="B143" s="7">
        <v>2</v>
      </c>
      <c r="C143">
        <f t="shared" si="7"/>
        <v>4.4062133811825943E-2</v>
      </c>
      <c r="D143">
        <f t="shared" si="8"/>
        <v>-3.1221545090977791</v>
      </c>
    </row>
    <row r="144" spans="1:4" x14ac:dyDescent="0.15">
      <c r="A144" s="7">
        <v>138</v>
      </c>
      <c r="B144" s="7">
        <v>0</v>
      </c>
      <c r="C144">
        <f t="shared" si="7"/>
        <v>0.75586055390364359</v>
      </c>
      <c r="D144">
        <f t="shared" si="8"/>
        <v>-0.27989837232446807</v>
      </c>
    </row>
    <row r="145" spans="1:4" x14ac:dyDescent="0.15">
      <c r="A145" s="7">
        <v>139</v>
      </c>
      <c r="B145" s="7">
        <v>0</v>
      </c>
      <c r="C145">
        <f t="shared" si="7"/>
        <v>0.75586055390364359</v>
      </c>
      <c r="D145">
        <f t="shared" si="8"/>
        <v>-0.27989837232446807</v>
      </c>
    </row>
    <row r="146" spans="1:4" x14ac:dyDescent="0.15">
      <c r="A146" s="7">
        <v>140</v>
      </c>
      <c r="B146" s="7">
        <v>0</v>
      </c>
      <c r="C146">
        <f t="shared" si="7"/>
        <v>0.75586055390364359</v>
      </c>
      <c r="D146">
        <f t="shared" si="8"/>
        <v>-0.27989837232446807</v>
      </c>
    </row>
    <row r="147" spans="1:4" x14ac:dyDescent="0.15">
      <c r="A147" s="7">
        <v>141</v>
      </c>
      <c r="B147" s="7">
        <v>1</v>
      </c>
      <c r="C147">
        <f t="shared" si="7"/>
        <v>8.8678581416840763E-2</v>
      </c>
      <c r="D147">
        <f t="shared" si="8"/>
        <v>-2.4227368910146492</v>
      </c>
    </row>
    <row r="148" spans="1:4" x14ac:dyDescent="0.15">
      <c r="A148" s="7">
        <v>142</v>
      </c>
      <c r="B148" s="7">
        <v>2</v>
      </c>
      <c r="C148">
        <f t="shared" si="7"/>
        <v>4.4062133811825943E-2</v>
      </c>
      <c r="D148">
        <f t="shared" si="8"/>
        <v>-3.1221545090977791</v>
      </c>
    </row>
    <row r="149" spans="1:4" x14ac:dyDescent="0.15">
      <c r="A149" s="7">
        <v>143</v>
      </c>
      <c r="B149" s="7">
        <v>0</v>
      </c>
      <c r="C149">
        <f t="shared" si="7"/>
        <v>0.75586055390364359</v>
      </c>
      <c r="D149">
        <f t="shared" si="8"/>
        <v>-0.27989837232446807</v>
      </c>
    </row>
    <row r="150" spans="1:4" x14ac:dyDescent="0.15">
      <c r="A150" s="7">
        <v>144</v>
      </c>
      <c r="B150" s="7">
        <v>6</v>
      </c>
      <c r="C150">
        <f t="shared" si="7"/>
        <v>1.0248837632111705E-2</v>
      </c>
      <c r="D150">
        <f t="shared" si="8"/>
        <v>-4.5805909815733834</v>
      </c>
    </row>
    <row r="151" spans="1:4" x14ac:dyDescent="0.15">
      <c r="A151" s="7">
        <v>145</v>
      </c>
      <c r="B151" s="7">
        <v>0</v>
      </c>
      <c r="C151">
        <f t="shared" si="7"/>
        <v>0.75586055390364359</v>
      </c>
      <c r="D151">
        <f t="shared" si="8"/>
        <v>-0.27989837232446807</v>
      </c>
    </row>
    <row r="152" spans="1:4" x14ac:dyDescent="0.15">
      <c r="A152" s="7">
        <v>146</v>
      </c>
      <c r="B152" s="7">
        <v>1</v>
      </c>
      <c r="C152">
        <f t="shared" si="7"/>
        <v>8.8678581416840763E-2</v>
      </c>
      <c r="D152">
        <f t="shared" si="8"/>
        <v>-2.4227368910146492</v>
      </c>
    </row>
    <row r="153" spans="1:4" x14ac:dyDescent="0.15">
      <c r="A153" s="7">
        <v>147</v>
      </c>
      <c r="B153" s="7">
        <v>0</v>
      </c>
      <c r="C153">
        <f t="shared" si="7"/>
        <v>0.75586055390364359</v>
      </c>
      <c r="D153">
        <f t="shared" si="8"/>
        <v>-0.27989837232446807</v>
      </c>
    </row>
    <row r="154" spans="1:4" x14ac:dyDescent="0.15">
      <c r="A154" s="7">
        <v>148</v>
      </c>
      <c r="B154" s="7">
        <v>0</v>
      </c>
      <c r="C154">
        <f t="shared" si="7"/>
        <v>0.75586055390364359</v>
      </c>
      <c r="D154">
        <f t="shared" si="8"/>
        <v>-0.27989837232446807</v>
      </c>
    </row>
    <row r="155" spans="1:4" x14ac:dyDescent="0.15">
      <c r="A155" s="7">
        <v>149</v>
      </c>
      <c r="B155" s="7">
        <v>0</v>
      </c>
      <c r="C155">
        <f t="shared" si="7"/>
        <v>0.75586055390364359</v>
      </c>
      <c r="D155">
        <f t="shared" si="8"/>
        <v>-0.27989837232446807</v>
      </c>
    </row>
    <row r="156" spans="1:4" x14ac:dyDescent="0.15">
      <c r="A156" s="7">
        <v>150</v>
      </c>
      <c r="B156" s="7">
        <v>0</v>
      </c>
      <c r="C156">
        <f t="shared" si="7"/>
        <v>0.75586055390364359</v>
      </c>
      <c r="D156">
        <f t="shared" si="8"/>
        <v>-0.27989837232446807</v>
      </c>
    </row>
    <row r="157" spans="1:4" x14ac:dyDescent="0.15">
      <c r="A157" s="7">
        <v>151</v>
      </c>
      <c r="B157" s="7">
        <v>0</v>
      </c>
      <c r="C157">
        <f t="shared" si="7"/>
        <v>0.75586055390364359</v>
      </c>
      <c r="D157">
        <f t="shared" si="8"/>
        <v>-0.27989837232446807</v>
      </c>
    </row>
    <row r="158" spans="1:4" x14ac:dyDescent="0.15">
      <c r="A158" s="7">
        <v>152</v>
      </c>
      <c r="B158" s="7">
        <v>0</v>
      </c>
      <c r="C158">
        <f t="shared" si="7"/>
        <v>0.75586055390364359</v>
      </c>
      <c r="D158">
        <f t="shared" si="8"/>
        <v>-0.27989837232446807</v>
      </c>
    </row>
    <row r="159" spans="1:4" x14ac:dyDescent="0.15">
      <c r="A159" s="7">
        <v>153</v>
      </c>
      <c r="B159" s="7">
        <v>0</v>
      </c>
      <c r="C159">
        <f t="shared" si="7"/>
        <v>0.75586055390364359</v>
      </c>
      <c r="D159">
        <f t="shared" si="8"/>
        <v>-0.27989837232446807</v>
      </c>
    </row>
    <row r="160" spans="1:4" x14ac:dyDescent="0.15">
      <c r="A160" s="7">
        <v>154</v>
      </c>
      <c r="B160" s="7">
        <v>0</v>
      </c>
      <c r="C160">
        <f t="shared" si="7"/>
        <v>0.75586055390364359</v>
      </c>
      <c r="D160">
        <f t="shared" si="8"/>
        <v>-0.27989837232446807</v>
      </c>
    </row>
    <row r="161" spans="1:4" x14ac:dyDescent="0.15">
      <c r="A161" s="7">
        <v>155</v>
      </c>
      <c r="B161" s="7">
        <v>0</v>
      </c>
      <c r="C161">
        <f t="shared" si="7"/>
        <v>0.75586055390364359</v>
      </c>
      <c r="D161">
        <f t="shared" si="8"/>
        <v>-0.27989837232446807</v>
      </c>
    </row>
    <row r="162" spans="1:4" x14ac:dyDescent="0.15">
      <c r="A162" s="7">
        <v>156</v>
      </c>
      <c r="B162" s="7">
        <v>0</v>
      </c>
      <c r="C162">
        <f t="shared" si="7"/>
        <v>0.75586055390364359</v>
      </c>
      <c r="D162">
        <f t="shared" si="8"/>
        <v>-0.27989837232446807</v>
      </c>
    </row>
    <row r="163" spans="1:4" x14ac:dyDescent="0.15">
      <c r="A163" s="7">
        <v>157</v>
      </c>
      <c r="B163" s="7">
        <v>0</v>
      </c>
      <c r="C163">
        <f t="shared" si="7"/>
        <v>0.75586055390364359</v>
      </c>
      <c r="D163">
        <f t="shared" si="8"/>
        <v>-0.27989837232446807</v>
      </c>
    </row>
    <row r="164" spans="1:4" x14ac:dyDescent="0.15">
      <c r="A164" s="7">
        <v>158</v>
      </c>
      <c r="B164" s="7">
        <v>0</v>
      </c>
      <c r="C164">
        <f t="shared" si="7"/>
        <v>0.75586055390364359</v>
      </c>
      <c r="D164">
        <f t="shared" si="8"/>
        <v>-0.27989837232446807</v>
      </c>
    </row>
    <row r="165" spans="1:4" x14ac:dyDescent="0.15">
      <c r="A165" s="7">
        <v>159</v>
      </c>
      <c r="B165" s="7">
        <v>0</v>
      </c>
      <c r="C165">
        <f t="shared" si="7"/>
        <v>0.75586055390364359</v>
      </c>
      <c r="D165">
        <f t="shared" si="8"/>
        <v>-0.27989837232446807</v>
      </c>
    </row>
    <row r="166" spans="1:4" x14ac:dyDescent="0.15">
      <c r="A166" s="7">
        <v>160</v>
      </c>
      <c r="B166" s="7">
        <v>0</v>
      </c>
      <c r="C166">
        <f t="shared" si="7"/>
        <v>0.75586055390364359</v>
      </c>
      <c r="D166">
        <f t="shared" si="8"/>
        <v>-0.27989837232446807</v>
      </c>
    </row>
    <row r="167" spans="1:4" x14ac:dyDescent="0.15">
      <c r="A167" s="7">
        <v>161</v>
      </c>
      <c r="B167" s="7">
        <v>0</v>
      </c>
      <c r="C167">
        <f t="shared" si="7"/>
        <v>0.75586055390364359</v>
      </c>
      <c r="D167">
        <f t="shared" si="8"/>
        <v>-0.27989837232446807</v>
      </c>
    </row>
    <row r="168" spans="1:4" x14ac:dyDescent="0.15">
      <c r="A168" s="7">
        <v>162</v>
      </c>
      <c r="B168" s="7">
        <v>16</v>
      </c>
      <c r="C168">
        <f t="shared" si="7"/>
        <v>1.1791864661569508E-3</v>
      </c>
      <c r="D168">
        <f t="shared" si="8"/>
        <v>-6.7429305137346924</v>
      </c>
    </row>
    <row r="169" spans="1:4" x14ac:dyDescent="0.15">
      <c r="A169" s="7">
        <v>163</v>
      </c>
      <c r="B169" s="7">
        <v>0</v>
      </c>
      <c r="C169">
        <f t="shared" si="7"/>
        <v>0.75586055390364359</v>
      </c>
      <c r="D169">
        <f t="shared" si="8"/>
        <v>-0.27989837232446807</v>
      </c>
    </row>
    <row r="170" spans="1:4" x14ac:dyDescent="0.15">
      <c r="A170" s="7">
        <v>164</v>
      </c>
      <c r="B170" s="7">
        <v>0</v>
      </c>
      <c r="C170">
        <f t="shared" si="7"/>
        <v>0.75586055390364359</v>
      </c>
      <c r="D170">
        <f t="shared" si="8"/>
        <v>-0.27989837232446807</v>
      </c>
    </row>
    <row r="171" spans="1:4" x14ac:dyDescent="0.15">
      <c r="A171" s="7">
        <v>165</v>
      </c>
      <c r="B171" s="7">
        <v>0</v>
      </c>
      <c r="C171">
        <f t="shared" si="7"/>
        <v>0.75586055390364359</v>
      </c>
      <c r="D171">
        <f t="shared" si="8"/>
        <v>-0.27989837232446807</v>
      </c>
    </row>
    <row r="172" spans="1:4" x14ac:dyDescent="0.15">
      <c r="A172" s="7">
        <v>166</v>
      </c>
      <c r="B172" s="7">
        <v>0</v>
      </c>
      <c r="C172">
        <f t="shared" si="7"/>
        <v>0.75586055390364359</v>
      </c>
      <c r="D172">
        <f t="shared" si="8"/>
        <v>-0.27989837232446807</v>
      </c>
    </row>
    <row r="173" spans="1:4" x14ac:dyDescent="0.15">
      <c r="A173" s="7">
        <v>167</v>
      </c>
      <c r="B173" s="7">
        <v>0</v>
      </c>
      <c r="C173">
        <f t="shared" si="7"/>
        <v>0.75586055390364359</v>
      </c>
      <c r="D173">
        <f t="shared" si="8"/>
        <v>-0.27989837232446807</v>
      </c>
    </row>
    <row r="174" spans="1:4" x14ac:dyDescent="0.15">
      <c r="A174" s="7">
        <v>168</v>
      </c>
      <c r="B174" s="7">
        <v>0</v>
      </c>
      <c r="C174">
        <f t="shared" si="7"/>
        <v>0.75586055390364359</v>
      </c>
      <c r="D174">
        <f t="shared" si="8"/>
        <v>-0.27989837232446807</v>
      </c>
    </row>
    <row r="175" spans="1:4" x14ac:dyDescent="0.15">
      <c r="A175" s="7">
        <v>169</v>
      </c>
      <c r="B175" s="7">
        <v>1</v>
      </c>
      <c r="C175">
        <f t="shared" si="7"/>
        <v>8.8678581416840763E-2</v>
      </c>
      <c r="D175">
        <f t="shared" si="8"/>
        <v>-2.4227368910146492</v>
      </c>
    </row>
    <row r="176" spans="1:4" x14ac:dyDescent="0.15">
      <c r="A176" s="7">
        <v>170</v>
      </c>
      <c r="B176" s="7">
        <v>0</v>
      </c>
      <c r="C176">
        <f t="shared" si="7"/>
        <v>0.75586055390364359</v>
      </c>
      <c r="D176">
        <f t="shared" si="8"/>
        <v>-0.27989837232446807</v>
      </c>
    </row>
    <row r="177" spans="1:4" x14ac:dyDescent="0.15">
      <c r="A177" s="7">
        <v>171</v>
      </c>
      <c r="B177" s="7">
        <v>1</v>
      </c>
      <c r="C177">
        <f t="shared" si="7"/>
        <v>8.8678581416840763E-2</v>
      </c>
      <c r="D177">
        <f t="shared" si="8"/>
        <v>-2.4227368910146492</v>
      </c>
    </row>
    <row r="178" spans="1:4" x14ac:dyDescent="0.15">
      <c r="A178" s="7">
        <v>172</v>
      </c>
      <c r="B178" s="7">
        <v>0</v>
      </c>
      <c r="C178">
        <f t="shared" si="7"/>
        <v>0.75586055390364359</v>
      </c>
      <c r="D178">
        <f t="shared" si="8"/>
        <v>-0.27989837232446807</v>
      </c>
    </row>
    <row r="179" spans="1:4" x14ac:dyDescent="0.15">
      <c r="A179" s="7">
        <v>173</v>
      </c>
      <c r="B179" s="7">
        <v>0</v>
      </c>
      <c r="C179">
        <f t="shared" si="7"/>
        <v>0.75586055390364359</v>
      </c>
      <c r="D179">
        <f t="shared" si="8"/>
        <v>-0.27989837232446807</v>
      </c>
    </row>
    <row r="180" spans="1:4" x14ac:dyDescent="0.15">
      <c r="A180" s="7">
        <v>174</v>
      </c>
      <c r="B180" s="7">
        <v>0</v>
      </c>
      <c r="C180">
        <f t="shared" si="7"/>
        <v>0.75586055390364359</v>
      </c>
      <c r="D180">
        <f t="shared" si="8"/>
        <v>-0.27989837232446807</v>
      </c>
    </row>
    <row r="181" spans="1:4" x14ac:dyDescent="0.15">
      <c r="A181" s="7">
        <v>175</v>
      </c>
      <c r="B181" s="7">
        <v>0</v>
      </c>
      <c r="C181">
        <f t="shared" si="7"/>
        <v>0.75586055390364359</v>
      </c>
      <c r="D181">
        <f t="shared" si="8"/>
        <v>-0.27989837232446807</v>
      </c>
    </row>
    <row r="182" spans="1:4" x14ac:dyDescent="0.15">
      <c r="A182" s="7">
        <v>176</v>
      </c>
      <c r="B182" s="7">
        <v>0</v>
      </c>
      <c r="C182">
        <f t="shared" si="7"/>
        <v>0.75586055390364359</v>
      </c>
      <c r="D182">
        <f t="shared" si="8"/>
        <v>-0.27989837232446807</v>
      </c>
    </row>
    <row r="183" spans="1:4" x14ac:dyDescent="0.15">
      <c r="A183" s="7">
        <v>177</v>
      </c>
      <c r="B183" s="7">
        <v>1</v>
      </c>
      <c r="C183">
        <f t="shared" si="7"/>
        <v>8.8678581416840763E-2</v>
      </c>
      <c r="D183">
        <f t="shared" si="8"/>
        <v>-2.4227368910146492</v>
      </c>
    </row>
    <row r="184" spans="1:4" x14ac:dyDescent="0.15">
      <c r="A184" s="7">
        <v>178</v>
      </c>
      <c r="B184" s="7">
        <v>0</v>
      </c>
      <c r="C184">
        <f t="shared" si="7"/>
        <v>0.75586055390364359</v>
      </c>
      <c r="D184">
        <f t="shared" si="8"/>
        <v>-0.27989837232446807</v>
      </c>
    </row>
    <row r="185" spans="1:4" x14ac:dyDescent="0.15">
      <c r="A185" s="7">
        <v>179</v>
      </c>
      <c r="B185" s="7">
        <v>0</v>
      </c>
      <c r="C185">
        <f t="shared" si="7"/>
        <v>0.75586055390364359</v>
      </c>
      <c r="D185">
        <f t="shared" si="8"/>
        <v>-0.27989837232446807</v>
      </c>
    </row>
    <row r="186" spans="1:4" x14ac:dyDescent="0.15">
      <c r="A186" s="7">
        <v>180</v>
      </c>
      <c r="B186" s="7">
        <v>0</v>
      </c>
      <c r="C186">
        <f t="shared" si="7"/>
        <v>0.75586055390364359</v>
      </c>
      <c r="D186">
        <f t="shared" si="8"/>
        <v>-0.27989837232446807</v>
      </c>
    </row>
    <row r="187" spans="1:4" x14ac:dyDescent="0.15">
      <c r="A187" s="7">
        <v>181</v>
      </c>
      <c r="B187" s="7">
        <v>0</v>
      </c>
      <c r="C187">
        <f t="shared" si="7"/>
        <v>0.75586055390364359</v>
      </c>
      <c r="D187">
        <f t="shared" si="8"/>
        <v>-0.27989837232446807</v>
      </c>
    </row>
    <row r="188" spans="1:4" x14ac:dyDescent="0.15">
      <c r="A188" s="7">
        <v>182</v>
      </c>
      <c r="B188" s="7">
        <v>0</v>
      </c>
      <c r="C188">
        <f t="shared" si="7"/>
        <v>0.75586055390364359</v>
      </c>
      <c r="D188">
        <f t="shared" si="8"/>
        <v>-0.27989837232446807</v>
      </c>
    </row>
    <row r="189" spans="1:4" x14ac:dyDescent="0.15">
      <c r="A189" s="7">
        <v>183</v>
      </c>
      <c r="B189" s="7">
        <v>1</v>
      </c>
      <c r="C189">
        <f t="shared" si="7"/>
        <v>8.8678581416840763E-2</v>
      </c>
      <c r="D189">
        <f t="shared" si="8"/>
        <v>-2.4227368910146492</v>
      </c>
    </row>
    <row r="190" spans="1:4" x14ac:dyDescent="0.15">
      <c r="A190" s="7">
        <v>184</v>
      </c>
      <c r="B190" s="7">
        <v>0</v>
      </c>
      <c r="C190">
        <f t="shared" si="7"/>
        <v>0.75586055390364359</v>
      </c>
      <c r="D190">
        <f t="shared" si="8"/>
        <v>-0.27989837232446807</v>
      </c>
    </row>
    <row r="191" spans="1:4" x14ac:dyDescent="0.15">
      <c r="A191" s="7">
        <v>185</v>
      </c>
      <c r="B191" s="7">
        <v>0</v>
      </c>
      <c r="C191">
        <f t="shared" si="7"/>
        <v>0.75586055390364359</v>
      </c>
      <c r="D191">
        <f t="shared" si="8"/>
        <v>-0.27989837232446807</v>
      </c>
    </row>
    <row r="192" spans="1:4" x14ac:dyDescent="0.15">
      <c r="A192" s="7">
        <v>186</v>
      </c>
      <c r="B192" s="7">
        <v>0</v>
      </c>
      <c r="C192">
        <f t="shared" si="7"/>
        <v>0.75586055390364359</v>
      </c>
      <c r="D192">
        <f t="shared" si="8"/>
        <v>-0.27989837232446807</v>
      </c>
    </row>
    <row r="193" spans="1:4" x14ac:dyDescent="0.15">
      <c r="A193" s="7">
        <v>187</v>
      </c>
      <c r="B193" s="7">
        <v>0</v>
      </c>
      <c r="C193">
        <f t="shared" si="7"/>
        <v>0.75586055390364359</v>
      </c>
      <c r="D193">
        <f t="shared" si="8"/>
        <v>-0.27989837232446807</v>
      </c>
    </row>
    <row r="194" spans="1:4" x14ac:dyDescent="0.15">
      <c r="A194" s="7">
        <v>188</v>
      </c>
      <c r="B194" s="7">
        <v>0</v>
      </c>
      <c r="C194">
        <f t="shared" si="7"/>
        <v>0.75586055390364359</v>
      </c>
      <c r="D194">
        <f t="shared" si="8"/>
        <v>-0.27989837232446807</v>
      </c>
    </row>
    <row r="195" spans="1:4" x14ac:dyDescent="0.15">
      <c r="A195" s="7">
        <v>189</v>
      </c>
      <c r="B195" s="7">
        <v>0</v>
      </c>
      <c r="C195">
        <f t="shared" si="7"/>
        <v>0.75586055390364359</v>
      </c>
      <c r="D195">
        <f t="shared" si="8"/>
        <v>-0.27989837232446807</v>
      </c>
    </row>
    <row r="196" spans="1:4" x14ac:dyDescent="0.15">
      <c r="A196" s="7">
        <v>190</v>
      </c>
      <c r="B196" s="7">
        <v>0</v>
      </c>
      <c r="C196">
        <f t="shared" si="7"/>
        <v>0.75586055390364359</v>
      </c>
      <c r="D196">
        <f t="shared" si="8"/>
        <v>-0.27989837232446807</v>
      </c>
    </row>
    <row r="197" spans="1:4" x14ac:dyDescent="0.15">
      <c r="A197" s="7">
        <v>191</v>
      </c>
      <c r="B197" s="7">
        <v>0</v>
      </c>
      <c r="C197">
        <f t="shared" si="7"/>
        <v>0.75586055390364359</v>
      </c>
      <c r="D197">
        <f t="shared" si="8"/>
        <v>-0.27989837232446807</v>
      </c>
    </row>
    <row r="198" spans="1:4" x14ac:dyDescent="0.15">
      <c r="A198" s="7">
        <v>192</v>
      </c>
      <c r="B198" s="7">
        <v>0</v>
      </c>
      <c r="C198">
        <f t="shared" si="7"/>
        <v>0.75586055390364359</v>
      </c>
      <c r="D198">
        <f t="shared" si="8"/>
        <v>-0.27989837232446807</v>
      </c>
    </row>
    <row r="199" spans="1:4" x14ac:dyDescent="0.15">
      <c r="A199" s="7">
        <v>193</v>
      </c>
      <c r="B199" s="7">
        <v>9</v>
      </c>
      <c r="C199">
        <f t="shared" si="7"/>
        <v>4.8724597930648464E-3</v>
      </c>
      <c r="D199">
        <f t="shared" si="8"/>
        <v>-5.3241563784247425</v>
      </c>
    </row>
    <row r="200" spans="1:4" x14ac:dyDescent="0.15">
      <c r="A200" s="7">
        <v>194</v>
      </c>
      <c r="B200" s="7">
        <v>0</v>
      </c>
      <c r="C200">
        <f t="shared" ref="C200:C263" si="9">(_xlfn.GAMMA($B$1+B200)/(_xlfn.GAMMA($B$1)*FACT(B200))) * ($B$2/($B$2+$B$4))^$B$1 * (1/($B$2 +$B$4))^B200</f>
        <v>0.75586055390364359</v>
      </c>
      <c r="D200">
        <f t="shared" ref="D200:D263" si="10">LN(C200)</f>
        <v>-0.27989837232446807</v>
      </c>
    </row>
    <row r="201" spans="1:4" x14ac:dyDescent="0.15">
      <c r="A201" s="7">
        <v>195</v>
      </c>
      <c r="B201" s="7">
        <v>0</v>
      </c>
      <c r="C201">
        <f t="shared" si="9"/>
        <v>0.75586055390364359</v>
      </c>
      <c r="D201">
        <f t="shared" si="10"/>
        <v>-0.27989837232446807</v>
      </c>
    </row>
    <row r="202" spans="1:4" x14ac:dyDescent="0.15">
      <c r="A202" s="7">
        <v>196</v>
      </c>
      <c r="B202" s="7">
        <v>0</v>
      </c>
      <c r="C202">
        <f t="shared" si="9"/>
        <v>0.75586055390364359</v>
      </c>
      <c r="D202">
        <f t="shared" si="10"/>
        <v>-0.27989837232446807</v>
      </c>
    </row>
    <row r="203" spans="1:4" x14ac:dyDescent="0.15">
      <c r="A203" s="7">
        <v>197</v>
      </c>
      <c r="B203" s="7">
        <v>0</v>
      </c>
      <c r="C203">
        <f t="shared" si="9"/>
        <v>0.75586055390364359</v>
      </c>
      <c r="D203">
        <f t="shared" si="10"/>
        <v>-0.27989837232446807</v>
      </c>
    </row>
    <row r="204" spans="1:4" x14ac:dyDescent="0.15">
      <c r="A204" s="7">
        <v>198</v>
      </c>
      <c r="B204" s="7">
        <v>0</v>
      </c>
      <c r="C204">
        <f t="shared" si="9"/>
        <v>0.75586055390364359</v>
      </c>
      <c r="D204">
        <f t="shared" si="10"/>
        <v>-0.27989837232446807</v>
      </c>
    </row>
    <row r="205" spans="1:4" x14ac:dyDescent="0.15">
      <c r="A205" s="7">
        <v>199</v>
      </c>
      <c r="B205" s="7">
        <v>0</v>
      </c>
      <c r="C205">
        <f t="shared" si="9"/>
        <v>0.75586055390364359</v>
      </c>
      <c r="D205">
        <f t="shared" si="10"/>
        <v>-0.27989837232446807</v>
      </c>
    </row>
    <row r="206" spans="1:4" x14ac:dyDescent="0.15">
      <c r="A206" s="7">
        <v>200</v>
      </c>
      <c r="B206" s="7">
        <v>4</v>
      </c>
      <c r="C206">
        <f t="shared" si="9"/>
        <v>1.8860933071470173E-2</v>
      </c>
      <c r="D206">
        <f t="shared" si="10"/>
        <v>-3.9706625294337847</v>
      </c>
    </row>
    <row r="207" spans="1:4" x14ac:dyDescent="0.15">
      <c r="A207" s="7">
        <v>201</v>
      </c>
      <c r="B207" s="7">
        <v>0</v>
      </c>
      <c r="C207">
        <f t="shared" si="9"/>
        <v>0.75586055390364359</v>
      </c>
      <c r="D207">
        <f t="shared" si="10"/>
        <v>-0.27989837232446807</v>
      </c>
    </row>
    <row r="208" spans="1:4" x14ac:dyDescent="0.15">
      <c r="A208" s="7">
        <v>202</v>
      </c>
      <c r="B208" s="7">
        <v>0</v>
      </c>
      <c r="C208">
        <f t="shared" si="9"/>
        <v>0.75586055390364359</v>
      </c>
      <c r="D208">
        <f t="shared" si="10"/>
        <v>-0.27989837232446807</v>
      </c>
    </row>
    <row r="209" spans="1:4" x14ac:dyDescent="0.15">
      <c r="A209" s="7">
        <v>203</v>
      </c>
      <c r="B209" s="7">
        <v>6</v>
      </c>
      <c r="C209">
        <f t="shared" si="9"/>
        <v>1.0248837632111705E-2</v>
      </c>
      <c r="D209">
        <f t="shared" si="10"/>
        <v>-4.5805909815733834</v>
      </c>
    </row>
    <row r="210" spans="1:4" x14ac:dyDescent="0.15">
      <c r="A210" s="7">
        <v>204</v>
      </c>
      <c r="B210" s="7">
        <v>2</v>
      </c>
      <c r="C210">
        <f t="shared" si="9"/>
        <v>4.4062133811825943E-2</v>
      </c>
      <c r="D210">
        <f t="shared" si="10"/>
        <v>-3.1221545090977791</v>
      </c>
    </row>
    <row r="211" spans="1:4" x14ac:dyDescent="0.15">
      <c r="A211" s="7">
        <v>205</v>
      </c>
      <c r="B211" s="7">
        <v>1</v>
      </c>
      <c r="C211">
        <f t="shared" si="9"/>
        <v>8.8678581416840763E-2</v>
      </c>
      <c r="D211">
        <f t="shared" si="10"/>
        <v>-2.4227368910146492</v>
      </c>
    </row>
    <row r="212" spans="1:4" x14ac:dyDescent="0.15">
      <c r="A212" s="7">
        <v>206</v>
      </c>
      <c r="B212" s="7">
        <v>0</v>
      </c>
      <c r="C212">
        <f t="shared" si="9"/>
        <v>0.75586055390364359</v>
      </c>
      <c r="D212">
        <f t="shared" si="10"/>
        <v>-0.27989837232446807</v>
      </c>
    </row>
    <row r="213" spans="1:4" x14ac:dyDescent="0.15">
      <c r="A213" s="7">
        <v>207</v>
      </c>
      <c r="B213" s="7">
        <v>1</v>
      </c>
      <c r="C213">
        <f t="shared" si="9"/>
        <v>8.8678581416840763E-2</v>
      </c>
      <c r="D213">
        <f t="shared" si="10"/>
        <v>-2.4227368910146492</v>
      </c>
    </row>
    <row r="214" spans="1:4" x14ac:dyDescent="0.15">
      <c r="A214" s="7">
        <v>208</v>
      </c>
      <c r="B214" s="7">
        <v>1</v>
      </c>
      <c r="C214">
        <f t="shared" si="9"/>
        <v>8.8678581416840763E-2</v>
      </c>
      <c r="D214">
        <f t="shared" si="10"/>
        <v>-2.4227368910146492</v>
      </c>
    </row>
    <row r="215" spans="1:4" x14ac:dyDescent="0.15">
      <c r="A215" s="7">
        <v>209</v>
      </c>
      <c r="B215" s="7">
        <v>0</v>
      </c>
      <c r="C215">
        <f t="shared" si="9"/>
        <v>0.75586055390364359</v>
      </c>
      <c r="D215">
        <f t="shared" si="10"/>
        <v>-0.27989837232446807</v>
      </c>
    </row>
    <row r="216" spans="1:4" x14ac:dyDescent="0.15">
      <c r="A216" s="7">
        <v>210</v>
      </c>
      <c r="B216" s="7">
        <v>0</v>
      </c>
      <c r="C216">
        <f t="shared" si="9"/>
        <v>0.75586055390364359</v>
      </c>
      <c r="D216">
        <f t="shared" si="10"/>
        <v>-0.27989837232446807</v>
      </c>
    </row>
    <row r="217" spans="1:4" x14ac:dyDescent="0.15">
      <c r="A217" s="7">
        <v>211</v>
      </c>
      <c r="B217" s="7">
        <v>0</v>
      </c>
      <c r="C217">
        <f t="shared" si="9"/>
        <v>0.75586055390364359</v>
      </c>
      <c r="D217">
        <f t="shared" si="10"/>
        <v>-0.27989837232446807</v>
      </c>
    </row>
    <row r="218" spans="1:4" x14ac:dyDescent="0.15">
      <c r="A218" s="7">
        <v>212</v>
      </c>
      <c r="B218" s="7">
        <v>0</v>
      </c>
      <c r="C218">
        <f t="shared" si="9"/>
        <v>0.75586055390364359</v>
      </c>
      <c r="D218">
        <f t="shared" si="10"/>
        <v>-0.27989837232446807</v>
      </c>
    </row>
    <row r="219" spans="1:4" x14ac:dyDescent="0.15">
      <c r="A219" s="7">
        <v>213</v>
      </c>
      <c r="B219" s="7">
        <v>0</v>
      </c>
      <c r="C219">
        <f t="shared" si="9"/>
        <v>0.75586055390364359</v>
      </c>
      <c r="D219">
        <f t="shared" si="10"/>
        <v>-0.27989837232446807</v>
      </c>
    </row>
    <row r="220" spans="1:4" x14ac:dyDescent="0.15">
      <c r="A220" s="7">
        <v>214</v>
      </c>
      <c r="B220" s="7">
        <v>0</v>
      </c>
      <c r="C220">
        <f t="shared" si="9"/>
        <v>0.75586055390364359</v>
      </c>
      <c r="D220">
        <f t="shared" si="10"/>
        <v>-0.27989837232446807</v>
      </c>
    </row>
    <row r="221" spans="1:4" x14ac:dyDescent="0.15">
      <c r="A221" s="7">
        <v>215</v>
      </c>
      <c r="B221" s="7">
        <v>0</v>
      </c>
      <c r="C221">
        <f t="shared" si="9"/>
        <v>0.75586055390364359</v>
      </c>
      <c r="D221">
        <f t="shared" si="10"/>
        <v>-0.27989837232446807</v>
      </c>
    </row>
    <row r="222" spans="1:4" x14ac:dyDescent="0.15">
      <c r="A222" s="7">
        <v>216</v>
      </c>
      <c r="B222" s="7">
        <v>0</v>
      </c>
      <c r="C222">
        <f t="shared" si="9"/>
        <v>0.75586055390364359</v>
      </c>
      <c r="D222">
        <f t="shared" si="10"/>
        <v>-0.27989837232446807</v>
      </c>
    </row>
    <row r="223" spans="1:4" x14ac:dyDescent="0.15">
      <c r="A223" s="7">
        <v>217</v>
      </c>
      <c r="B223" s="7">
        <v>0</v>
      </c>
      <c r="C223">
        <f t="shared" si="9"/>
        <v>0.75586055390364359</v>
      </c>
      <c r="D223">
        <f t="shared" si="10"/>
        <v>-0.27989837232446807</v>
      </c>
    </row>
    <row r="224" spans="1:4" x14ac:dyDescent="0.15">
      <c r="A224" s="7">
        <v>218</v>
      </c>
      <c r="B224" s="7">
        <v>0</v>
      </c>
      <c r="C224">
        <f t="shared" si="9"/>
        <v>0.75586055390364359</v>
      </c>
      <c r="D224">
        <f t="shared" si="10"/>
        <v>-0.27989837232446807</v>
      </c>
    </row>
    <row r="225" spans="1:4" x14ac:dyDescent="0.15">
      <c r="A225" s="7">
        <v>219</v>
      </c>
      <c r="B225" s="7">
        <v>62</v>
      </c>
      <c r="C225">
        <f t="shared" si="9"/>
        <v>8.4757970096407204E-7</v>
      </c>
      <c r="D225">
        <f t="shared" si="10"/>
        <v>-13.980880959678036</v>
      </c>
    </row>
    <row r="226" spans="1:4" x14ac:dyDescent="0.15">
      <c r="A226" s="7">
        <v>220</v>
      </c>
      <c r="B226" s="7">
        <v>0</v>
      </c>
      <c r="C226">
        <f t="shared" si="9"/>
        <v>0.75586055390364359</v>
      </c>
      <c r="D226">
        <f t="shared" si="10"/>
        <v>-0.27989837232446807</v>
      </c>
    </row>
    <row r="227" spans="1:4" x14ac:dyDescent="0.15">
      <c r="A227" s="7">
        <v>221</v>
      </c>
      <c r="B227" s="7">
        <v>0</v>
      </c>
      <c r="C227">
        <f t="shared" si="9"/>
        <v>0.75586055390364359</v>
      </c>
      <c r="D227">
        <f t="shared" si="10"/>
        <v>-0.27989837232446807</v>
      </c>
    </row>
    <row r="228" spans="1:4" x14ac:dyDescent="0.15">
      <c r="A228" s="7">
        <v>222</v>
      </c>
      <c r="B228" s="7">
        <v>2</v>
      </c>
      <c r="C228">
        <f t="shared" si="9"/>
        <v>4.4062133811825943E-2</v>
      </c>
      <c r="D228">
        <f t="shared" si="10"/>
        <v>-3.1221545090977791</v>
      </c>
    </row>
    <row r="229" spans="1:4" x14ac:dyDescent="0.15">
      <c r="A229" s="7">
        <v>223</v>
      </c>
      <c r="B229" s="7">
        <v>0</v>
      </c>
      <c r="C229">
        <f t="shared" si="9"/>
        <v>0.75586055390364359</v>
      </c>
      <c r="D229">
        <f t="shared" si="10"/>
        <v>-0.27989837232446807</v>
      </c>
    </row>
    <row r="230" spans="1:4" x14ac:dyDescent="0.15">
      <c r="A230" s="7">
        <v>224</v>
      </c>
      <c r="B230" s="7">
        <v>0</v>
      </c>
      <c r="C230">
        <f t="shared" si="9"/>
        <v>0.75586055390364359</v>
      </c>
      <c r="D230">
        <f t="shared" si="10"/>
        <v>-0.27989837232446807</v>
      </c>
    </row>
    <row r="231" spans="1:4" x14ac:dyDescent="0.15">
      <c r="A231" s="7">
        <v>225</v>
      </c>
      <c r="B231" s="7">
        <v>0</v>
      </c>
      <c r="C231">
        <f t="shared" si="9"/>
        <v>0.75586055390364359</v>
      </c>
      <c r="D231">
        <f t="shared" si="10"/>
        <v>-0.27989837232446807</v>
      </c>
    </row>
    <row r="232" spans="1:4" x14ac:dyDescent="0.15">
      <c r="A232" s="7">
        <v>226</v>
      </c>
      <c r="B232" s="7">
        <v>0</v>
      </c>
      <c r="C232">
        <f t="shared" si="9"/>
        <v>0.75586055390364359</v>
      </c>
      <c r="D232">
        <f t="shared" si="10"/>
        <v>-0.27989837232446807</v>
      </c>
    </row>
    <row r="233" spans="1:4" x14ac:dyDescent="0.15">
      <c r="A233" s="7">
        <v>227</v>
      </c>
      <c r="B233" s="7">
        <v>0</v>
      </c>
      <c r="C233">
        <f t="shared" si="9"/>
        <v>0.75586055390364359</v>
      </c>
      <c r="D233">
        <f t="shared" si="10"/>
        <v>-0.27989837232446807</v>
      </c>
    </row>
    <row r="234" spans="1:4" x14ac:dyDescent="0.15">
      <c r="A234" s="7">
        <v>228</v>
      </c>
      <c r="B234" s="7">
        <v>3</v>
      </c>
      <c r="C234">
        <f t="shared" si="9"/>
        <v>2.7467996558433502E-2</v>
      </c>
      <c r="D234">
        <f t="shared" si="10"/>
        <v>-3.594733713517384</v>
      </c>
    </row>
    <row r="235" spans="1:4" x14ac:dyDescent="0.15">
      <c r="A235" s="7">
        <v>229</v>
      </c>
      <c r="B235" s="7">
        <v>0</v>
      </c>
      <c r="C235">
        <f t="shared" si="9"/>
        <v>0.75586055390364359</v>
      </c>
      <c r="D235">
        <f t="shared" si="10"/>
        <v>-0.27989837232446807</v>
      </c>
    </row>
    <row r="236" spans="1:4" x14ac:dyDescent="0.15">
      <c r="A236" s="7">
        <v>230</v>
      </c>
      <c r="B236" s="7">
        <v>0</v>
      </c>
      <c r="C236">
        <f t="shared" si="9"/>
        <v>0.75586055390364359</v>
      </c>
      <c r="D236">
        <f t="shared" si="10"/>
        <v>-0.27989837232446807</v>
      </c>
    </row>
    <row r="237" spans="1:4" x14ac:dyDescent="0.15">
      <c r="A237" s="7">
        <v>231</v>
      </c>
      <c r="B237" s="7">
        <v>0</v>
      </c>
      <c r="C237">
        <f t="shared" si="9"/>
        <v>0.75586055390364359</v>
      </c>
      <c r="D237">
        <f t="shared" si="10"/>
        <v>-0.27989837232446807</v>
      </c>
    </row>
    <row r="238" spans="1:4" x14ac:dyDescent="0.15">
      <c r="A238" s="7">
        <v>232</v>
      </c>
      <c r="B238" s="7">
        <v>0</v>
      </c>
      <c r="C238">
        <f t="shared" si="9"/>
        <v>0.75586055390364359</v>
      </c>
      <c r="D238">
        <f t="shared" si="10"/>
        <v>-0.27989837232446807</v>
      </c>
    </row>
    <row r="239" spans="1:4" x14ac:dyDescent="0.15">
      <c r="A239" s="7">
        <v>233</v>
      </c>
      <c r="B239" s="7">
        <v>0</v>
      </c>
      <c r="C239">
        <f t="shared" si="9"/>
        <v>0.75586055390364359</v>
      </c>
      <c r="D239">
        <f t="shared" si="10"/>
        <v>-0.27989837232446807</v>
      </c>
    </row>
    <row r="240" spans="1:4" x14ac:dyDescent="0.15">
      <c r="A240" s="7">
        <v>234</v>
      </c>
      <c r="B240" s="7">
        <v>0</v>
      </c>
      <c r="C240">
        <f t="shared" si="9"/>
        <v>0.75586055390364359</v>
      </c>
      <c r="D240">
        <f t="shared" si="10"/>
        <v>-0.27989837232446807</v>
      </c>
    </row>
    <row r="241" spans="1:4" x14ac:dyDescent="0.15">
      <c r="A241" s="7">
        <v>235</v>
      </c>
      <c r="B241" s="7">
        <v>0</v>
      </c>
      <c r="C241">
        <f t="shared" si="9"/>
        <v>0.75586055390364359</v>
      </c>
      <c r="D241">
        <f t="shared" si="10"/>
        <v>-0.27989837232446807</v>
      </c>
    </row>
    <row r="242" spans="1:4" x14ac:dyDescent="0.15">
      <c r="A242" s="7">
        <v>236</v>
      </c>
      <c r="B242" s="7">
        <v>0</v>
      </c>
      <c r="C242">
        <f t="shared" si="9"/>
        <v>0.75586055390364359</v>
      </c>
      <c r="D242">
        <f t="shared" si="10"/>
        <v>-0.27989837232446807</v>
      </c>
    </row>
    <row r="243" spans="1:4" x14ac:dyDescent="0.15">
      <c r="A243" s="7">
        <v>237</v>
      </c>
      <c r="B243" s="7">
        <v>0</v>
      </c>
      <c r="C243">
        <f t="shared" si="9"/>
        <v>0.75586055390364359</v>
      </c>
      <c r="D243">
        <f t="shared" si="10"/>
        <v>-0.27989837232446807</v>
      </c>
    </row>
    <row r="244" spans="1:4" x14ac:dyDescent="0.15">
      <c r="A244" s="7">
        <v>238</v>
      </c>
      <c r="B244" s="7">
        <v>3</v>
      </c>
      <c r="C244">
        <f t="shared" si="9"/>
        <v>2.7467996558433502E-2</v>
      </c>
      <c r="D244">
        <f t="shared" si="10"/>
        <v>-3.594733713517384</v>
      </c>
    </row>
    <row r="245" spans="1:4" x14ac:dyDescent="0.15">
      <c r="A245" s="7">
        <v>239</v>
      </c>
      <c r="B245" s="7">
        <v>0</v>
      </c>
      <c r="C245">
        <f t="shared" si="9"/>
        <v>0.75586055390364359</v>
      </c>
      <c r="D245">
        <f t="shared" si="10"/>
        <v>-0.27989837232446807</v>
      </c>
    </row>
    <row r="246" spans="1:4" x14ac:dyDescent="0.15">
      <c r="A246" s="7">
        <v>240</v>
      </c>
      <c r="B246" s="7">
        <v>2</v>
      </c>
      <c r="C246">
        <f t="shared" si="9"/>
        <v>4.4062133811825943E-2</v>
      </c>
      <c r="D246">
        <f t="shared" si="10"/>
        <v>-3.1221545090977791</v>
      </c>
    </row>
    <row r="247" spans="1:4" x14ac:dyDescent="0.15">
      <c r="A247" s="7">
        <v>241</v>
      </c>
      <c r="B247" s="7">
        <v>0</v>
      </c>
      <c r="C247">
        <f t="shared" si="9"/>
        <v>0.75586055390364359</v>
      </c>
      <c r="D247">
        <f t="shared" si="10"/>
        <v>-0.27989837232446807</v>
      </c>
    </row>
    <row r="248" spans="1:4" x14ac:dyDescent="0.15">
      <c r="A248" s="7">
        <v>242</v>
      </c>
      <c r="B248" s="7">
        <v>0</v>
      </c>
      <c r="C248">
        <f t="shared" si="9"/>
        <v>0.75586055390364359</v>
      </c>
      <c r="D248">
        <f t="shared" si="10"/>
        <v>-0.27989837232446807</v>
      </c>
    </row>
    <row r="249" spans="1:4" x14ac:dyDescent="0.15">
      <c r="A249" s="7">
        <v>243</v>
      </c>
      <c r="B249" s="7">
        <v>0</v>
      </c>
      <c r="C249">
        <f t="shared" si="9"/>
        <v>0.75586055390364359</v>
      </c>
      <c r="D249">
        <f t="shared" si="10"/>
        <v>-0.27989837232446807</v>
      </c>
    </row>
    <row r="250" spans="1:4" x14ac:dyDescent="0.15">
      <c r="A250" s="7">
        <v>244</v>
      </c>
      <c r="B250" s="7">
        <v>2</v>
      </c>
      <c r="C250">
        <f t="shared" si="9"/>
        <v>4.4062133811825943E-2</v>
      </c>
      <c r="D250">
        <f t="shared" si="10"/>
        <v>-3.1221545090977791</v>
      </c>
    </row>
    <row r="251" spans="1:4" x14ac:dyDescent="0.15">
      <c r="A251" s="7">
        <v>245</v>
      </c>
      <c r="B251" s="7">
        <v>2</v>
      </c>
      <c r="C251">
        <f t="shared" si="9"/>
        <v>4.4062133811825943E-2</v>
      </c>
      <c r="D251">
        <f t="shared" si="10"/>
        <v>-3.1221545090977791</v>
      </c>
    </row>
    <row r="252" spans="1:4" x14ac:dyDescent="0.15">
      <c r="A252" s="7">
        <v>246</v>
      </c>
      <c r="B252" s="7">
        <v>3</v>
      </c>
      <c r="C252">
        <f t="shared" si="9"/>
        <v>2.7467996558433502E-2</v>
      </c>
      <c r="D252">
        <f t="shared" si="10"/>
        <v>-3.594733713517384</v>
      </c>
    </row>
    <row r="253" spans="1:4" x14ac:dyDescent="0.15">
      <c r="A253" s="7">
        <v>247</v>
      </c>
      <c r="B253" s="7">
        <v>0</v>
      </c>
      <c r="C253">
        <f t="shared" si="9"/>
        <v>0.75586055390364359</v>
      </c>
      <c r="D253">
        <f t="shared" si="10"/>
        <v>-0.27989837232446807</v>
      </c>
    </row>
    <row r="254" spans="1:4" x14ac:dyDescent="0.15">
      <c r="A254" s="7">
        <v>248</v>
      </c>
      <c r="B254" s="7">
        <v>3</v>
      </c>
      <c r="C254">
        <f t="shared" si="9"/>
        <v>2.7467996558433502E-2</v>
      </c>
      <c r="D254">
        <f t="shared" si="10"/>
        <v>-3.594733713517384</v>
      </c>
    </row>
    <row r="255" spans="1:4" x14ac:dyDescent="0.15">
      <c r="A255" s="7">
        <v>249</v>
      </c>
      <c r="B255" s="7">
        <v>0</v>
      </c>
      <c r="C255">
        <f t="shared" si="9"/>
        <v>0.75586055390364359</v>
      </c>
      <c r="D255">
        <f t="shared" si="10"/>
        <v>-0.27989837232446807</v>
      </c>
    </row>
    <row r="256" spans="1:4" x14ac:dyDescent="0.15">
      <c r="A256" s="7">
        <v>250</v>
      </c>
      <c r="B256" s="7">
        <v>0</v>
      </c>
      <c r="C256">
        <f t="shared" si="9"/>
        <v>0.75586055390364359</v>
      </c>
      <c r="D256">
        <f t="shared" si="10"/>
        <v>-0.27989837232446807</v>
      </c>
    </row>
    <row r="257" spans="1:4" x14ac:dyDescent="0.15">
      <c r="A257" s="7">
        <v>251</v>
      </c>
      <c r="B257" s="7">
        <v>0</v>
      </c>
      <c r="C257">
        <f t="shared" si="9"/>
        <v>0.75586055390364359</v>
      </c>
      <c r="D257">
        <f t="shared" si="10"/>
        <v>-0.27989837232446807</v>
      </c>
    </row>
    <row r="258" spans="1:4" x14ac:dyDescent="0.15">
      <c r="A258" s="7">
        <v>252</v>
      </c>
      <c r="B258" s="7">
        <v>1</v>
      </c>
      <c r="C258">
        <f t="shared" si="9"/>
        <v>8.8678581416840763E-2</v>
      </c>
      <c r="D258">
        <f t="shared" si="10"/>
        <v>-2.4227368910146492</v>
      </c>
    </row>
    <row r="259" spans="1:4" x14ac:dyDescent="0.15">
      <c r="A259" s="7">
        <v>253</v>
      </c>
      <c r="B259" s="7">
        <v>0</v>
      </c>
      <c r="C259">
        <f t="shared" si="9"/>
        <v>0.75586055390364359</v>
      </c>
      <c r="D259">
        <f t="shared" si="10"/>
        <v>-0.27989837232446807</v>
      </c>
    </row>
    <row r="260" spans="1:4" x14ac:dyDescent="0.15">
      <c r="A260" s="7">
        <v>254</v>
      </c>
      <c r="B260" s="7">
        <v>0</v>
      </c>
      <c r="C260">
        <f t="shared" si="9"/>
        <v>0.75586055390364359</v>
      </c>
      <c r="D260">
        <f t="shared" si="10"/>
        <v>-0.27989837232446807</v>
      </c>
    </row>
    <row r="261" spans="1:4" x14ac:dyDescent="0.15">
      <c r="A261" s="7">
        <v>255</v>
      </c>
      <c r="B261" s="7">
        <v>0</v>
      </c>
      <c r="C261">
        <f t="shared" si="9"/>
        <v>0.75586055390364359</v>
      </c>
      <c r="D261">
        <f t="shared" si="10"/>
        <v>-0.27989837232446807</v>
      </c>
    </row>
    <row r="262" spans="1:4" x14ac:dyDescent="0.15">
      <c r="A262" s="7">
        <v>256</v>
      </c>
      <c r="B262" s="7">
        <v>12</v>
      </c>
      <c r="C262">
        <f t="shared" si="9"/>
        <v>2.5609330205458858E-3</v>
      </c>
      <c r="D262">
        <f t="shared" si="10"/>
        <v>-5.9673836257397612</v>
      </c>
    </row>
    <row r="263" spans="1:4" x14ac:dyDescent="0.15">
      <c r="A263" s="7">
        <v>257</v>
      </c>
      <c r="B263" s="7">
        <v>0</v>
      </c>
      <c r="C263">
        <f t="shared" si="9"/>
        <v>0.75586055390364359</v>
      </c>
      <c r="D263">
        <f t="shared" si="10"/>
        <v>-0.27989837232446807</v>
      </c>
    </row>
    <row r="264" spans="1:4" x14ac:dyDescent="0.15">
      <c r="A264" s="7">
        <v>258</v>
      </c>
      <c r="B264" s="7">
        <v>0</v>
      </c>
      <c r="C264">
        <f t="shared" ref="C264:C327" si="11">(_xlfn.GAMMA($B$1+B264)/(_xlfn.GAMMA($B$1)*FACT(B264))) * ($B$2/($B$2+$B$4))^$B$1 * (1/($B$2 +$B$4))^B264</f>
        <v>0.75586055390364359</v>
      </c>
      <c r="D264">
        <f t="shared" ref="D264:D327" si="12">LN(C264)</f>
        <v>-0.27989837232446807</v>
      </c>
    </row>
    <row r="265" spans="1:4" x14ac:dyDescent="0.15">
      <c r="A265" s="7">
        <v>259</v>
      </c>
      <c r="B265" s="7">
        <v>6</v>
      </c>
      <c r="C265">
        <f t="shared" si="11"/>
        <v>1.0248837632111705E-2</v>
      </c>
      <c r="D265">
        <f t="shared" si="12"/>
        <v>-4.5805909815733834</v>
      </c>
    </row>
    <row r="266" spans="1:4" x14ac:dyDescent="0.15">
      <c r="A266" s="7">
        <v>260</v>
      </c>
      <c r="B266" s="7">
        <v>0</v>
      </c>
      <c r="C266">
        <f t="shared" si="11"/>
        <v>0.75586055390364359</v>
      </c>
      <c r="D266">
        <f t="shared" si="12"/>
        <v>-0.27989837232446807</v>
      </c>
    </row>
    <row r="267" spans="1:4" x14ac:dyDescent="0.15">
      <c r="A267" s="7">
        <v>261</v>
      </c>
      <c r="B267" s="7">
        <v>0</v>
      </c>
      <c r="C267">
        <f t="shared" si="11"/>
        <v>0.75586055390364359</v>
      </c>
      <c r="D267">
        <f t="shared" si="12"/>
        <v>-0.27989837232446807</v>
      </c>
    </row>
    <row r="268" spans="1:4" x14ac:dyDescent="0.15">
      <c r="A268" s="7">
        <v>262</v>
      </c>
      <c r="B268" s="7">
        <v>0</v>
      </c>
      <c r="C268">
        <f t="shared" si="11"/>
        <v>0.75586055390364359</v>
      </c>
      <c r="D268">
        <f t="shared" si="12"/>
        <v>-0.27989837232446807</v>
      </c>
    </row>
    <row r="269" spans="1:4" x14ac:dyDescent="0.15">
      <c r="A269" s="7">
        <v>263</v>
      </c>
      <c r="B269" s="7">
        <v>2</v>
      </c>
      <c r="C269">
        <f t="shared" si="11"/>
        <v>4.4062133811825943E-2</v>
      </c>
      <c r="D269">
        <f t="shared" si="12"/>
        <v>-3.1221545090977791</v>
      </c>
    </row>
    <row r="270" spans="1:4" x14ac:dyDescent="0.15">
      <c r="A270" s="7">
        <v>264</v>
      </c>
      <c r="B270" s="7">
        <v>0</v>
      </c>
      <c r="C270">
        <f t="shared" si="11"/>
        <v>0.75586055390364359</v>
      </c>
      <c r="D270">
        <f t="shared" si="12"/>
        <v>-0.27989837232446807</v>
      </c>
    </row>
    <row r="271" spans="1:4" x14ac:dyDescent="0.15">
      <c r="A271" s="7">
        <v>265</v>
      </c>
      <c r="B271" s="7">
        <v>0</v>
      </c>
      <c r="C271">
        <f t="shared" si="11"/>
        <v>0.75586055390364359</v>
      </c>
      <c r="D271">
        <f t="shared" si="12"/>
        <v>-0.27989837232446807</v>
      </c>
    </row>
    <row r="272" spans="1:4" x14ac:dyDescent="0.15">
      <c r="A272" s="7">
        <v>266</v>
      </c>
      <c r="B272" s="7">
        <v>1</v>
      </c>
      <c r="C272">
        <f t="shared" si="11"/>
        <v>8.8678581416840763E-2</v>
      </c>
      <c r="D272">
        <f t="shared" si="12"/>
        <v>-2.4227368910146492</v>
      </c>
    </row>
    <row r="273" spans="1:4" x14ac:dyDescent="0.15">
      <c r="A273" s="7">
        <v>267</v>
      </c>
      <c r="B273" s="7">
        <v>16</v>
      </c>
      <c r="C273">
        <f t="shared" si="11"/>
        <v>1.1791864661569508E-3</v>
      </c>
      <c r="D273">
        <f t="shared" si="12"/>
        <v>-6.7429305137346924</v>
      </c>
    </row>
    <row r="274" spans="1:4" x14ac:dyDescent="0.15">
      <c r="A274" s="7">
        <v>268</v>
      </c>
      <c r="B274" s="7">
        <v>0</v>
      </c>
      <c r="C274">
        <f t="shared" si="11"/>
        <v>0.75586055390364359</v>
      </c>
      <c r="D274">
        <f t="shared" si="12"/>
        <v>-0.27989837232446807</v>
      </c>
    </row>
    <row r="275" spans="1:4" x14ac:dyDescent="0.15">
      <c r="A275" s="7">
        <v>269</v>
      </c>
      <c r="B275" s="7">
        <v>1</v>
      </c>
      <c r="C275">
        <f t="shared" si="11"/>
        <v>8.8678581416840763E-2</v>
      </c>
      <c r="D275">
        <f t="shared" si="12"/>
        <v>-2.4227368910146492</v>
      </c>
    </row>
    <row r="276" spans="1:4" x14ac:dyDescent="0.15">
      <c r="A276" s="7">
        <v>270</v>
      </c>
      <c r="B276" s="7">
        <v>0</v>
      </c>
      <c r="C276">
        <f t="shared" si="11"/>
        <v>0.75586055390364359</v>
      </c>
      <c r="D276">
        <f t="shared" si="12"/>
        <v>-0.27989837232446807</v>
      </c>
    </row>
    <row r="277" spans="1:4" x14ac:dyDescent="0.15">
      <c r="A277" s="7">
        <v>271</v>
      </c>
      <c r="B277" s="7">
        <v>1</v>
      </c>
      <c r="C277">
        <f t="shared" si="11"/>
        <v>8.8678581416840763E-2</v>
      </c>
      <c r="D277">
        <f t="shared" si="12"/>
        <v>-2.4227368910146492</v>
      </c>
    </row>
    <row r="278" spans="1:4" x14ac:dyDescent="0.15">
      <c r="A278" s="7">
        <v>272</v>
      </c>
      <c r="B278" s="7">
        <v>1</v>
      </c>
      <c r="C278">
        <f t="shared" si="11"/>
        <v>8.8678581416840763E-2</v>
      </c>
      <c r="D278">
        <f t="shared" si="12"/>
        <v>-2.4227368910146492</v>
      </c>
    </row>
    <row r="279" spans="1:4" x14ac:dyDescent="0.15">
      <c r="A279" s="7">
        <v>273</v>
      </c>
      <c r="B279" s="7">
        <v>0</v>
      </c>
      <c r="C279">
        <f t="shared" si="11"/>
        <v>0.75586055390364359</v>
      </c>
      <c r="D279">
        <f t="shared" si="12"/>
        <v>-0.27989837232446807</v>
      </c>
    </row>
    <row r="280" spans="1:4" x14ac:dyDescent="0.15">
      <c r="A280" s="7">
        <v>274</v>
      </c>
      <c r="B280" s="7">
        <v>0</v>
      </c>
      <c r="C280">
        <f t="shared" si="11"/>
        <v>0.75586055390364359</v>
      </c>
      <c r="D280">
        <f t="shared" si="12"/>
        <v>-0.27989837232446807</v>
      </c>
    </row>
    <row r="281" spans="1:4" x14ac:dyDescent="0.15">
      <c r="A281" s="7">
        <v>275</v>
      </c>
      <c r="B281" s="7">
        <v>0</v>
      </c>
      <c r="C281">
        <f t="shared" si="11"/>
        <v>0.75586055390364359</v>
      </c>
      <c r="D281">
        <f t="shared" si="12"/>
        <v>-0.27989837232446807</v>
      </c>
    </row>
    <row r="282" spans="1:4" x14ac:dyDescent="0.15">
      <c r="A282" s="7">
        <v>276</v>
      </c>
      <c r="B282" s="7">
        <v>1</v>
      </c>
      <c r="C282">
        <f t="shared" si="11"/>
        <v>8.8678581416840763E-2</v>
      </c>
      <c r="D282">
        <f t="shared" si="12"/>
        <v>-2.4227368910146492</v>
      </c>
    </row>
    <row r="283" spans="1:4" x14ac:dyDescent="0.15">
      <c r="A283" s="7">
        <v>277</v>
      </c>
      <c r="B283" s="7">
        <v>0</v>
      </c>
      <c r="C283">
        <f t="shared" si="11"/>
        <v>0.75586055390364359</v>
      </c>
      <c r="D283">
        <f t="shared" si="12"/>
        <v>-0.27989837232446807</v>
      </c>
    </row>
    <row r="284" spans="1:4" x14ac:dyDescent="0.15">
      <c r="A284" s="7">
        <v>278</v>
      </c>
      <c r="B284" s="7">
        <v>0</v>
      </c>
      <c r="C284">
        <f t="shared" si="11"/>
        <v>0.75586055390364359</v>
      </c>
      <c r="D284">
        <f t="shared" si="12"/>
        <v>-0.27989837232446807</v>
      </c>
    </row>
    <row r="285" spans="1:4" x14ac:dyDescent="0.15">
      <c r="A285" s="7">
        <v>279</v>
      </c>
      <c r="B285" s="7">
        <v>0</v>
      </c>
      <c r="C285">
        <f t="shared" si="11"/>
        <v>0.75586055390364359</v>
      </c>
      <c r="D285">
        <f t="shared" si="12"/>
        <v>-0.27989837232446807</v>
      </c>
    </row>
    <row r="286" spans="1:4" x14ac:dyDescent="0.15">
      <c r="A286" s="7">
        <v>280</v>
      </c>
      <c r="B286" s="7">
        <v>0</v>
      </c>
      <c r="C286">
        <f t="shared" si="11"/>
        <v>0.75586055390364359</v>
      </c>
      <c r="D286">
        <f t="shared" si="12"/>
        <v>-0.27989837232446807</v>
      </c>
    </row>
    <row r="287" spans="1:4" x14ac:dyDescent="0.15">
      <c r="A287" s="7">
        <v>281</v>
      </c>
      <c r="B287" s="7">
        <v>0</v>
      </c>
      <c r="C287">
        <f t="shared" si="11"/>
        <v>0.75586055390364359</v>
      </c>
      <c r="D287">
        <f t="shared" si="12"/>
        <v>-0.27989837232446807</v>
      </c>
    </row>
    <row r="288" spans="1:4" x14ac:dyDescent="0.15">
      <c r="A288" s="7">
        <v>282</v>
      </c>
      <c r="B288" s="7">
        <v>0</v>
      </c>
      <c r="C288">
        <f t="shared" si="11"/>
        <v>0.75586055390364359</v>
      </c>
      <c r="D288">
        <f t="shared" si="12"/>
        <v>-0.27989837232446807</v>
      </c>
    </row>
    <row r="289" spans="1:4" x14ac:dyDescent="0.15">
      <c r="A289" s="7">
        <v>283</v>
      </c>
      <c r="B289" s="7">
        <v>21</v>
      </c>
      <c r="C289">
        <f t="shared" si="11"/>
        <v>4.8222834299056961E-4</v>
      </c>
      <c r="D289">
        <f t="shared" si="12"/>
        <v>-7.6370928154490096</v>
      </c>
    </row>
    <row r="290" spans="1:4" x14ac:dyDescent="0.15">
      <c r="A290" s="7">
        <v>284</v>
      </c>
      <c r="B290" s="7">
        <v>0</v>
      </c>
      <c r="C290">
        <f t="shared" si="11"/>
        <v>0.75586055390364359</v>
      </c>
      <c r="D290">
        <f t="shared" si="12"/>
        <v>-0.27989837232446807</v>
      </c>
    </row>
    <row r="291" spans="1:4" x14ac:dyDescent="0.15">
      <c r="A291" s="7">
        <v>285</v>
      </c>
      <c r="B291" s="7">
        <v>0</v>
      </c>
      <c r="C291">
        <f t="shared" si="11"/>
        <v>0.75586055390364359</v>
      </c>
      <c r="D291">
        <f t="shared" si="12"/>
        <v>-0.27989837232446807</v>
      </c>
    </row>
    <row r="292" spans="1:4" x14ac:dyDescent="0.15">
      <c r="A292" s="7">
        <v>286</v>
      </c>
      <c r="B292" s="7">
        <v>0</v>
      </c>
      <c r="C292">
        <f t="shared" si="11"/>
        <v>0.75586055390364359</v>
      </c>
      <c r="D292">
        <f t="shared" si="12"/>
        <v>-0.27989837232446807</v>
      </c>
    </row>
    <row r="293" spans="1:4" x14ac:dyDescent="0.15">
      <c r="A293" s="7">
        <v>287</v>
      </c>
      <c r="B293" s="7">
        <v>0</v>
      </c>
      <c r="C293">
        <f t="shared" si="11"/>
        <v>0.75586055390364359</v>
      </c>
      <c r="D293">
        <f t="shared" si="12"/>
        <v>-0.27989837232446807</v>
      </c>
    </row>
    <row r="294" spans="1:4" x14ac:dyDescent="0.15">
      <c r="A294" s="7">
        <v>288</v>
      </c>
      <c r="B294" s="7">
        <v>0</v>
      </c>
      <c r="C294">
        <f t="shared" si="11"/>
        <v>0.75586055390364359</v>
      </c>
      <c r="D294">
        <f t="shared" si="12"/>
        <v>-0.27989837232446807</v>
      </c>
    </row>
    <row r="295" spans="1:4" x14ac:dyDescent="0.15">
      <c r="A295" s="7">
        <v>289</v>
      </c>
      <c r="B295" s="7">
        <v>0</v>
      </c>
      <c r="C295">
        <f t="shared" si="11"/>
        <v>0.75586055390364359</v>
      </c>
      <c r="D295">
        <f t="shared" si="12"/>
        <v>-0.27989837232446807</v>
      </c>
    </row>
    <row r="296" spans="1:4" x14ac:dyDescent="0.15">
      <c r="A296" s="7">
        <v>290</v>
      </c>
      <c r="B296" s="7">
        <v>0</v>
      </c>
      <c r="C296">
        <f t="shared" si="11"/>
        <v>0.75586055390364359</v>
      </c>
      <c r="D296">
        <f t="shared" si="12"/>
        <v>-0.27989837232446807</v>
      </c>
    </row>
    <row r="297" spans="1:4" x14ac:dyDescent="0.15">
      <c r="A297" s="7">
        <v>291</v>
      </c>
      <c r="B297" s="7">
        <v>0</v>
      </c>
      <c r="C297">
        <f t="shared" si="11"/>
        <v>0.75586055390364359</v>
      </c>
      <c r="D297">
        <f t="shared" si="12"/>
        <v>-0.27989837232446807</v>
      </c>
    </row>
    <row r="298" spans="1:4" x14ac:dyDescent="0.15">
      <c r="A298" s="7">
        <v>292</v>
      </c>
      <c r="B298" s="7">
        <v>1</v>
      </c>
      <c r="C298">
        <f t="shared" si="11"/>
        <v>8.8678581416840763E-2</v>
      </c>
      <c r="D298">
        <f t="shared" si="12"/>
        <v>-2.4227368910146492</v>
      </c>
    </row>
    <row r="299" spans="1:4" x14ac:dyDescent="0.15">
      <c r="A299" s="7">
        <v>293</v>
      </c>
      <c r="B299" s="7">
        <v>0</v>
      </c>
      <c r="C299">
        <f t="shared" si="11"/>
        <v>0.75586055390364359</v>
      </c>
      <c r="D299">
        <f t="shared" si="12"/>
        <v>-0.27989837232446807</v>
      </c>
    </row>
    <row r="300" spans="1:4" x14ac:dyDescent="0.15">
      <c r="A300" s="7">
        <v>294</v>
      </c>
      <c r="B300" s="7">
        <v>0</v>
      </c>
      <c r="C300">
        <f t="shared" si="11"/>
        <v>0.75586055390364359</v>
      </c>
      <c r="D300">
        <f t="shared" si="12"/>
        <v>-0.27989837232446807</v>
      </c>
    </row>
    <row r="301" spans="1:4" x14ac:dyDescent="0.15">
      <c r="A301" s="7">
        <v>295</v>
      </c>
      <c r="B301" s="7">
        <v>2</v>
      </c>
      <c r="C301">
        <f t="shared" si="11"/>
        <v>4.4062133811825943E-2</v>
      </c>
      <c r="D301">
        <f t="shared" si="12"/>
        <v>-3.1221545090977791</v>
      </c>
    </row>
    <row r="302" spans="1:4" x14ac:dyDescent="0.15">
      <c r="A302" s="7">
        <v>296</v>
      </c>
      <c r="B302" s="7">
        <v>0</v>
      </c>
      <c r="C302">
        <f t="shared" si="11"/>
        <v>0.75586055390364359</v>
      </c>
      <c r="D302">
        <f t="shared" si="12"/>
        <v>-0.27989837232446807</v>
      </c>
    </row>
    <row r="303" spans="1:4" x14ac:dyDescent="0.15">
      <c r="A303" s="7">
        <v>297</v>
      </c>
      <c r="B303" s="7">
        <v>0</v>
      </c>
      <c r="C303">
        <f t="shared" si="11"/>
        <v>0.75586055390364359</v>
      </c>
      <c r="D303">
        <f t="shared" si="12"/>
        <v>-0.27989837232446807</v>
      </c>
    </row>
    <row r="304" spans="1:4" x14ac:dyDescent="0.15">
      <c r="A304" s="7">
        <v>298</v>
      </c>
      <c r="B304" s="7">
        <v>0</v>
      </c>
      <c r="C304">
        <f t="shared" si="11"/>
        <v>0.75586055390364359</v>
      </c>
      <c r="D304">
        <f t="shared" si="12"/>
        <v>-0.27989837232446807</v>
      </c>
    </row>
    <row r="305" spans="1:4" x14ac:dyDescent="0.15">
      <c r="A305" s="7">
        <v>299</v>
      </c>
      <c r="B305" s="7">
        <v>0</v>
      </c>
      <c r="C305">
        <f t="shared" si="11"/>
        <v>0.75586055390364359</v>
      </c>
      <c r="D305">
        <f t="shared" si="12"/>
        <v>-0.27989837232446807</v>
      </c>
    </row>
    <row r="306" spans="1:4" x14ac:dyDescent="0.15">
      <c r="A306" s="7">
        <v>300</v>
      </c>
      <c r="B306" s="7">
        <v>0</v>
      </c>
      <c r="C306">
        <f t="shared" si="11"/>
        <v>0.75586055390364359</v>
      </c>
      <c r="D306">
        <f t="shared" si="12"/>
        <v>-0.27989837232446807</v>
      </c>
    </row>
    <row r="307" spans="1:4" x14ac:dyDescent="0.15">
      <c r="A307" s="7">
        <v>301</v>
      </c>
      <c r="B307" s="7">
        <v>0</v>
      </c>
      <c r="C307">
        <f t="shared" si="11"/>
        <v>0.75586055390364359</v>
      </c>
      <c r="D307">
        <f t="shared" si="12"/>
        <v>-0.27989837232446807</v>
      </c>
    </row>
    <row r="308" spans="1:4" x14ac:dyDescent="0.15">
      <c r="A308" s="7">
        <v>302</v>
      </c>
      <c r="B308" s="7">
        <v>0</v>
      </c>
      <c r="C308">
        <f t="shared" si="11"/>
        <v>0.75586055390364359</v>
      </c>
      <c r="D308">
        <f t="shared" si="12"/>
        <v>-0.27989837232446807</v>
      </c>
    </row>
    <row r="309" spans="1:4" x14ac:dyDescent="0.15">
      <c r="A309" s="7">
        <v>303</v>
      </c>
      <c r="B309" s="7">
        <v>0</v>
      </c>
      <c r="C309">
        <f t="shared" si="11"/>
        <v>0.75586055390364359</v>
      </c>
      <c r="D309">
        <f t="shared" si="12"/>
        <v>-0.27989837232446807</v>
      </c>
    </row>
    <row r="310" spans="1:4" x14ac:dyDescent="0.15">
      <c r="A310" s="7">
        <v>304</v>
      </c>
      <c r="B310" s="7">
        <v>0</v>
      </c>
      <c r="C310">
        <f t="shared" si="11"/>
        <v>0.75586055390364359</v>
      </c>
      <c r="D310">
        <f t="shared" si="12"/>
        <v>-0.27989837232446807</v>
      </c>
    </row>
    <row r="311" spans="1:4" x14ac:dyDescent="0.15">
      <c r="A311" s="7">
        <v>305</v>
      </c>
      <c r="B311" s="7">
        <v>3</v>
      </c>
      <c r="C311">
        <f t="shared" si="11"/>
        <v>2.7467996558433502E-2</v>
      </c>
      <c r="D311">
        <f t="shared" si="12"/>
        <v>-3.594733713517384</v>
      </c>
    </row>
    <row r="312" spans="1:4" x14ac:dyDescent="0.15">
      <c r="A312" s="7">
        <v>306</v>
      </c>
      <c r="B312" s="7">
        <v>0</v>
      </c>
      <c r="C312">
        <f t="shared" si="11"/>
        <v>0.75586055390364359</v>
      </c>
      <c r="D312">
        <f t="shared" si="12"/>
        <v>-0.27989837232446807</v>
      </c>
    </row>
    <row r="313" spans="1:4" x14ac:dyDescent="0.15">
      <c r="A313" s="7">
        <v>307</v>
      </c>
      <c r="B313" s="7">
        <v>0</v>
      </c>
      <c r="C313">
        <f t="shared" si="11"/>
        <v>0.75586055390364359</v>
      </c>
      <c r="D313">
        <f t="shared" si="12"/>
        <v>-0.27989837232446807</v>
      </c>
    </row>
    <row r="314" spans="1:4" x14ac:dyDescent="0.15">
      <c r="A314" s="7">
        <v>308</v>
      </c>
      <c r="B314" s="7">
        <v>3</v>
      </c>
      <c r="C314">
        <f t="shared" si="11"/>
        <v>2.7467996558433502E-2</v>
      </c>
      <c r="D314">
        <f t="shared" si="12"/>
        <v>-3.594733713517384</v>
      </c>
    </row>
    <row r="315" spans="1:4" x14ac:dyDescent="0.15">
      <c r="A315" s="7">
        <v>309</v>
      </c>
      <c r="B315" s="7">
        <v>1</v>
      </c>
      <c r="C315">
        <f t="shared" si="11"/>
        <v>8.8678581416840763E-2</v>
      </c>
      <c r="D315">
        <f t="shared" si="12"/>
        <v>-2.4227368910146492</v>
      </c>
    </row>
    <row r="316" spans="1:4" x14ac:dyDescent="0.15">
      <c r="A316" s="7">
        <v>310</v>
      </c>
      <c r="B316" s="7">
        <v>0</v>
      </c>
      <c r="C316">
        <f t="shared" si="11"/>
        <v>0.75586055390364359</v>
      </c>
      <c r="D316">
        <f t="shared" si="12"/>
        <v>-0.27989837232446807</v>
      </c>
    </row>
    <row r="317" spans="1:4" x14ac:dyDescent="0.15">
      <c r="A317" s="7">
        <v>311</v>
      </c>
      <c r="B317" s="7">
        <v>3</v>
      </c>
      <c r="C317">
        <f t="shared" si="11"/>
        <v>2.7467996558433502E-2</v>
      </c>
      <c r="D317">
        <f t="shared" si="12"/>
        <v>-3.594733713517384</v>
      </c>
    </row>
    <row r="318" spans="1:4" x14ac:dyDescent="0.15">
      <c r="A318" s="7">
        <v>312</v>
      </c>
      <c r="B318" s="7">
        <v>0</v>
      </c>
      <c r="C318">
        <f t="shared" si="11"/>
        <v>0.75586055390364359</v>
      </c>
      <c r="D318">
        <f t="shared" si="12"/>
        <v>-0.27989837232446807</v>
      </c>
    </row>
    <row r="319" spans="1:4" x14ac:dyDescent="0.15">
      <c r="A319" s="7">
        <v>313</v>
      </c>
      <c r="B319" s="7">
        <v>0</v>
      </c>
      <c r="C319">
        <f t="shared" si="11"/>
        <v>0.75586055390364359</v>
      </c>
      <c r="D319">
        <f t="shared" si="12"/>
        <v>-0.27989837232446807</v>
      </c>
    </row>
    <row r="320" spans="1:4" x14ac:dyDescent="0.15">
      <c r="A320" s="7">
        <v>314</v>
      </c>
      <c r="B320" s="7">
        <v>0</v>
      </c>
      <c r="C320">
        <f t="shared" si="11"/>
        <v>0.75586055390364359</v>
      </c>
      <c r="D320">
        <f t="shared" si="12"/>
        <v>-0.27989837232446807</v>
      </c>
    </row>
    <row r="321" spans="1:4" x14ac:dyDescent="0.15">
      <c r="A321" s="7">
        <v>315</v>
      </c>
      <c r="B321" s="7">
        <v>0</v>
      </c>
      <c r="C321">
        <f t="shared" si="11"/>
        <v>0.75586055390364359</v>
      </c>
      <c r="D321">
        <f t="shared" si="12"/>
        <v>-0.27989837232446807</v>
      </c>
    </row>
    <row r="322" spans="1:4" x14ac:dyDescent="0.15">
      <c r="A322" s="7">
        <v>316</v>
      </c>
      <c r="B322" s="7">
        <v>0</v>
      </c>
      <c r="C322">
        <f t="shared" si="11"/>
        <v>0.75586055390364359</v>
      </c>
      <c r="D322">
        <f t="shared" si="12"/>
        <v>-0.27989837232446807</v>
      </c>
    </row>
    <row r="323" spans="1:4" x14ac:dyDescent="0.15">
      <c r="A323" s="7">
        <v>317</v>
      </c>
      <c r="B323" s="7">
        <v>0</v>
      </c>
      <c r="C323">
        <f t="shared" si="11"/>
        <v>0.75586055390364359</v>
      </c>
      <c r="D323">
        <f t="shared" si="12"/>
        <v>-0.27989837232446807</v>
      </c>
    </row>
    <row r="324" spans="1:4" x14ac:dyDescent="0.15">
      <c r="A324" s="7">
        <v>318</v>
      </c>
      <c r="B324" s="7">
        <v>2</v>
      </c>
      <c r="C324">
        <f t="shared" si="11"/>
        <v>4.4062133811825943E-2</v>
      </c>
      <c r="D324">
        <f t="shared" si="12"/>
        <v>-3.1221545090977791</v>
      </c>
    </row>
    <row r="325" spans="1:4" x14ac:dyDescent="0.15">
      <c r="A325" s="7">
        <v>319</v>
      </c>
      <c r="B325" s="7">
        <v>0</v>
      </c>
      <c r="C325">
        <f t="shared" si="11"/>
        <v>0.75586055390364359</v>
      </c>
      <c r="D325">
        <f t="shared" si="12"/>
        <v>-0.27989837232446807</v>
      </c>
    </row>
    <row r="326" spans="1:4" x14ac:dyDescent="0.15">
      <c r="A326" s="7">
        <v>320</v>
      </c>
      <c r="B326" s="7">
        <v>3</v>
      </c>
      <c r="C326">
        <f t="shared" si="11"/>
        <v>2.7467996558433502E-2</v>
      </c>
      <c r="D326">
        <f t="shared" si="12"/>
        <v>-3.594733713517384</v>
      </c>
    </row>
    <row r="327" spans="1:4" x14ac:dyDescent="0.15">
      <c r="A327" s="7">
        <v>321</v>
      </c>
      <c r="B327" s="7">
        <v>1</v>
      </c>
      <c r="C327">
        <f t="shared" si="11"/>
        <v>8.8678581416840763E-2</v>
      </c>
      <c r="D327">
        <f t="shared" si="12"/>
        <v>-2.4227368910146492</v>
      </c>
    </row>
    <row r="328" spans="1:4" x14ac:dyDescent="0.15">
      <c r="A328" s="7">
        <v>322</v>
      </c>
      <c r="B328" s="7">
        <v>28</v>
      </c>
      <c r="C328">
        <f t="shared" ref="C328:C391" si="13">(_xlfn.GAMMA($B$1+B328)/(_xlfn.GAMMA($B$1)*FACT(B328))) * ($B$2/($B$2+$B$4))^$B$1 * (1/($B$2 +$B$4))^B328</f>
        <v>1.4940135638053225E-4</v>
      </c>
      <c r="D328">
        <f t="shared" ref="D328:D391" si="14">LN(C328)</f>
        <v>-8.8088742064544796</v>
      </c>
    </row>
    <row r="329" spans="1:4" x14ac:dyDescent="0.15">
      <c r="A329" s="7">
        <v>323</v>
      </c>
      <c r="B329" s="7">
        <v>0</v>
      </c>
      <c r="C329">
        <f t="shared" si="13"/>
        <v>0.75586055390364359</v>
      </c>
      <c r="D329">
        <f t="shared" si="14"/>
        <v>-0.27989837232446807</v>
      </c>
    </row>
    <row r="330" spans="1:4" x14ac:dyDescent="0.15">
      <c r="A330" s="7">
        <v>324</v>
      </c>
      <c r="B330" s="7">
        <v>0</v>
      </c>
      <c r="C330">
        <f t="shared" si="13"/>
        <v>0.75586055390364359</v>
      </c>
      <c r="D330">
        <f t="shared" si="14"/>
        <v>-0.27989837232446807</v>
      </c>
    </row>
    <row r="331" spans="1:4" x14ac:dyDescent="0.15">
      <c r="A331" s="7">
        <v>325</v>
      </c>
      <c r="B331" s="7">
        <v>1</v>
      </c>
      <c r="C331">
        <f t="shared" si="13"/>
        <v>8.8678581416840763E-2</v>
      </c>
      <c r="D331">
        <f t="shared" si="14"/>
        <v>-2.4227368910146492</v>
      </c>
    </row>
    <row r="332" spans="1:4" x14ac:dyDescent="0.15">
      <c r="A332" s="7">
        <v>326</v>
      </c>
      <c r="B332" s="7">
        <v>0</v>
      </c>
      <c r="C332">
        <f t="shared" si="13"/>
        <v>0.75586055390364359</v>
      </c>
      <c r="D332">
        <f t="shared" si="14"/>
        <v>-0.27989837232446807</v>
      </c>
    </row>
    <row r="333" spans="1:4" x14ac:dyDescent="0.15">
      <c r="A333" s="7">
        <v>327</v>
      </c>
      <c r="B333" s="7">
        <v>0</v>
      </c>
      <c r="C333">
        <f t="shared" si="13"/>
        <v>0.75586055390364359</v>
      </c>
      <c r="D333">
        <f t="shared" si="14"/>
        <v>-0.27989837232446807</v>
      </c>
    </row>
    <row r="334" spans="1:4" x14ac:dyDescent="0.15">
      <c r="A334" s="7">
        <v>328</v>
      </c>
      <c r="B334" s="7">
        <v>1</v>
      </c>
      <c r="C334">
        <f t="shared" si="13"/>
        <v>8.8678581416840763E-2</v>
      </c>
      <c r="D334">
        <f t="shared" si="14"/>
        <v>-2.4227368910146492</v>
      </c>
    </row>
    <row r="335" spans="1:4" x14ac:dyDescent="0.15">
      <c r="A335" s="7">
        <v>329</v>
      </c>
      <c r="B335" s="7">
        <v>1</v>
      </c>
      <c r="C335">
        <f t="shared" si="13"/>
        <v>8.8678581416840763E-2</v>
      </c>
      <c r="D335">
        <f t="shared" si="14"/>
        <v>-2.4227368910146492</v>
      </c>
    </row>
    <row r="336" spans="1:4" x14ac:dyDescent="0.15">
      <c r="A336" s="7">
        <v>330</v>
      </c>
      <c r="B336" s="7">
        <v>0</v>
      </c>
      <c r="C336">
        <f t="shared" si="13"/>
        <v>0.75586055390364359</v>
      </c>
      <c r="D336">
        <f t="shared" si="14"/>
        <v>-0.27989837232446807</v>
      </c>
    </row>
    <row r="337" spans="1:4" x14ac:dyDescent="0.15">
      <c r="A337" s="7">
        <v>331</v>
      </c>
      <c r="B337" s="7">
        <v>1</v>
      </c>
      <c r="C337">
        <f t="shared" si="13"/>
        <v>8.8678581416840763E-2</v>
      </c>
      <c r="D337">
        <f t="shared" si="14"/>
        <v>-2.4227368910146492</v>
      </c>
    </row>
    <row r="338" spans="1:4" x14ac:dyDescent="0.15">
      <c r="A338" s="7">
        <v>332</v>
      </c>
      <c r="B338" s="7">
        <v>0</v>
      </c>
      <c r="C338">
        <f t="shared" si="13"/>
        <v>0.75586055390364359</v>
      </c>
      <c r="D338">
        <f t="shared" si="14"/>
        <v>-0.27989837232446807</v>
      </c>
    </row>
    <row r="339" spans="1:4" x14ac:dyDescent="0.15">
      <c r="A339" s="7">
        <v>333</v>
      </c>
      <c r="B339" s="7">
        <v>0</v>
      </c>
      <c r="C339">
        <f t="shared" si="13"/>
        <v>0.75586055390364359</v>
      </c>
      <c r="D339">
        <f t="shared" si="14"/>
        <v>-0.27989837232446807</v>
      </c>
    </row>
    <row r="340" spans="1:4" x14ac:dyDescent="0.15">
      <c r="A340" s="7">
        <v>334</v>
      </c>
      <c r="B340" s="7">
        <v>2</v>
      </c>
      <c r="C340">
        <f t="shared" si="13"/>
        <v>4.4062133811825943E-2</v>
      </c>
      <c r="D340">
        <f t="shared" si="14"/>
        <v>-3.1221545090977791</v>
      </c>
    </row>
    <row r="341" spans="1:4" x14ac:dyDescent="0.15">
      <c r="A341" s="7">
        <v>335</v>
      </c>
      <c r="B341" s="7">
        <v>1</v>
      </c>
      <c r="C341">
        <f t="shared" si="13"/>
        <v>8.8678581416840763E-2</v>
      </c>
      <c r="D341">
        <f t="shared" si="14"/>
        <v>-2.4227368910146492</v>
      </c>
    </row>
    <row r="342" spans="1:4" x14ac:dyDescent="0.15">
      <c r="A342" s="7">
        <v>336</v>
      </c>
      <c r="B342" s="7">
        <v>0</v>
      </c>
      <c r="C342">
        <f t="shared" si="13"/>
        <v>0.75586055390364359</v>
      </c>
      <c r="D342">
        <f t="shared" si="14"/>
        <v>-0.27989837232446807</v>
      </c>
    </row>
    <row r="343" spans="1:4" x14ac:dyDescent="0.15">
      <c r="A343" s="7">
        <v>337</v>
      </c>
      <c r="B343" s="7">
        <v>0</v>
      </c>
      <c r="C343">
        <f t="shared" si="13"/>
        <v>0.75586055390364359</v>
      </c>
      <c r="D343">
        <f t="shared" si="14"/>
        <v>-0.27989837232446807</v>
      </c>
    </row>
    <row r="344" spans="1:4" x14ac:dyDescent="0.15">
      <c r="A344" s="7">
        <v>338</v>
      </c>
      <c r="B344" s="7">
        <v>0</v>
      </c>
      <c r="C344">
        <f t="shared" si="13"/>
        <v>0.75586055390364359</v>
      </c>
      <c r="D344">
        <f t="shared" si="14"/>
        <v>-0.27989837232446807</v>
      </c>
    </row>
    <row r="345" spans="1:4" x14ac:dyDescent="0.15">
      <c r="A345" s="7">
        <v>339</v>
      </c>
      <c r="B345" s="7">
        <v>0</v>
      </c>
      <c r="C345">
        <f t="shared" si="13"/>
        <v>0.75586055390364359</v>
      </c>
      <c r="D345">
        <f t="shared" si="14"/>
        <v>-0.27989837232446807</v>
      </c>
    </row>
    <row r="346" spans="1:4" x14ac:dyDescent="0.15">
      <c r="A346" s="7">
        <v>340</v>
      </c>
      <c r="B346" s="7">
        <v>0</v>
      </c>
      <c r="C346">
        <f t="shared" si="13"/>
        <v>0.75586055390364359</v>
      </c>
      <c r="D346">
        <f t="shared" si="14"/>
        <v>-0.27989837232446807</v>
      </c>
    </row>
    <row r="347" spans="1:4" x14ac:dyDescent="0.15">
      <c r="A347" s="7">
        <v>341</v>
      </c>
      <c r="B347" s="7">
        <v>0</v>
      </c>
      <c r="C347">
        <f t="shared" si="13"/>
        <v>0.75586055390364359</v>
      </c>
      <c r="D347">
        <f t="shared" si="14"/>
        <v>-0.27989837232446807</v>
      </c>
    </row>
    <row r="348" spans="1:4" x14ac:dyDescent="0.15">
      <c r="A348" s="7">
        <v>342</v>
      </c>
      <c r="B348" s="7">
        <v>1</v>
      </c>
      <c r="C348">
        <f t="shared" si="13"/>
        <v>8.8678581416840763E-2</v>
      </c>
      <c r="D348">
        <f t="shared" si="14"/>
        <v>-2.4227368910146492</v>
      </c>
    </row>
    <row r="349" spans="1:4" x14ac:dyDescent="0.15">
      <c r="A349" s="7">
        <v>343</v>
      </c>
      <c r="B349" s="7">
        <v>0</v>
      </c>
      <c r="C349">
        <f t="shared" si="13"/>
        <v>0.75586055390364359</v>
      </c>
      <c r="D349">
        <f t="shared" si="14"/>
        <v>-0.27989837232446807</v>
      </c>
    </row>
    <row r="350" spans="1:4" x14ac:dyDescent="0.15">
      <c r="A350" s="7">
        <v>344</v>
      </c>
      <c r="B350" s="7">
        <v>0</v>
      </c>
      <c r="C350">
        <f t="shared" si="13"/>
        <v>0.75586055390364359</v>
      </c>
      <c r="D350">
        <f t="shared" si="14"/>
        <v>-0.27989837232446807</v>
      </c>
    </row>
    <row r="351" spans="1:4" x14ac:dyDescent="0.15">
      <c r="A351" s="7">
        <v>345</v>
      </c>
      <c r="B351" s="7">
        <v>0</v>
      </c>
      <c r="C351">
        <f t="shared" si="13"/>
        <v>0.75586055390364359</v>
      </c>
      <c r="D351">
        <f t="shared" si="14"/>
        <v>-0.27989837232446807</v>
      </c>
    </row>
    <row r="352" spans="1:4" x14ac:dyDescent="0.15">
      <c r="A352" s="7">
        <v>346</v>
      </c>
      <c r="B352" s="7">
        <v>1</v>
      </c>
      <c r="C352">
        <f t="shared" si="13"/>
        <v>8.8678581416840763E-2</v>
      </c>
      <c r="D352">
        <f t="shared" si="14"/>
        <v>-2.4227368910146492</v>
      </c>
    </row>
    <row r="353" spans="1:4" x14ac:dyDescent="0.15">
      <c r="A353" s="7">
        <v>347</v>
      </c>
      <c r="B353" s="7">
        <v>0</v>
      </c>
      <c r="C353">
        <f t="shared" si="13"/>
        <v>0.75586055390364359</v>
      </c>
      <c r="D353">
        <f t="shared" si="14"/>
        <v>-0.27989837232446807</v>
      </c>
    </row>
    <row r="354" spans="1:4" x14ac:dyDescent="0.15">
      <c r="A354" s="7">
        <v>348</v>
      </c>
      <c r="B354" s="7">
        <v>0</v>
      </c>
      <c r="C354">
        <f t="shared" si="13"/>
        <v>0.75586055390364359</v>
      </c>
      <c r="D354">
        <f t="shared" si="14"/>
        <v>-0.27989837232446807</v>
      </c>
    </row>
    <row r="355" spans="1:4" x14ac:dyDescent="0.15">
      <c r="A355" s="7">
        <v>349</v>
      </c>
      <c r="B355" s="7">
        <v>0</v>
      </c>
      <c r="C355">
        <f t="shared" si="13"/>
        <v>0.75586055390364359</v>
      </c>
      <c r="D355">
        <f t="shared" si="14"/>
        <v>-0.27989837232446807</v>
      </c>
    </row>
    <row r="356" spans="1:4" x14ac:dyDescent="0.15">
      <c r="A356" s="7">
        <v>350</v>
      </c>
      <c r="B356" s="7">
        <v>0</v>
      </c>
      <c r="C356">
        <f t="shared" si="13"/>
        <v>0.75586055390364359</v>
      </c>
      <c r="D356">
        <f t="shared" si="14"/>
        <v>-0.27989837232446807</v>
      </c>
    </row>
    <row r="357" spans="1:4" x14ac:dyDescent="0.15">
      <c r="A357" s="7">
        <v>351</v>
      </c>
      <c r="B357" s="7">
        <v>0</v>
      </c>
      <c r="C357">
        <f t="shared" si="13"/>
        <v>0.75586055390364359</v>
      </c>
      <c r="D357">
        <f t="shared" si="14"/>
        <v>-0.27989837232446807</v>
      </c>
    </row>
    <row r="358" spans="1:4" x14ac:dyDescent="0.15">
      <c r="A358" s="7">
        <v>352</v>
      </c>
      <c r="B358" s="7">
        <v>0</v>
      </c>
      <c r="C358">
        <f t="shared" si="13"/>
        <v>0.75586055390364359</v>
      </c>
      <c r="D358">
        <f t="shared" si="14"/>
        <v>-0.27989837232446807</v>
      </c>
    </row>
    <row r="359" spans="1:4" x14ac:dyDescent="0.15">
      <c r="A359" s="7">
        <v>353</v>
      </c>
      <c r="B359" s="7">
        <v>4</v>
      </c>
      <c r="C359">
        <f t="shared" si="13"/>
        <v>1.8860933071470173E-2</v>
      </c>
      <c r="D359">
        <f t="shared" si="14"/>
        <v>-3.9706625294337847</v>
      </c>
    </row>
    <row r="360" spans="1:4" x14ac:dyDescent="0.15">
      <c r="A360" s="7">
        <v>354</v>
      </c>
      <c r="B360" s="7">
        <v>0</v>
      </c>
      <c r="C360">
        <f t="shared" si="13"/>
        <v>0.75586055390364359</v>
      </c>
      <c r="D360">
        <f t="shared" si="14"/>
        <v>-0.27989837232446807</v>
      </c>
    </row>
    <row r="361" spans="1:4" x14ac:dyDescent="0.15">
      <c r="A361" s="7">
        <v>355</v>
      </c>
      <c r="B361" s="7">
        <v>15</v>
      </c>
      <c r="C361">
        <f t="shared" si="13"/>
        <v>1.4224483572011716E-3</v>
      </c>
      <c r="D361">
        <f t="shared" si="14"/>
        <v>-6.5553756968750552</v>
      </c>
    </row>
    <row r="362" spans="1:4" x14ac:dyDescent="0.15">
      <c r="A362" s="7">
        <v>356</v>
      </c>
      <c r="B362" s="7">
        <v>12</v>
      </c>
      <c r="C362">
        <f t="shared" si="13"/>
        <v>2.5609330205458858E-3</v>
      </c>
      <c r="D362">
        <f t="shared" si="14"/>
        <v>-5.9673836257397612</v>
      </c>
    </row>
    <row r="363" spans="1:4" x14ac:dyDescent="0.15">
      <c r="A363" s="7">
        <v>357</v>
      </c>
      <c r="B363" s="7">
        <v>0</v>
      </c>
      <c r="C363">
        <f t="shared" si="13"/>
        <v>0.75586055390364359</v>
      </c>
      <c r="D363">
        <f t="shared" si="14"/>
        <v>-0.27989837232446807</v>
      </c>
    </row>
    <row r="364" spans="1:4" x14ac:dyDescent="0.15">
      <c r="A364" s="7">
        <v>358</v>
      </c>
      <c r="B364" s="7">
        <v>4</v>
      </c>
      <c r="C364">
        <f t="shared" si="13"/>
        <v>1.8860933071470173E-2</v>
      </c>
      <c r="D364">
        <f t="shared" si="14"/>
        <v>-3.9706625294337847</v>
      </c>
    </row>
    <row r="365" spans="1:4" x14ac:dyDescent="0.15">
      <c r="A365" s="7">
        <v>359</v>
      </c>
      <c r="B365" s="7">
        <v>0</v>
      </c>
      <c r="C365">
        <f t="shared" si="13"/>
        <v>0.75586055390364359</v>
      </c>
      <c r="D365">
        <f t="shared" si="14"/>
        <v>-0.27989837232446807</v>
      </c>
    </row>
    <row r="366" spans="1:4" x14ac:dyDescent="0.15">
      <c r="A366" s="7">
        <v>360</v>
      </c>
      <c r="B366" s="7">
        <v>1</v>
      </c>
      <c r="C366">
        <f t="shared" si="13"/>
        <v>8.8678581416840763E-2</v>
      </c>
      <c r="D366">
        <f t="shared" si="14"/>
        <v>-2.4227368910146492</v>
      </c>
    </row>
    <row r="367" spans="1:4" x14ac:dyDescent="0.15">
      <c r="A367" s="7">
        <v>361</v>
      </c>
      <c r="B367" s="7">
        <v>0</v>
      </c>
      <c r="C367">
        <f t="shared" si="13"/>
        <v>0.75586055390364359</v>
      </c>
      <c r="D367">
        <f t="shared" si="14"/>
        <v>-0.27989837232446807</v>
      </c>
    </row>
    <row r="368" spans="1:4" x14ac:dyDescent="0.15">
      <c r="A368" s="7">
        <v>362</v>
      </c>
      <c r="B368" s="7">
        <v>0</v>
      </c>
      <c r="C368">
        <f t="shared" si="13"/>
        <v>0.75586055390364359</v>
      </c>
      <c r="D368">
        <f t="shared" si="14"/>
        <v>-0.27989837232446807</v>
      </c>
    </row>
    <row r="369" spans="1:4" x14ac:dyDescent="0.15">
      <c r="A369" s="7">
        <v>363</v>
      </c>
      <c r="B369" s="7">
        <v>0</v>
      </c>
      <c r="C369">
        <f t="shared" si="13"/>
        <v>0.75586055390364359</v>
      </c>
      <c r="D369">
        <f t="shared" si="14"/>
        <v>-0.27989837232446807</v>
      </c>
    </row>
    <row r="370" spans="1:4" x14ac:dyDescent="0.15">
      <c r="A370" s="7">
        <v>364</v>
      </c>
      <c r="B370" s="7">
        <v>0</v>
      </c>
      <c r="C370">
        <f t="shared" si="13"/>
        <v>0.75586055390364359</v>
      </c>
      <c r="D370">
        <f t="shared" si="14"/>
        <v>-0.27989837232446807</v>
      </c>
    </row>
    <row r="371" spans="1:4" x14ac:dyDescent="0.15">
      <c r="A371" s="7">
        <v>365</v>
      </c>
      <c r="B371" s="7">
        <v>0</v>
      </c>
      <c r="C371">
        <f t="shared" si="13"/>
        <v>0.75586055390364359</v>
      </c>
      <c r="D371">
        <f t="shared" si="14"/>
        <v>-0.27989837232446807</v>
      </c>
    </row>
    <row r="372" spans="1:4" x14ac:dyDescent="0.15">
      <c r="A372" s="7">
        <v>366</v>
      </c>
      <c r="B372" s="7">
        <v>0</v>
      </c>
      <c r="C372">
        <f t="shared" si="13"/>
        <v>0.75586055390364359</v>
      </c>
      <c r="D372">
        <f t="shared" si="14"/>
        <v>-0.27989837232446807</v>
      </c>
    </row>
    <row r="373" spans="1:4" x14ac:dyDescent="0.15">
      <c r="A373" s="7">
        <v>367</v>
      </c>
      <c r="B373" s="7">
        <v>1</v>
      </c>
      <c r="C373">
        <f t="shared" si="13"/>
        <v>8.8678581416840763E-2</v>
      </c>
      <c r="D373">
        <f t="shared" si="14"/>
        <v>-2.4227368910146492</v>
      </c>
    </row>
    <row r="374" spans="1:4" x14ac:dyDescent="0.15">
      <c r="A374" s="7">
        <v>368</v>
      </c>
      <c r="B374" s="7">
        <v>2</v>
      </c>
      <c r="C374">
        <f t="shared" si="13"/>
        <v>4.4062133811825943E-2</v>
      </c>
      <c r="D374">
        <f t="shared" si="14"/>
        <v>-3.1221545090977791</v>
      </c>
    </row>
    <row r="375" spans="1:4" x14ac:dyDescent="0.15">
      <c r="A375" s="7">
        <v>369</v>
      </c>
      <c r="B375" s="7">
        <v>2</v>
      </c>
      <c r="C375">
        <f t="shared" si="13"/>
        <v>4.4062133811825943E-2</v>
      </c>
      <c r="D375">
        <f t="shared" si="14"/>
        <v>-3.1221545090977791</v>
      </c>
    </row>
    <row r="376" spans="1:4" x14ac:dyDescent="0.15">
      <c r="A376" s="7">
        <v>370</v>
      </c>
      <c r="B376" s="7">
        <v>0</v>
      </c>
      <c r="C376">
        <f t="shared" si="13"/>
        <v>0.75586055390364359</v>
      </c>
      <c r="D376">
        <f t="shared" si="14"/>
        <v>-0.27989837232446807</v>
      </c>
    </row>
    <row r="377" spans="1:4" x14ac:dyDescent="0.15">
      <c r="A377" s="7">
        <v>371</v>
      </c>
      <c r="B377" s="7">
        <v>0</v>
      </c>
      <c r="C377">
        <f t="shared" si="13"/>
        <v>0.75586055390364359</v>
      </c>
      <c r="D377">
        <f t="shared" si="14"/>
        <v>-0.27989837232446807</v>
      </c>
    </row>
    <row r="378" spans="1:4" x14ac:dyDescent="0.15">
      <c r="A378" s="7">
        <v>372</v>
      </c>
      <c r="B378" s="7">
        <v>0</v>
      </c>
      <c r="C378">
        <f t="shared" si="13"/>
        <v>0.75586055390364359</v>
      </c>
      <c r="D378">
        <f t="shared" si="14"/>
        <v>-0.27989837232446807</v>
      </c>
    </row>
    <row r="379" spans="1:4" x14ac:dyDescent="0.15">
      <c r="A379" s="7">
        <v>373</v>
      </c>
      <c r="B379" s="7">
        <v>0</v>
      </c>
      <c r="C379">
        <f t="shared" si="13"/>
        <v>0.75586055390364359</v>
      </c>
      <c r="D379">
        <f t="shared" si="14"/>
        <v>-0.27989837232446807</v>
      </c>
    </row>
    <row r="380" spans="1:4" x14ac:dyDescent="0.15">
      <c r="A380" s="7">
        <v>374</v>
      </c>
      <c r="B380" s="7">
        <v>25</v>
      </c>
      <c r="C380">
        <f t="shared" si="13"/>
        <v>2.4475226455719103E-4</v>
      </c>
      <c r="D380">
        <f t="shared" si="14"/>
        <v>-8.3152640240645237</v>
      </c>
    </row>
    <row r="381" spans="1:4" x14ac:dyDescent="0.15">
      <c r="A381" s="7">
        <v>375</v>
      </c>
      <c r="B381" s="7">
        <v>0</v>
      </c>
      <c r="C381">
        <f t="shared" si="13"/>
        <v>0.75586055390364359</v>
      </c>
      <c r="D381">
        <f t="shared" si="14"/>
        <v>-0.27989837232446807</v>
      </c>
    </row>
    <row r="382" spans="1:4" x14ac:dyDescent="0.15">
      <c r="A382" s="7">
        <v>376</v>
      </c>
      <c r="B382" s="7">
        <v>0</v>
      </c>
      <c r="C382">
        <f t="shared" si="13"/>
        <v>0.75586055390364359</v>
      </c>
      <c r="D382">
        <f t="shared" si="14"/>
        <v>-0.27989837232446807</v>
      </c>
    </row>
    <row r="383" spans="1:4" x14ac:dyDescent="0.15">
      <c r="A383" s="7">
        <v>377</v>
      </c>
      <c r="B383" s="7">
        <v>0</v>
      </c>
      <c r="C383">
        <f t="shared" si="13"/>
        <v>0.75586055390364359</v>
      </c>
      <c r="D383">
        <f t="shared" si="14"/>
        <v>-0.27989837232446807</v>
      </c>
    </row>
    <row r="384" spans="1:4" x14ac:dyDescent="0.15">
      <c r="A384" s="7">
        <v>378</v>
      </c>
      <c r="B384" s="7">
        <v>1</v>
      </c>
      <c r="C384">
        <f t="shared" si="13"/>
        <v>8.8678581416840763E-2</v>
      </c>
      <c r="D384">
        <f t="shared" si="14"/>
        <v>-2.4227368910146492</v>
      </c>
    </row>
    <row r="385" spans="1:4" x14ac:dyDescent="0.15">
      <c r="A385" s="7">
        <v>379</v>
      </c>
      <c r="B385" s="7">
        <v>0</v>
      </c>
      <c r="C385">
        <f t="shared" si="13"/>
        <v>0.75586055390364359</v>
      </c>
      <c r="D385">
        <f t="shared" si="14"/>
        <v>-0.27989837232446807</v>
      </c>
    </row>
    <row r="386" spans="1:4" x14ac:dyDescent="0.15">
      <c r="A386" s="7">
        <v>380</v>
      </c>
      <c r="B386" s="7">
        <v>0</v>
      </c>
      <c r="C386">
        <f t="shared" si="13"/>
        <v>0.75586055390364359</v>
      </c>
      <c r="D386">
        <f t="shared" si="14"/>
        <v>-0.27989837232446807</v>
      </c>
    </row>
    <row r="387" spans="1:4" x14ac:dyDescent="0.15">
      <c r="A387" s="7">
        <v>381</v>
      </c>
      <c r="B387" s="7">
        <v>0</v>
      </c>
      <c r="C387">
        <f t="shared" si="13"/>
        <v>0.75586055390364359</v>
      </c>
      <c r="D387">
        <f t="shared" si="14"/>
        <v>-0.27989837232446807</v>
      </c>
    </row>
    <row r="388" spans="1:4" x14ac:dyDescent="0.15">
      <c r="A388" s="7">
        <v>382</v>
      </c>
      <c r="B388" s="7">
        <v>0</v>
      </c>
      <c r="C388">
        <f t="shared" si="13"/>
        <v>0.75586055390364359</v>
      </c>
      <c r="D388">
        <f t="shared" si="14"/>
        <v>-0.27989837232446807</v>
      </c>
    </row>
    <row r="389" spans="1:4" x14ac:dyDescent="0.15">
      <c r="A389" s="7">
        <v>383</v>
      </c>
      <c r="B389" s="7">
        <v>3</v>
      </c>
      <c r="C389">
        <f t="shared" si="13"/>
        <v>2.7467996558433502E-2</v>
      </c>
      <c r="D389">
        <f t="shared" si="14"/>
        <v>-3.594733713517384</v>
      </c>
    </row>
    <row r="390" spans="1:4" x14ac:dyDescent="0.15">
      <c r="A390" s="7">
        <v>384</v>
      </c>
      <c r="B390" s="7">
        <v>0</v>
      </c>
      <c r="C390">
        <f t="shared" si="13"/>
        <v>0.75586055390364359</v>
      </c>
      <c r="D390">
        <f t="shared" si="14"/>
        <v>-0.27989837232446807</v>
      </c>
    </row>
    <row r="391" spans="1:4" x14ac:dyDescent="0.15">
      <c r="A391" s="7">
        <v>385</v>
      </c>
      <c r="B391" s="7">
        <v>0</v>
      </c>
      <c r="C391">
        <f t="shared" si="13"/>
        <v>0.75586055390364359</v>
      </c>
      <c r="D391">
        <f t="shared" si="14"/>
        <v>-0.27989837232446807</v>
      </c>
    </row>
    <row r="392" spans="1:4" x14ac:dyDescent="0.15">
      <c r="A392" s="7">
        <v>386</v>
      </c>
      <c r="B392" s="7">
        <v>1</v>
      </c>
      <c r="C392">
        <f t="shared" ref="C392:C455" si="15">(_xlfn.GAMMA($B$1+B392)/(_xlfn.GAMMA($B$1)*FACT(B392))) * ($B$2/($B$2+$B$4))^$B$1 * (1/($B$2 +$B$4))^B392</f>
        <v>8.8678581416840763E-2</v>
      </c>
      <c r="D392">
        <f t="shared" ref="D392:D455" si="16">LN(C392)</f>
        <v>-2.4227368910146492</v>
      </c>
    </row>
    <row r="393" spans="1:4" x14ac:dyDescent="0.15">
      <c r="A393" s="7">
        <v>387</v>
      </c>
      <c r="B393" s="7">
        <v>1</v>
      </c>
      <c r="C393">
        <f t="shared" si="15"/>
        <v>8.8678581416840763E-2</v>
      </c>
      <c r="D393">
        <f t="shared" si="16"/>
        <v>-2.4227368910146492</v>
      </c>
    </row>
    <row r="394" spans="1:4" x14ac:dyDescent="0.15">
      <c r="A394" s="7">
        <v>388</v>
      </c>
      <c r="B394" s="7">
        <v>0</v>
      </c>
      <c r="C394">
        <f t="shared" si="15"/>
        <v>0.75586055390364359</v>
      </c>
      <c r="D394">
        <f t="shared" si="16"/>
        <v>-0.27989837232446807</v>
      </c>
    </row>
    <row r="395" spans="1:4" x14ac:dyDescent="0.15">
      <c r="A395" s="7">
        <v>389</v>
      </c>
      <c r="B395" s="7">
        <v>0</v>
      </c>
      <c r="C395">
        <f t="shared" si="15"/>
        <v>0.75586055390364359</v>
      </c>
      <c r="D395">
        <f t="shared" si="16"/>
        <v>-0.27989837232446807</v>
      </c>
    </row>
    <row r="396" spans="1:4" x14ac:dyDescent="0.15">
      <c r="A396" s="7">
        <v>390</v>
      </c>
      <c r="B396" s="7">
        <v>0</v>
      </c>
      <c r="C396">
        <f t="shared" si="15"/>
        <v>0.75586055390364359</v>
      </c>
      <c r="D396">
        <f t="shared" si="16"/>
        <v>-0.27989837232446807</v>
      </c>
    </row>
    <row r="397" spans="1:4" x14ac:dyDescent="0.15">
      <c r="A397" s="7">
        <v>391</v>
      </c>
      <c r="B397" s="7">
        <v>0</v>
      </c>
      <c r="C397">
        <f t="shared" si="15"/>
        <v>0.75586055390364359</v>
      </c>
      <c r="D397">
        <f t="shared" si="16"/>
        <v>-0.27989837232446807</v>
      </c>
    </row>
    <row r="398" spans="1:4" x14ac:dyDescent="0.15">
      <c r="A398" s="7">
        <v>392</v>
      </c>
      <c r="B398" s="7">
        <v>0</v>
      </c>
      <c r="C398">
        <f t="shared" si="15"/>
        <v>0.75586055390364359</v>
      </c>
      <c r="D398">
        <f t="shared" si="16"/>
        <v>-0.27989837232446807</v>
      </c>
    </row>
    <row r="399" spans="1:4" x14ac:dyDescent="0.15">
      <c r="A399" s="7">
        <v>393</v>
      </c>
      <c r="B399" s="7">
        <v>0</v>
      </c>
      <c r="C399">
        <f t="shared" si="15"/>
        <v>0.75586055390364359</v>
      </c>
      <c r="D399">
        <f t="shared" si="16"/>
        <v>-0.27989837232446807</v>
      </c>
    </row>
    <row r="400" spans="1:4" x14ac:dyDescent="0.15">
      <c r="A400" s="7">
        <v>394</v>
      </c>
      <c r="B400" s="7">
        <v>0</v>
      </c>
      <c r="C400">
        <f t="shared" si="15"/>
        <v>0.75586055390364359</v>
      </c>
      <c r="D400">
        <f t="shared" si="16"/>
        <v>-0.27989837232446807</v>
      </c>
    </row>
    <row r="401" spans="1:4" x14ac:dyDescent="0.15">
      <c r="A401" s="7">
        <v>395</v>
      </c>
      <c r="B401" s="7">
        <v>0</v>
      </c>
      <c r="C401">
        <f t="shared" si="15"/>
        <v>0.75586055390364359</v>
      </c>
      <c r="D401">
        <f t="shared" si="16"/>
        <v>-0.27989837232446807</v>
      </c>
    </row>
    <row r="402" spans="1:4" x14ac:dyDescent="0.15">
      <c r="A402" s="7">
        <v>396</v>
      </c>
      <c r="B402" s="7">
        <v>1</v>
      </c>
      <c r="C402">
        <f t="shared" si="15"/>
        <v>8.8678581416840763E-2</v>
      </c>
      <c r="D402">
        <f t="shared" si="16"/>
        <v>-2.4227368910146492</v>
      </c>
    </row>
    <row r="403" spans="1:4" x14ac:dyDescent="0.15">
      <c r="A403" s="7">
        <v>397</v>
      </c>
      <c r="B403" s="7">
        <v>0</v>
      </c>
      <c r="C403">
        <f t="shared" si="15"/>
        <v>0.75586055390364359</v>
      </c>
      <c r="D403">
        <f t="shared" si="16"/>
        <v>-0.27989837232446807</v>
      </c>
    </row>
    <row r="404" spans="1:4" x14ac:dyDescent="0.15">
      <c r="A404" s="7">
        <v>398</v>
      </c>
      <c r="B404" s="7">
        <v>0</v>
      </c>
      <c r="C404">
        <f t="shared" si="15"/>
        <v>0.75586055390364359</v>
      </c>
      <c r="D404">
        <f t="shared" si="16"/>
        <v>-0.27989837232446807</v>
      </c>
    </row>
    <row r="405" spans="1:4" x14ac:dyDescent="0.15">
      <c r="A405" s="7">
        <v>399</v>
      </c>
      <c r="B405" s="7">
        <v>2</v>
      </c>
      <c r="C405">
        <f t="shared" si="15"/>
        <v>4.4062133811825943E-2</v>
      </c>
      <c r="D405">
        <f t="shared" si="16"/>
        <v>-3.1221545090977791</v>
      </c>
    </row>
    <row r="406" spans="1:4" x14ac:dyDescent="0.15">
      <c r="A406" s="7">
        <v>400</v>
      </c>
      <c r="B406" s="7">
        <v>0</v>
      </c>
      <c r="C406">
        <f t="shared" si="15"/>
        <v>0.75586055390364359</v>
      </c>
      <c r="D406">
        <f t="shared" si="16"/>
        <v>-0.27989837232446807</v>
      </c>
    </row>
    <row r="407" spans="1:4" x14ac:dyDescent="0.15">
      <c r="A407" s="7">
        <v>401</v>
      </c>
      <c r="B407" s="7">
        <v>0</v>
      </c>
      <c r="C407">
        <f t="shared" si="15"/>
        <v>0.75586055390364359</v>
      </c>
      <c r="D407">
        <f t="shared" si="16"/>
        <v>-0.27989837232446807</v>
      </c>
    </row>
    <row r="408" spans="1:4" x14ac:dyDescent="0.15">
      <c r="A408" s="7">
        <v>402</v>
      </c>
      <c r="B408" s="7">
        <v>5</v>
      </c>
      <c r="C408">
        <f t="shared" si="15"/>
        <v>1.366675533834656E-2</v>
      </c>
      <c r="D408">
        <f t="shared" si="16"/>
        <v>-4.2927890127952875</v>
      </c>
    </row>
    <row r="409" spans="1:4" x14ac:dyDescent="0.15">
      <c r="A409" s="7">
        <v>403</v>
      </c>
      <c r="B409" s="7">
        <v>0</v>
      </c>
      <c r="C409">
        <f t="shared" si="15"/>
        <v>0.75586055390364359</v>
      </c>
      <c r="D409">
        <f t="shared" si="16"/>
        <v>-0.27989837232446807</v>
      </c>
    </row>
    <row r="410" spans="1:4" x14ac:dyDescent="0.15">
      <c r="A410" s="7">
        <v>404</v>
      </c>
      <c r="B410" s="7">
        <v>0</v>
      </c>
      <c r="C410">
        <f t="shared" si="15"/>
        <v>0.75586055390364359</v>
      </c>
      <c r="D410">
        <f t="shared" si="16"/>
        <v>-0.27989837232446807</v>
      </c>
    </row>
    <row r="411" spans="1:4" x14ac:dyDescent="0.15">
      <c r="A411" s="7">
        <v>405</v>
      </c>
      <c r="B411" s="7">
        <v>4</v>
      </c>
      <c r="C411">
        <f t="shared" si="15"/>
        <v>1.8860933071470173E-2</v>
      </c>
      <c r="D411">
        <f t="shared" si="16"/>
        <v>-3.9706625294337847</v>
      </c>
    </row>
    <row r="412" spans="1:4" x14ac:dyDescent="0.15">
      <c r="A412" s="7">
        <v>406</v>
      </c>
      <c r="B412" s="7">
        <v>0</v>
      </c>
      <c r="C412">
        <f t="shared" si="15"/>
        <v>0.75586055390364359</v>
      </c>
      <c r="D412">
        <f t="shared" si="16"/>
        <v>-0.27989837232446807</v>
      </c>
    </row>
    <row r="413" spans="1:4" x14ac:dyDescent="0.15">
      <c r="A413" s="7">
        <v>407</v>
      </c>
      <c r="B413" s="7">
        <v>0</v>
      </c>
      <c r="C413">
        <f t="shared" si="15"/>
        <v>0.75586055390364359</v>
      </c>
      <c r="D413">
        <f t="shared" si="16"/>
        <v>-0.27989837232446807</v>
      </c>
    </row>
    <row r="414" spans="1:4" x14ac:dyDescent="0.15">
      <c r="A414" s="7">
        <v>408</v>
      </c>
      <c r="B414" s="7">
        <v>1</v>
      </c>
      <c r="C414">
        <f t="shared" si="15"/>
        <v>8.8678581416840763E-2</v>
      </c>
      <c r="D414">
        <f t="shared" si="16"/>
        <v>-2.4227368910146492</v>
      </c>
    </row>
    <row r="415" spans="1:4" x14ac:dyDescent="0.15">
      <c r="A415" s="7">
        <v>409</v>
      </c>
      <c r="B415" s="7">
        <v>0</v>
      </c>
      <c r="C415">
        <f t="shared" si="15"/>
        <v>0.75586055390364359</v>
      </c>
      <c r="D415">
        <f t="shared" si="16"/>
        <v>-0.27989837232446807</v>
      </c>
    </row>
    <row r="416" spans="1:4" x14ac:dyDescent="0.15">
      <c r="A416" s="7">
        <v>410</v>
      </c>
      <c r="B416" s="7">
        <v>0</v>
      </c>
      <c r="C416">
        <f t="shared" si="15"/>
        <v>0.75586055390364359</v>
      </c>
      <c r="D416">
        <f t="shared" si="16"/>
        <v>-0.27989837232446807</v>
      </c>
    </row>
    <row r="417" spans="1:4" x14ac:dyDescent="0.15">
      <c r="A417" s="7">
        <v>411</v>
      </c>
      <c r="B417" s="7">
        <v>0</v>
      </c>
      <c r="C417">
        <f t="shared" si="15"/>
        <v>0.75586055390364359</v>
      </c>
      <c r="D417">
        <f t="shared" si="16"/>
        <v>-0.27989837232446807</v>
      </c>
    </row>
    <row r="418" spans="1:4" x14ac:dyDescent="0.15">
      <c r="A418" s="7">
        <v>412</v>
      </c>
      <c r="B418" s="7">
        <v>0</v>
      </c>
      <c r="C418">
        <f t="shared" si="15"/>
        <v>0.75586055390364359</v>
      </c>
      <c r="D418">
        <f t="shared" si="16"/>
        <v>-0.27989837232446807</v>
      </c>
    </row>
    <row r="419" spans="1:4" x14ac:dyDescent="0.15">
      <c r="A419" s="7">
        <v>413</v>
      </c>
      <c r="B419" s="7">
        <v>0</v>
      </c>
      <c r="C419">
        <f t="shared" si="15"/>
        <v>0.75586055390364359</v>
      </c>
      <c r="D419">
        <f t="shared" si="16"/>
        <v>-0.27989837232446807</v>
      </c>
    </row>
    <row r="420" spans="1:4" x14ac:dyDescent="0.15">
      <c r="A420" s="7">
        <v>414</v>
      </c>
      <c r="B420" s="7">
        <v>0</v>
      </c>
      <c r="C420">
        <f t="shared" si="15"/>
        <v>0.75586055390364359</v>
      </c>
      <c r="D420">
        <f t="shared" si="16"/>
        <v>-0.27989837232446807</v>
      </c>
    </row>
    <row r="421" spans="1:4" x14ac:dyDescent="0.15">
      <c r="A421" s="7">
        <v>415</v>
      </c>
      <c r="B421" s="7">
        <v>0</v>
      </c>
      <c r="C421">
        <f t="shared" si="15"/>
        <v>0.75586055390364359</v>
      </c>
      <c r="D421">
        <f t="shared" si="16"/>
        <v>-0.27989837232446807</v>
      </c>
    </row>
    <row r="422" spans="1:4" x14ac:dyDescent="0.15">
      <c r="A422" s="7">
        <v>416</v>
      </c>
      <c r="B422" s="7">
        <v>0</v>
      </c>
      <c r="C422">
        <f t="shared" si="15"/>
        <v>0.75586055390364359</v>
      </c>
      <c r="D422">
        <f t="shared" si="16"/>
        <v>-0.27989837232446807</v>
      </c>
    </row>
    <row r="423" spans="1:4" x14ac:dyDescent="0.15">
      <c r="A423" s="7">
        <v>417</v>
      </c>
      <c r="B423" s="7">
        <v>0</v>
      </c>
      <c r="C423">
        <f t="shared" si="15"/>
        <v>0.75586055390364359</v>
      </c>
      <c r="D423">
        <f t="shared" si="16"/>
        <v>-0.27989837232446807</v>
      </c>
    </row>
    <row r="424" spans="1:4" x14ac:dyDescent="0.15">
      <c r="A424" s="7">
        <v>418</v>
      </c>
      <c r="B424" s="7">
        <v>0</v>
      </c>
      <c r="C424">
        <f t="shared" si="15"/>
        <v>0.75586055390364359</v>
      </c>
      <c r="D424">
        <f t="shared" si="16"/>
        <v>-0.27989837232446807</v>
      </c>
    </row>
    <row r="425" spans="1:4" x14ac:dyDescent="0.15">
      <c r="A425" s="7">
        <v>419</v>
      </c>
      <c r="B425" s="7">
        <v>0</v>
      </c>
      <c r="C425">
        <f t="shared" si="15"/>
        <v>0.75586055390364359</v>
      </c>
      <c r="D425">
        <f t="shared" si="16"/>
        <v>-0.27989837232446807</v>
      </c>
    </row>
    <row r="426" spans="1:4" x14ac:dyDescent="0.15">
      <c r="A426" s="7">
        <v>420</v>
      </c>
      <c r="B426" s="7">
        <v>1</v>
      </c>
      <c r="C426">
        <f t="shared" si="15"/>
        <v>8.8678581416840763E-2</v>
      </c>
      <c r="D426">
        <f t="shared" si="16"/>
        <v>-2.4227368910146492</v>
      </c>
    </row>
    <row r="427" spans="1:4" x14ac:dyDescent="0.15">
      <c r="A427" s="7">
        <v>421</v>
      </c>
      <c r="B427" s="7">
        <v>0</v>
      </c>
      <c r="C427">
        <f t="shared" si="15"/>
        <v>0.75586055390364359</v>
      </c>
      <c r="D427">
        <f t="shared" si="16"/>
        <v>-0.27989837232446807</v>
      </c>
    </row>
    <row r="428" spans="1:4" x14ac:dyDescent="0.15">
      <c r="A428" s="7">
        <v>422</v>
      </c>
      <c r="B428" s="7">
        <v>0</v>
      </c>
      <c r="C428">
        <f t="shared" si="15"/>
        <v>0.75586055390364359</v>
      </c>
      <c r="D428">
        <f t="shared" si="16"/>
        <v>-0.27989837232446807</v>
      </c>
    </row>
    <row r="429" spans="1:4" x14ac:dyDescent="0.15">
      <c r="A429" s="7">
        <v>423</v>
      </c>
      <c r="B429" s="7">
        <v>3</v>
      </c>
      <c r="C429">
        <f t="shared" si="15"/>
        <v>2.7467996558433502E-2</v>
      </c>
      <c r="D429">
        <f t="shared" si="16"/>
        <v>-3.594733713517384</v>
      </c>
    </row>
    <row r="430" spans="1:4" x14ac:dyDescent="0.15">
      <c r="A430" s="7">
        <v>424</v>
      </c>
      <c r="B430" s="7">
        <v>0</v>
      </c>
      <c r="C430">
        <f t="shared" si="15"/>
        <v>0.75586055390364359</v>
      </c>
      <c r="D430">
        <f t="shared" si="16"/>
        <v>-0.27989837232446807</v>
      </c>
    </row>
    <row r="431" spans="1:4" x14ac:dyDescent="0.15">
      <c r="A431" s="7">
        <v>425</v>
      </c>
      <c r="B431" s="7">
        <v>0</v>
      </c>
      <c r="C431">
        <f t="shared" si="15"/>
        <v>0.75586055390364359</v>
      </c>
      <c r="D431">
        <f t="shared" si="16"/>
        <v>-0.27989837232446807</v>
      </c>
    </row>
    <row r="432" spans="1:4" x14ac:dyDescent="0.15">
      <c r="A432" s="7">
        <v>426</v>
      </c>
      <c r="B432" s="7">
        <v>1</v>
      </c>
      <c r="C432">
        <f t="shared" si="15"/>
        <v>8.8678581416840763E-2</v>
      </c>
      <c r="D432">
        <f t="shared" si="16"/>
        <v>-2.4227368910146492</v>
      </c>
    </row>
    <row r="433" spans="1:4" x14ac:dyDescent="0.15">
      <c r="A433" s="7">
        <v>427</v>
      </c>
      <c r="B433" s="7">
        <v>1</v>
      </c>
      <c r="C433">
        <f t="shared" si="15"/>
        <v>8.8678581416840763E-2</v>
      </c>
      <c r="D433">
        <f t="shared" si="16"/>
        <v>-2.4227368910146492</v>
      </c>
    </row>
    <row r="434" spans="1:4" x14ac:dyDescent="0.15">
      <c r="A434" s="7">
        <v>428</v>
      </c>
      <c r="B434" s="7">
        <v>5</v>
      </c>
      <c r="C434">
        <f t="shared" si="15"/>
        <v>1.366675533834656E-2</v>
      </c>
      <c r="D434">
        <f t="shared" si="16"/>
        <v>-4.2927890127952875</v>
      </c>
    </row>
    <row r="435" spans="1:4" x14ac:dyDescent="0.15">
      <c r="A435" s="7">
        <v>429</v>
      </c>
      <c r="B435" s="7">
        <v>2</v>
      </c>
      <c r="C435">
        <f t="shared" si="15"/>
        <v>4.4062133811825943E-2</v>
      </c>
      <c r="D435">
        <f t="shared" si="16"/>
        <v>-3.1221545090977791</v>
      </c>
    </row>
    <row r="436" spans="1:4" x14ac:dyDescent="0.15">
      <c r="A436" s="7">
        <v>430</v>
      </c>
      <c r="B436" s="7">
        <v>0</v>
      </c>
      <c r="C436">
        <f t="shared" si="15"/>
        <v>0.75586055390364359</v>
      </c>
      <c r="D436">
        <f t="shared" si="16"/>
        <v>-0.27989837232446807</v>
      </c>
    </row>
    <row r="437" spans="1:4" x14ac:dyDescent="0.15">
      <c r="A437" s="7">
        <v>431</v>
      </c>
      <c r="B437" s="7">
        <v>0</v>
      </c>
      <c r="C437">
        <f t="shared" si="15"/>
        <v>0.75586055390364359</v>
      </c>
      <c r="D437">
        <f t="shared" si="16"/>
        <v>-0.27989837232446807</v>
      </c>
    </row>
    <row r="438" spans="1:4" x14ac:dyDescent="0.15">
      <c r="A438" s="7">
        <v>432</v>
      </c>
      <c r="B438" s="7">
        <v>0</v>
      </c>
      <c r="C438">
        <f t="shared" si="15"/>
        <v>0.75586055390364359</v>
      </c>
      <c r="D438">
        <f t="shared" si="16"/>
        <v>-0.27989837232446807</v>
      </c>
    </row>
    <row r="439" spans="1:4" x14ac:dyDescent="0.15">
      <c r="A439" s="7">
        <v>433</v>
      </c>
      <c r="B439" s="7">
        <v>1</v>
      </c>
      <c r="C439">
        <f t="shared" si="15"/>
        <v>8.8678581416840763E-2</v>
      </c>
      <c r="D439">
        <f t="shared" si="16"/>
        <v>-2.4227368910146492</v>
      </c>
    </row>
    <row r="440" spans="1:4" x14ac:dyDescent="0.15">
      <c r="A440" s="7">
        <v>434</v>
      </c>
      <c r="B440" s="7">
        <v>5</v>
      </c>
      <c r="C440">
        <f t="shared" si="15"/>
        <v>1.366675533834656E-2</v>
      </c>
      <c r="D440">
        <f t="shared" si="16"/>
        <v>-4.2927890127952875</v>
      </c>
    </row>
    <row r="441" spans="1:4" x14ac:dyDescent="0.15">
      <c r="A441" s="7">
        <v>435</v>
      </c>
      <c r="B441" s="7">
        <v>0</v>
      </c>
      <c r="C441">
        <f t="shared" si="15"/>
        <v>0.75586055390364359</v>
      </c>
      <c r="D441">
        <f t="shared" si="16"/>
        <v>-0.27989837232446807</v>
      </c>
    </row>
    <row r="442" spans="1:4" x14ac:dyDescent="0.15">
      <c r="A442" s="7">
        <v>436</v>
      </c>
      <c r="B442" s="7">
        <v>0</v>
      </c>
      <c r="C442">
        <f t="shared" si="15"/>
        <v>0.75586055390364359</v>
      </c>
      <c r="D442">
        <f t="shared" si="16"/>
        <v>-0.27989837232446807</v>
      </c>
    </row>
    <row r="443" spans="1:4" x14ac:dyDescent="0.15">
      <c r="A443" s="7">
        <v>437</v>
      </c>
      <c r="B443" s="7">
        <v>0</v>
      </c>
      <c r="C443">
        <f t="shared" si="15"/>
        <v>0.75586055390364359</v>
      </c>
      <c r="D443">
        <f t="shared" si="16"/>
        <v>-0.27989837232446807</v>
      </c>
    </row>
    <row r="444" spans="1:4" x14ac:dyDescent="0.15">
      <c r="A444" s="7">
        <v>438</v>
      </c>
      <c r="B444" s="7">
        <v>18</v>
      </c>
      <c r="C444">
        <f t="shared" si="15"/>
        <v>8.1825193081216691E-4</v>
      </c>
      <c r="D444">
        <f t="shared" si="16"/>
        <v>-7.108340284900871</v>
      </c>
    </row>
    <row r="445" spans="1:4" x14ac:dyDescent="0.15">
      <c r="A445" s="7">
        <v>439</v>
      </c>
      <c r="B445" s="7">
        <v>4</v>
      </c>
      <c r="C445">
        <f t="shared" si="15"/>
        <v>1.8860933071470173E-2</v>
      </c>
      <c r="D445">
        <f t="shared" si="16"/>
        <v>-3.9706625294337847</v>
      </c>
    </row>
    <row r="446" spans="1:4" x14ac:dyDescent="0.15">
      <c r="A446" s="7">
        <v>440</v>
      </c>
      <c r="B446" s="7">
        <v>1</v>
      </c>
      <c r="C446">
        <f t="shared" si="15"/>
        <v>8.8678581416840763E-2</v>
      </c>
      <c r="D446">
        <f t="shared" si="16"/>
        <v>-2.4227368910146492</v>
      </c>
    </row>
    <row r="447" spans="1:4" x14ac:dyDescent="0.15">
      <c r="A447" s="7">
        <v>441</v>
      </c>
      <c r="B447" s="7">
        <v>0</v>
      </c>
      <c r="C447">
        <f t="shared" si="15"/>
        <v>0.75586055390364359</v>
      </c>
      <c r="D447">
        <f t="shared" si="16"/>
        <v>-0.27989837232446807</v>
      </c>
    </row>
    <row r="448" spans="1:4" x14ac:dyDescent="0.15">
      <c r="A448" s="7">
        <v>442</v>
      </c>
      <c r="B448" s="7">
        <v>0</v>
      </c>
      <c r="C448">
        <f t="shared" si="15"/>
        <v>0.75586055390364359</v>
      </c>
      <c r="D448">
        <f t="shared" si="16"/>
        <v>-0.27989837232446807</v>
      </c>
    </row>
    <row r="449" spans="1:4" x14ac:dyDescent="0.15">
      <c r="A449" s="7">
        <v>443</v>
      </c>
      <c r="B449" s="7">
        <v>1</v>
      </c>
      <c r="C449">
        <f t="shared" si="15"/>
        <v>8.8678581416840763E-2</v>
      </c>
      <c r="D449">
        <f t="shared" si="16"/>
        <v>-2.4227368910146492</v>
      </c>
    </row>
    <row r="450" spans="1:4" x14ac:dyDescent="0.15">
      <c r="A450" s="7">
        <v>444</v>
      </c>
      <c r="B450" s="7">
        <v>0</v>
      </c>
      <c r="C450">
        <f t="shared" si="15"/>
        <v>0.75586055390364359</v>
      </c>
      <c r="D450">
        <f t="shared" si="16"/>
        <v>-0.27989837232446807</v>
      </c>
    </row>
    <row r="451" spans="1:4" x14ac:dyDescent="0.15">
      <c r="A451" s="7">
        <v>445</v>
      </c>
      <c r="B451" s="7">
        <v>0</v>
      </c>
      <c r="C451">
        <f t="shared" si="15"/>
        <v>0.75586055390364359</v>
      </c>
      <c r="D451">
        <f t="shared" si="16"/>
        <v>-0.27989837232446807</v>
      </c>
    </row>
    <row r="452" spans="1:4" x14ac:dyDescent="0.15">
      <c r="A452" s="7">
        <v>446</v>
      </c>
      <c r="B452" s="7">
        <v>0</v>
      </c>
      <c r="C452">
        <f t="shared" si="15"/>
        <v>0.75586055390364359</v>
      </c>
      <c r="D452">
        <f t="shared" si="16"/>
        <v>-0.27989837232446807</v>
      </c>
    </row>
    <row r="453" spans="1:4" x14ac:dyDescent="0.15">
      <c r="A453" s="7">
        <v>447</v>
      </c>
      <c r="B453" s="7">
        <v>5</v>
      </c>
      <c r="C453">
        <f t="shared" si="15"/>
        <v>1.366675533834656E-2</v>
      </c>
      <c r="D453">
        <f t="shared" si="16"/>
        <v>-4.2927890127952875</v>
      </c>
    </row>
    <row r="454" spans="1:4" x14ac:dyDescent="0.15">
      <c r="A454" s="7">
        <v>448</v>
      </c>
      <c r="B454" s="7">
        <v>0</v>
      </c>
      <c r="C454">
        <f t="shared" si="15"/>
        <v>0.75586055390364359</v>
      </c>
      <c r="D454">
        <f t="shared" si="16"/>
        <v>-0.27989837232446807</v>
      </c>
    </row>
    <row r="455" spans="1:4" x14ac:dyDescent="0.15">
      <c r="A455" s="7">
        <v>449</v>
      </c>
      <c r="B455" s="7">
        <v>1</v>
      </c>
      <c r="C455">
        <f t="shared" si="15"/>
        <v>8.8678581416840763E-2</v>
      </c>
      <c r="D455">
        <f t="shared" si="16"/>
        <v>-2.4227368910146492</v>
      </c>
    </row>
    <row r="456" spans="1:4" x14ac:dyDescent="0.15">
      <c r="A456" s="7">
        <v>450</v>
      </c>
      <c r="B456" s="7">
        <v>0</v>
      </c>
      <c r="C456">
        <f t="shared" ref="C456:C519" si="17">(_xlfn.GAMMA($B$1+B456)/(_xlfn.GAMMA($B$1)*FACT(B456))) * ($B$2/($B$2+$B$4))^$B$1 * (1/($B$2 +$B$4))^B456</f>
        <v>0.75586055390364359</v>
      </c>
      <c r="D456">
        <f t="shared" ref="D456:D519" si="18">LN(C456)</f>
        <v>-0.27989837232446807</v>
      </c>
    </row>
    <row r="457" spans="1:4" x14ac:dyDescent="0.15">
      <c r="A457" s="7">
        <v>451</v>
      </c>
      <c r="B457" s="7">
        <v>0</v>
      </c>
      <c r="C457">
        <f t="shared" si="17"/>
        <v>0.75586055390364359</v>
      </c>
      <c r="D457">
        <f t="shared" si="18"/>
        <v>-0.27989837232446807</v>
      </c>
    </row>
    <row r="458" spans="1:4" x14ac:dyDescent="0.15">
      <c r="A458" s="7">
        <v>452</v>
      </c>
      <c r="B458" s="7">
        <v>0</v>
      </c>
      <c r="C458">
        <f t="shared" si="17"/>
        <v>0.75586055390364359</v>
      </c>
      <c r="D458">
        <f t="shared" si="18"/>
        <v>-0.27989837232446807</v>
      </c>
    </row>
    <row r="459" spans="1:4" x14ac:dyDescent="0.15">
      <c r="A459" s="7">
        <v>453</v>
      </c>
      <c r="B459" s="7">
        <v>2</v>
      </c>
      <c r="C459">
        <f t="shared" si="17"/>
        <v>4.4062133811825943E-2</v>
      </c>
      <c r="D459">
        <f t="shared" si="18"/>
        <v>-3.1221545090977791</v>
      </c>
    </row>
    <row r="460" spans="1:4" x14ac:dyDescent="0.15">
      <c r="A460" s="7">
        <v>454</v>
      </c>
      <c r="B460" s="7">
        <v>0</v>
      </c>
      <c r="C460">
        <f t="shared" si="17"/>
        <v>0.75586055390364359</v>
      </c>
      <c r="D460">
        <f t="shared" si="18"/>
        <v>-0.27989837232446807</v>
      </c>
    </row>
    <row r="461" spans="1:4" x14ac:dyDescent="0.15">
      <c r="A461" s="7">
        <v>455</v>
      </c>
      <c r="B461" s="7">
        <v>0</v>
      </c>
      <c r="C461">
        <f t="shared" si="17"/>
        <v>0.75586055390364359</v>
      </c>
      <c r="D461">
        <f t="shared" si="18"/>
        <v>-0.27989837232446807</v>
      </c>
    </row>
    <row r="462" spans="1:4" x14ac:dyDescent="0.15">
      <c r="A462" s="7">
        <v>456</v>
      </c>
      <c r="B462" s="7">
        <v>0</v>
      </c>
      <c r="C462">
        <f t="shared" si="17"/>
        <v>0.75586055390364359</v>
      </c>
      <c r="D462">
        <f t="shared" si="18"/>
        <v>-0.27989837232446807</v>
      </c>
    </row>
    <row r="463" spans="1:4" x14ac:dyDescent="0.15">
      <c r="A463" s="7">
        <v>457</v>
      </c>
      <c r="B463" s="7">
        <v>0</v>
      </c>
      <c r="C463">
        <f t="shared" si="17"/>
        <v>0.75586055390364359</v>
      </c>
      <c r="D463">
        <f t="shared" si="18"/>
        <v>-0.27989837232446807</v>
      </c>
    </row>
    <row r="464" spans="1:4" x14ac:dyDescent="0.15">
      <c r="A464" s="7">
        <v>458</v>
      </c>
      <c r="B464" s="7">
        <v>0</v>
      </c>
      <c r="C464">
        <f t="shared" si="17"/>
        <v>0.75586055390364359</v>
      </c>
      <c r="D464">
        <f t="shared" si="18"/>
        <v>-0.27989837232446807</v>
      </c>
    </row>
    <row r="465" spans="1:4" x14ac:dyDescent="0.15">
      <c r="A465" s="7">
        <v>459</v>
      </c>
      <c r="B465" s="7">
        <v>0</v>
      </c>
      <c r="C465">
        <f t="shared" si="17"/>
        <v>0.75586055390364359</v>
      </c>
      <c r="D465">
        <f t="shared" si="18"/>
        <v>-0.27989837232446807</v>
      </c>
    </row>
    <row r="466" spans="1:4" x14ac:dyDescent="0.15">
      <c r="A466" s="7">
        <v>460</v>
      </c>
      <c r="B466" s="7">
        <v>2</v>
      </c>
      <c r="C466">
        <f t="shared" si="17"/>
        <v>4.4062133811825943E-2</v>
      </c>
      <c r="D466">
        <f t="shared" si="18"/>
        <v>-3.1221545090977791</v>
      </c>
    </row>
    <row r="467" spans="1:4" x14ac:dyDescent="0.15">
      <c r="A467" s="7">
        <v>461</v>
      </c>
      <c r="B467" s="7">
        <v>0</v>
      </c>
      <c r="C467">
        <f t="shared" si="17"/>
        <v>0.75586055390364359</v>
      </c>
      <c r="D467">
        <f t="shared" si="18"/>
        <v>-0.27989837232446807</v>
      </c>
    </row>
    <row r="468" spans="1:4" x14ac:dyDescent="0.15">
      <c r="A468" s="7">
        <v>462</v>
      </c>
      <c r="B468" s="7">
        <v>0</v>
      </c>
      <c r="C468">
        <f t="shared" si="17"/>
        <v>0.75586055390364359</v>
      </c>
      <c r="D468">
        <f t="shared" si="18"/>
        <v>-0.27989837232446807</v>
      </c>
    </row>
    <row r="469" spans="1:4" x14ac:dyDescent="0.15">
      <c r="A469" s="7">
        <v>463</v>
      </c>
      <c r="B469" s="7">
        <v>0</v>
      </c>
      <c r="C469">
        <f t="shared" si="17"/>
        <v>0.75586055390364359</v>
      </c>
      <c r="D469">
        <f t="shared" si="18"/>
        <v>-0.27989837232446807</v>
      </c>
    </row>
    <row r="470" spans="1:4" x14ac:dyDescent="0.15">
      <c r="A470" s="7">
        <v>464</v>
      </c>
      <c r="B470" s="7">
        <v>9</v>
      </c>
      <c r="C470">
        <f t="shared" si="17"/>
        <v>4.8724597930648464E-3</v>
      </c>
      <c r="D470">
        <f t="shared" si="18"/>
        <v>-5.3241563784247425</v>
      </c>
    </row>
    <row r="471" spans="1:4" x14ac:dyDescent="0.15">
      <c r="A471" s="7">
        <v>465</v>
      </c>
      <c r="B471" s="7">
        <v>0</v>
      </c>
      <c r="C471">
        <f t="shared" si="17"/>
        <v>0.75586055390364359</v>
      </c>
      <c r="D471">
        <f t="shared" si="18"/>
        <v>-0.27989837232446807</v>
      </c>
    </row>
    <row r="472" spans="1:4" x14ac:dyDescent="0.15">
      <c r="A472" s="7">
        <v>466</v>
      </c>
      <c r="B472" s="7">
        <v>0</v>
      </c>
      <c r="C472">
        <f t="shared" si="17"/>
        <v>0.75586055390364359</v>
      </c>
      <c r="D472">
        <f t="shared" si="18"/>
        <v>-0.27989837232446807</v>
      </c>
    </row>
    <row r="473" spans="1:4" x14ac:dyDescent="0.15">
      <c r="A473" s="7">
        <v>467</v>
      </c>
      <c r="B473" s="7">
        <v>0</v>
      </c>
      <c r="C473">
        <f t="shared" si="17"/>
        <v>0.75586055390364359</v>
      </c>
      <c r="D473">
        <f t="shared" si="18"/>
        <v>-0.27989837232446807</v>
      </c>
    </row>
    <row r="474" spans="1:4" x14ac:dyDescent="0.15">
      <c r="A474" s="7">
        <v>468</v>
      </c>
      <c r="B474" s="7">
        <v>2</v>
      </c>
      <c r="C474">
        <f t="shared" si="17"/>
        <v>4.4062133811825943E-2</v>
      </c>
      <c r="D474">
        <f t="shared" si="18"/>
        <v>-3.1221545090977791</v>
      </c>
    </row>
    <row r="475" spans="1:4" x14ac:dyDescent="0.15">
      <c r="A475" s="7">
        <v>469</v>
      </c>
      <c r="B475" s="7">
        <v>3</v>
      </c>
      <c r="C475">
        <f t="shared" si="17"/>
        <v>2.7467996558433502E-2</v>
      </c>
      <c r="D475">
        <f t="shared" si="18"/>
        <v>-3.594733713517384</v>
      </c>
    </row>
    <row r="476" spans="1:4" x14ac:dyDescent="0.15">
      <c r="A476" s="7">
        <v>470</v>
      </c>
      <c r="B476" s="7">
        <v>0</v>
      </c>
      <c r="C476">
        <f t="shared" si="17"/>
        <v>0.75586055390364359</v>
      </c>
      <c r="D476">
        <f t="shared" si="18"/>
        <v>-0.27989837232446807</v>
      </c>
    </row>
    <row r="477" spans="1:4" x14ac:dyDescent="0.15">
      <c r="A477" s="7">
        <v>471</v>
      </c>
      <c r="B477" s="7">
        <v>0</v>
      </c>
      <c r="C477">
        <f t="shared" si="17"/>
        <v>0.75586055390364359</v>
      </c>
      <c r="D477">
        <f t="shared" si="18"/>
        <v>-0.27989837232446807</v>
      </c>
    </row>
    <row r="478" spans="1:4" x14ac:dyDescent="0.15">
      <c r="A478" s="7">
        <v>472</v>
      </c>
      <c r="B478" s="7">
        <v>0</v>
      </c>
      <c r="C478">
        <f t="shared" si="17"/>
        <v>0.75586055390364359</v>
      </c>
      <c r="D478">
        <f t="shared" si="18"/>
        <v>-0.27989837232446807</v>
      </c>
    </row>
    <row r="479" spans="1:4" x14ac:dyDescent="0.15">
      <c r="A479" s="7">
        <v>473</v>
      </c>
      <c r="B479" s="7">
        <v>0</v>
      </c>
      <c r="C479">
        <f t="shared" si="17"/>
        <v>0.75586055390364359</v>
      </c>
      <c r="D479">
        <f t="shared" si="18"/>
        <v>-0.27989837232446807</v>
      </c>
    </row>
    <row r="480" spans="1:4" x14ac:dyDescent="0.15">
      <c r="A480" s="7">
        <v>474</v>
      </c>
      <c r="B480" s="7">
        <v>0</v>
      </c>
      <c r="C480">
        <f t="shared" si="17"/>
        <v>0.75586055390364359</v>
      </c>
      <c r="D480">
        <f t="shared" si="18"/>
        <v>-0.27989837232446807</v>
      </c>
    </row>
    <row r="481" spans="1:4" x14ac:dyDescent="0.15">
      <c r="A481" s="7">
        <v>475</v>
      </c>
      <c r="B481" s="7">
        <v>2</v>
      </c>
      <c r="C481">
        <f t="shared" si="17"/>
        <v>4.4062133811825943E-2</v>
      </c>
      <c r="D481">
        <f t="shared" si="18"/>
        <v>-3.1221545090977791</v>
      </c>
    </row>
    <row r="482" spans="1:4" x14ac:dyDescent="0.15">
      <c r="A482" s="7">
        <v>476</v>
      </c>
      <c r="B482" s="7">
        <v>1</v>
      </c>
      <c r="C482">
        <f t="shared" si="17"/>
        <v>8.8678581416840763E-2</v>
      </c>
      <c r="D482">
        <f t="shared" si="18"/>
        <v>-2.4227368910146492</v>
      </c>
    </row>
    <row r="483" spans="1:4" x14ac:dyDescent="0.15">
      <c r="A483" s="7">
        <v>477</v>
      </c>
      <c r="B483" s="7">
        <v>0</v>
      </c>
      <c r="C483">
        <f t="shared" si="17"/>
        <v>0.75586055390364359</v>
      </c>
      <c r="D483">
        <f t="shared" si="18"/>
        <v>-0.27989837232446807</v>
      </c>
    </row>
    <row r="484" spans="1:4" x14ac:dyDescent="0.15">
      <c r="A484" s="7">
        <v>478</v>
      </c>
      <c r="B484" s="7">
        <v>79</v>
      </c>
      <c r="C484">
        <f t="shared" si="17"/>
        <v>7.299526393766902E-8</v>
      </c>
      <c r="D484">
        <f t="shared" si="18"/>
        <v>-16.432871275468838</v>
      </c>
    </row>
    <row r="485" spans="1:4" x14ac:dyDescent="0.15">
      <c r="A485" s="7">
        <v>479</v>
      </c>
      <c r="B485" s="7">
        <v>1</v>
      </c>
      <c r="C485">
        <f t="shared" si="17"/>
        <v>8.8678581416840763E-2</v>
      </c>
      <c r="D485">
        <f t="shared" si="18"/>
        <v>-2.4227368910146492</v>
      </c>
    </row>
    <row r="486" spans="1:4" x14ac:dyDescent="0.15">
      <c r="A486" s="7">
        <v>480</v>
      </c>
      <c r="B486" s="7">
        <v>5</v>
      </c>
      <c r="C486">
        <f t="shared" si="17"/>
        <v>1.366675533834656E-2</v>
      </c>
      <c r="D486">
        <f t="shared" si="18"/>
        <v>-4.2927890127952875</v>
      </c>
    </row>
    <row r="487" spans="1:4" x14ac:dyDescent="0.15">
      <c r="A487" s="7">
        <v>481</v>
      </c>
      <c r="B487" s="7">
        <v>0</v>
      </c>
      <c r="C487">
        <f t="shared" si="17"/>
        <v>0.75586055390364359</v>
      </c>
      <c r="D487">
        <f t="shared" si="18"/>
        <v>-0.27989837232446807</v>
      </c>
    </row>
    <row r="488" spans="1:4" x14ac:dyDescent="0.15">
      <c r="A488" s="7">
        <v>482</v>
      </c>
      <c r="B488" s="7">
        <v>0</v>
      </c>
      <c r="C488">
        <f t="shared" si="17"/>
        <v>0.75586055390364359</v>
      </c>
      <c r="D488">
        <f t="shared" si="18"/>
        <v>-0.27989837232446807</v>
      </c>
    </row>
    <row r="489" spans="1:4" x14ac:dyDescent="0.15">
      <c r="A489" s="7">
        <v>483</v>
      </c>
      <c r="B489" s="7">
        <v>8</v>
      </c>
      <c r="C489">
        <f t="shared" si="17"/>
        <v>6.1514536381425521E-3</v>
      </c>
      <c r="D489">
        <f t="shared" si="18"/>
        <v>-5.0910668611676444</v>
      </c>
    </row>
    <row r="490" spans="1:4" x14ac:dyDescent="0.15">
      <c r="A490" s="7">
        <v>484</v>
      </c>
      <c r="B490" s="7">
        <v>0</v>
      </c>
      <c r="C490">
        <f t="shared" si="17"/>
        <v>0.75586055390364359</v>
      </c>
      <c r="D490">
        <f t="shared" si="18"/>
        <v>-0.27989837232446807</v>
      </c>
    </row>
    <row r="491" spans="1:4" x14ac:dyDescent="0.15">
      <c r="A491" s="7">
        <v>485</v>
      </c>
      <c r="B491" s="7">
        <v>1</v>
      </c>
      <c r="C491">
        <f t="shared" si="17"/>
        <v>8.8678581416840763E-2</v>
      </c>
      <c r="D491">
        <f t="shared" si="18"/>
        <v>-2.4227368910146492</v>
      </c>
    </row>
    <row r="492" spans="1:4" x14ac:dyDescent="0.15">
      <c r="A492" s="7">
        <v>486</v>
      </c>
      <c r="B492" s="7">
        <v>0</v>
      </c>
      <c r="C492">
        <f t="shared" si="17"/>
        <v>0.75586055390364359</v>
      </c>
      <c r="D492">
        <f t="shared" si="18"/>
        <v>-0.27989837232446807</v>
      </c>
    </row>
    <row r="493" spans="1:4" x14ac:dyDescent="0.15">
      <c r="A493" s="7">
        <v>487</v>
      </c>
      <c r="B493" s="7">
        <v>0</v>
      </c>
      <c r="C493">
        <f t="shared" si="17"/>
        <v>0.75586055390364359</v>
      </c>
      <c r="D493">
        <f t="shared" si="18"/>
        <v>-0.27989837232446807</v>
      </c>
    </row>
    <row r="494" spans="1:4" x14ac:dyDescent="0.15">
      <c r="A494" s="7">
        <v>488</v>
      </c>
      <c r="B494" s="7">
        <v>0</v>
      </c>
      <c r="C494">
        <f t="shared" si="17"/>
        <v>0.75586055390364359</v>
      </c>
      <c r="D494">
        <f t="shared" si="18"/>
        <v>-0.27989837232446807</v>
      </c>
    </row>
    <row r="495" spans="1:4" x14ac:dyDescent="0.15">
      <c r="A495" s="7">
        <v>489</v>
      </c>
      <c r="B495" s="7">
        <v>1</v>
      </c>
      <c r="C495">
        <f t="shared" si="17"/>
        <v>8.8678581416840763E-2</v>
      </c>
      <c r="D495">
        <f t="shared" si="18"/>
        <v>-2.4227368910146492</v>
      </c>
    </row>
    <row r="496" spans="1:4" x14ac:dyDescent="0.15">
      <c r="A496" s="7">
        <v>490</v>
      </c>
      <c r="B496" s="7">
        <v>0</v>
      </c>
      <c r="C496">
        <f t="shared" si="17"/>
        <v>0.75586055390364359</v>
      </c>
      <c r="D496">
        <f t="shared" si="18"/>
        <v>-0.27989837232446807</v>
      </c>
    </row>
    <row r="497" spans="1:4" x14ac:dyDescent="0.15">
      <c r="A497" s="7">
        <v>491</v>
      </c>
      <c r="B497" s="7">
        <v>0</v>
      </c>
      <c r="C497">
        <f t="shared" si="17"/>
        <v>0.75586055390364359</v>
      </c>
      <c r="D497">
        <f t="shared" si="18"/>
        <v>-0.27989837232446807</v>
      </c>
    </row>
    <row r="498" spans="1:4" x14ac:dyDescent="0.15">
      <c r="A498" s="7">
        <v>492</v>
      </c>
      <c r="B498" s="7">
        <v>0</v>
      </c>
      <c r="C498">
        <f t="shared" si="17"/>
        <v>0.75586055390364359</v>
      </c>
      <c r="D498">
        <f t="shared" si="18"/>
        <v>-0.27989837232446807</v>
      </c>
    </row>
    <row r="499" spans="1:4" x14ac:dyDescent="0.15">
      <c r="A499" s="7">
        <v>493</v>
      </c>
      <c r="B499" s="7">
        <v>0</v>
      </c>
      <c r="C499">
        <f t="shared" si="17"/>
        <v>0.75586055390364359</v>
      </c>
      <c r="D499">
        <f t="shared" si="18"/>
        <v>-0.27989837232446807</v>
      </c>
    </row>
    <row r="500" spans="1:4" x14ac:dyDescent="0.15">
      <c r="A500" s="7">
        <v>494</v>
      </c>
      <c r="B500" s="7">
        <v>0</v>
      </c>
      <c r="C500">
        <f t="shared" si="17"/>
        <v>0.75586055390364359</v>
      </c>
      <c r="D500">
        <f t="shared" si="18"/>
        <v>-0.27989837232446807</v>
      </c>
    </row>
    <row r="501" spans="1:4" x14ac:dyDescent="0.15">
      <c r="A501" s="7">
        <v>495</v>
      </c>
      <c r="B501" s="7">
        <v>0</v>
      </c>
      <c r="C501">
        <f t="shared" si="17"/>
        <v>0.75586055390364359</v>
      </c>
      <c r="D501">
        <f t="shared" si="18"/>
        <v>-0.27989837232446807</v>
      </c>
    </row>
    <row r="502" spans="1:4" x14ac:dyDescent="0.15">
      <c r="A502" s="7">
        <v>496</v>
      </c>
      <c r="B502" s="7">
        <v>2</v>
      </c>
      <c r="C502">
        <f t="shared" si="17"/>
        <v>4.4062133811825943E-2</v>
      </c>
      <c r="D502">
        <f t="shared" si="18"/>
        <v>-3.1221545090977791</v>
      </c>
    </row>
    <row r="503" spans="1:4" x14ac:dyDescent="0.15">
      <c r="A503" s="7">
        <v>497</v>
      </c>
      <c r="B503" s="7">
        <v>0</v>
      </c>
      <c r="C503">
        <f t="shared" si="17"/>
        <v>0.75586055390364359</v>
      </c>
      <c r="D503">
        <f t="shared" si="18"/>
        <v>-0.27989837232446807</v>
      </c>
    </row>
    <row r="504" spans="1:4" x14ac:dyDescent="0.15">
      <c r="A504" s="7">
        <v>498</v>
      </c>
      <c r="B504" s="7">
        <v>0</v>
      </c>
      <c r="C504">
        <f t="shared" si="17"/>
        <v>0.75586055390364359</v>
      </c>
      <c r="D504">
        <f t="shared" si="18"/>
        <v>-0.27989837232446807</v>
      </c>
    </row>
    <row r="505" spans="1:4" x14ac:dyDescent="0.15">
      <c r="A505" s="7">
        <v>499</v>
      </c>
      <c r="B505" s="7">
        <v>1</v>
      </c>
      <c r="C505">
        <f t="shared" si="17"/>
        <v>8.8678581416840763E-2</v>
      </c>
      <c r="D505">
        <f t="shared" si="18"/>
        <v>-2.4227368910146492</v>
      </c>
    </row>
    <row r="506" spans="1:4" x14ac:dyDescent="0.15">
      <c r="A506" s="7">
        <v>500</v>
      </c>
      <c r="B506" s="7">
        <v>0</v>
      </c>
      <c r="C506">
        <f t="shared" si="17"/>
        <v>0.75586055390364359</v>
      </c>
      <c r="D506">
        <f t="shared" si="18"/>
        <v>-0.27989837232446807</v>
      </c>
    </row>
    <row r="507" spans="1:4" x14ac:dyDescent="0.15">
      <c r="A507" s="7">
        <v>501</v>
      </c>
      <c r="B507" s="7">
        <v>0</v>
      </c>
      <c r="C507">
        <f t="shared" si="17"/>
        <v>0.75586055390364359</v>
      </c>
      <c r="D507">
        <f t="shared" si="18"/>
        <v>-0.27989837232446807</v>
      </c>
    </row>
    <row r="508" spans="1:4" x14ac:dyDescent="0.15">
      <c r="A508" s="7">
        <v>502</v>
      </c>
      <c r="B508" s="7">
        <v>0</v>
      </c>
      <c r="C508">
        <f t="shared" si="17"/>
        <v>0.75586055390364359</v>
      </c>
      <c r="D508">
        <f t="shared" si="18"/>
        <v>-0.27989837232446807</v>
      </c>
    </row>
    <row r="509" spans="1:4" x14ac:dyDescent="0.15">
      <c r="A509" s="7">
        <v>503</v>
      </c>
      <c r="B509" s="7">
        <v>0</v>
      </c>
      <c r="C509">
        <f t="shared" si="17"/>
        <v>0.75586055390364359</v>
      </c>
      <c r="D509">
        <f t="shared" si="18"/>
        <v>-0.27989837232446807</v>
      </c>
    </row>
    <row r="510" spans="1:4" x14ac:dyDescent="0.15">
      <c r="A510" s="7">
        <v>504</v>
      </c>
      <c r="B510" s="7">
        <v>0</v>
      </c>
      <c r="C510">
        <f t="shared" si="17"/>
        <v>0.75586055390364359</v>
      </c>
      <c r="D510">
        <f t="shared" si="18"/>
        <v>-0.27989837232446807</v>
      </c>
    </row>
    <row r="511" spans="1:4" x14ac:dyDescent="0.15">
      <c r="A511" s="7">
        <v>505</v>
      </c>
      <c r="B511" s="7">
        <v>0</v>
      </c>
      <c r="C511">
        <f t="shared" si="17"/>
        <v>0.75586055390364359</v>
      </c>
      <c r="D511">
        <f t="shared" si="18"/>
        <v>-0.27989837232446807</v>
      </c>
    </row>
    <row r="512" spans="1:4" x14ac:dyDescent="0.15">
      <c r="A512" s="7">
        <v>506</v>
      </c>
      <c r="B512" s="7">
        <v>0</v>
      </c>
      <c r="C512">
        <f t="shared" si="17"/>
        <v>0.75586055390364359</v>
      </c>
      <c r="D512">
        <f t="shared" si="18"/>
        <v>-0.27989837232446807</v>
      </c>
    </row>
    <row r="513" spans="1:4" x14ac:dyDescent="0.15">
      <c r="A513" s="7">
        <v>507</v>
      </c>
      <c r="B513" s="7">
        <v>3</v>
      </c>
      <c r="C513">
        <f t="shared" si="17"/>
        <v>2.7467996558433502E-2</v>
      </c>
      <c r="D513">
        <f t="shared" si="18"/>
        <v>-3.594733713517384</v>
      </c>
    </row>
    <row r="514" spans="1:4" x14ac:dyDescent="0.15">
      <c r="A514" s="7">
        <v>508</v>
      </c>
      <c r="B514" s="7">
        <v>0</v>
      </c>
      <c r="C514">
        <f t="shared" si="17"/>
        <v>0.75586055390364359</v>
      </c>
      <c r="D514">
        <f t="shared" si="18"/>
        <v>-0.27989837232446807</v>
      </c>
    </row>
    <row r="515" spans="1:4" x14ac:dyDescent="0.15">
      <c r="A515" s="7">
        <v>509</v>
      </c>
      <c r="B515" s="7">
        <v>0</v>
      </c>
      <c r="C515">
        <f t="shared" si="17"/>
        <v>0.75586055390364359</v>
      </c>
      <c r="D515">
        <f t="shared" si="18"/>
        <v>-0.27989837232446807</v>
      </c>
    </row>
    <row r="516" spans="1:4" x14ac:dyDescent="0.15">
      <c r="A516" s="7">
        <v>510</v>
      </c>
      <c r="B516" s="7">
        <v>0</v>
      </c>
      <c r="C516">
        <f t="shared" si="17"/>
        <v>0.75586055390364359</v>
      </c>
      <c r="D516">
        <f t="shared" si="18"/>
        <v>-0.27989837232446807</v>
      </c>
    </row>
    <row r="517" spans="1:4" x14ac:dyDescent="0.15">
      <c r="A517" s="7">
        <v>511</v>
      </c>
      <c r="B517" s="7">
        <v>0</v>
      </c>
      <c r="C517">
        <f t="shared" si="17"/>
        <v>0.75586055390364359</v>
      </c>
      <c r="D517">
        <f t="shared" si="18"/>
        <v>-0.27989837232446807</v>
      </c>
    </row>
    <row r="518" spans="1:4" x14ac:dyDescent="0.15">
      <c r="A518" s="7">
        <v>512</v>
      </c>
      <c r="B518" s="7">
        <v>0</v>
      </c>
      <c r="C518">
        <f t="shared" si="17"/>
        <v>0.75586055390364359</v>
      </c>
      <c r="D518">
        <f t="shared" si="18"/>
        <v>-0.27989837232446807</v>
      </c>
    </row>
    <row r="519" spans="1:4" x14ac:dyDescent="0.15">
      <c r="A519" s="7">
        <v>513</v>
      </c>
      <c r="B519" s="7">
        <v>2</v>
      </c>
      <c r="C519">
        <f t="shared" si="17"/>
        <v>4.4062133811825943E-2</v>
      </c>
      <c r="D519">
        <f t="shared" si="18"/>
        <v>-3.1221545090977791</v>
      </c>
    </row>
    <row r="520" spans="1:4" x14ac:dyDescent="0.15">
      <c r="A520" s="7">
        <v>514</v>
      </c>
      <c r="B520" s="7">
        <v>2</v>
      </c>
      <c r="C520">
        <f t="shared" ref="C520:C583" si="19">(_xlfn.GAMMA($B$1+B520)/(_xlfn.GAMMA($B$1)*FACT(B520))) * ($B$2/($B$2+$B$4))^$B$1 * (1/($B$2 +$B$4))^B520</f>
        <v>4.4062133811825943E-2</v>
      </c>
      <c r="D520">
        <f t="shared" ref="D520:D583" si="20">LN(C520)</f>
        <v>-3.1221545090977791</v>
      </c>
    </row>
    <row r="521" spans="1:4" x14ac:dyDescent="0.15">
      <c r="A521" s="7">
        <v>515</v>
      </c>
      <c r="B521" s="7">
        <v>1</v>
      </c>
      <c r="C521">
        <f t="shared" si="19"/>
        <v>8.8678581416840763E-2</v>
      </c>
      <c r="D521">
        <f t="shared" si="20"/>
        <v>-2.4227368910146492</v>
      </c>
    </row>
    <row r="522" spans="1:4" x14ac:dyDescent="0.15">
      <c r="A522" s="7">
        <v>516</v>
      </c>
      <c r="B522" s="7">
        <v>16</v>
      </c>
      <c r="C522">
        <f t="shared" si="19"/>
        <v>1.1791864661569508E-3</v>
      </c>
      <c r="D522">
        <f t="shared" si="20"/>
        <v>-6.7429305137346924</v>
      </c>
    </row>
    <row r="523" spans="1:4" x14ac:dyDescent="0.15">
      <c r="A523" s="7">
        <v>517</v>
      </c>
      <c r="B523" s="7">
        <v>0</v>
      </c>
      <c r="C523">
        <f t="shared" si="19"/>
        <v>0.75586055390364359</v>
      </c>
      <c r="D523">
        <f t="shared" si="20"/>
        <v>-0.27989837232446807</v>
      </c>
    </row>
    <row r="524" spans="1:4" x14ac:dyDescent="0.15">
      <c r="A524" s="7">
        <v>518</v>
      </c>
      <c r="B524" s="7">
        <v>0</v>
      </c>
      <c r="C524">
        <f t="shared" si="19"/>
        <v>0.75586055390364359</v>
      </c>
      <c r="D524">
        <f t="shared" si="20"/>
        <v>-0.27989837232446807</v>
      </c>
    </row>
    <row r="525" spans="1:4" x14ac:dyDescent="0.15">
      <c r="A525" s="7">
        <v>519</v>
      </c>
      <c r="B525" s="7">
        <v>5</v>
      </c>
      <c r="C525">
        <f t="shared" si="19"/>
        <v>1.366675533834656E-2</v>
      </c>
      <c r="D525">
        <f t="shared" si="20"/>
        <v>-4.2927890127952875</v>
      </c>
    </row>
    <row r="526" spans="1:4" x14ac:dyDescent="0.15">
      <c r="A526" s="7">
        <v>520</v>
      </c>
      <c r="B526" s="7">
        <v>0</v>
      </c>
      <c r="C526">
        <f t="shared" si="19"/>
        <v>0.75586055390364359</v>
      </c>
      <c r="D526">
        <f t="shared" si="20"/>
        <v>-0.27989837232446807</v>
      </c>
    </row>
    <row r="527" spans="1:4" x14ac:dyDescent="0.15">
      <c r="A527" s="7">
        <v>521</v>
      </c>
      <c r="B527" s="7">
        <v>0</v>
      </c>
      <c r="C527">
        <f t="shared" si="19"/>
        <v>0.75586055390364359</v>
      </c>
      <c r="D527">
        <f t="shared" si="20"/>
        <v>-0.27989837232446807</v>
      </c>
    </row>
    <row r="528" spans="1:4" x14ac:dyDescent="0.15">
      <c r="A528" s="7">
        <v>522</v>
      </c>
      <c r="B528" s="7">
        <v>1</v>
      </c>
      <c r="C528">
        <f t="shared" si="19"/>
        <v>8.8678581416840763E-2</v>
      </c>
      <c r="D528">
        <f t="shared" si="20"/>
        <v>-2.4227368910146492</v>
      </c>
    </row>
    <row r="529" spans="1:4" x14ac:dyDescent="0.15">
      <c r="A529" s="7">
        <v>523</v>
      </c>
      <c r="B529" s="7">
        <v>0</v>
      </c>
      <c r="C529">
        <f t="shared" si="19"/>
        <v>0.75586055390364359</v>
      </c>
      <c r="D529">
        <f t="shared" si="20"/>
        <v>-0.27989837232446807</v>
      </c>
    </row>
    <row r="530" spans="1:4" x14ac:dyDescent="0.15">
      <c r="A530" s="7">
        <v>524</v>
      </c>
      <c r="B530" s="7">
        <v>0</v>
      </c>
      <c r="C530">
        <f t="shared" si="19"/>
        <v>0.75586055390364359</v>
      </c>
      <c r="D530">
        <f t="shared" si="20"/>
        <v>-0.27989837232446807</v>
      </c>
    </row>
    <row r="531" spans="1:4" x14ac:dyDescent="0.15">
      <c r="A531" s="7">
        <v>525</v>
      </c>
      <c r="B531" s="7">
        <v>0</v>
      </c>
      <c r="C531">
        <f t="shared" si="19"/>
        <v>0.75586055390364359</v>
      </c>
      <c r="D531">
        <f t="shared" si="20"/>
        <v>-0.27989837232446807</v>
      </c>
    </row>
    <row r="532" spans="1:4" x14ac:dyDescent="0.15">
      <c r="A532" s="7">
        <v>526</v>
      </c>
      <c r="B532" s="7">
        <v>1</v>
      </c>
      <c r="C532">
        <f t="shared" si="19"/>
        <v>8.8678581416840763E-2</v>
      </c>
      <c r="D532">
        <f t="shared" si="20"/>
        <v>-2.4227368910146492</v>
      </c>
    </row>
    <row r="533" spans="1:4" x14ac:dyDescent="0.15">
      <c r="A533" s="7">
        <v>527</v>
      </c>
      <c r="B533" s="7">
        <v>0</v>
      </c>
      <c r="C533">
        <f t="shared" si="19"/>
        <v>0.75586055390364359</v>
      </c>
      <c r="D533">
        <f t="shared" si="20"/>
        <v>-0.27989837232446807</v>
      </c>
    </row>
    <row r="534" spans="1:4" x14ac:dyDescent="0.15">
      <c r="A534" s="7">
        <v>528</v>
      </c>
      <c r="B534" s="7">
        <v>0</v>
      </c>
      <c r="C534">
        <f t="shared" si="19"/>
        <v>0.75586055390364359</v>
      </c>
      <c r="D534">
        <f t="shared" si="20"/>
        <v>-0.27989837232446807</v>
      </c>
    </row>
    <row r="535" spans="1:4" x14ac:dyDescent="0.15">
      <c r="A535" s="7">
        <v>529</v>
      </c>
      <c r="B535" s="7">
        <v>0</v>
      </c>
      <c r="C535">
        <f t="shared" si="19"/>
        <v>0.75586055390364359</v>
      </c>
      <c r="D535">
        <f t="shared" si="20"/>
        <v>-0.27989837232446807</v>
      </c>
    </row>
    <row r="536" spans="1:4" x14ac:dyDescent="0.15">
      <c r="A536" s="7">
        <v>530</v>
      </c>
      <c r="B536" s="7">
        <v>0</v>
      </c>
      <c r="C536">
        <f t="shared" si="19"/>
        <v>0.75586055390364359</v>
      </c>
      <c r="D536">
        <f t="shared" si="20"/>
        <v>-0.27989837232446807</v>
      </c>
    </row>
    <row r="537" spans="1:4" x14ac:dyDescent="0.15">
      <c r="A537" s="7">
        <v>531</v>
      </c>
      <c r="B537" s="7">
        <v>0</v>
      </c>
      <c r="C537">
        <f t="shared" si="19"/>
        <v>0.75586055390364359</v>
      </c>
      <c r="D537">
        <f t="shared" si="20"/>
        <v>-0.27989837232446807</v>
      </c>
    </row>
    <row r="538" spans="1:4" x14ac:dyDescent="0.15">
      <c r="A538" s="7">
        <v>532</v>
      </c>
      <c r="B538" s="7">
        <v>0</v>
      </c>
      <c r="C538">
        <f t="shared" si="19"/>
        <v>0.75586055390364359</v>
      </c>
      <c r="D538">
        <f t="shared" si="20"/>
        <v>-0.27989837232446807</v>
      </c>
    </row>
    <row r="539" spans="1:4" x14ac:dyDescent="0.15">
      <c r="A539" s="7">
        <v>533</v>
      </c>
      <c r="B539" s="7">
        <v>0</v>
      </c>
      <c r="C539">
        <f t="shared" si="19"/>
        <v>0.75586055390364359</v>
      </c>
      <c r="D539">
        <f t="shared" si="20"/>
        <v>-0.27989837232446807</v>
      </c>
    </row>
    <row r="540" spans="1:4" x14ac:dyDescent="0.15">
      <c r="A540" s="7">
        <v>534</v>
      </c>
      <c r="B540" s="7">
        <v>0</v>
      </c>
      <c r="C540">
        <f t="shared" si="19"/>
        <v>0.75586055390364359</v>
      </c>
      <c r="D540">
        <f t="shared" si="20"/>
        <v>-0.27989837232446807</v>
      </c>
    </row>
    <row r="541" spans="1:4" x14ac:dyDescent="0.15">
      <c r="A541" s="7">
        <v>535</v>
      </c>
      <c r="B541" s="7">
        <v>0</v>
      </c>
      <c r="C541">
        <f t="shared" si="19"/>
        <v>0.75586055390364359</v>
      </c>
      <c r="D541">
        <f t="shared" si="20"/>
        <v>-0.27989837232446807</v>
      </c>
    </row>
    <row r="542" spans="1:4" x14ac:dyDescent="0.15">
      <c r="A542" s="7">
        <v>536</v>
      </c>
      <c r="B542" s="7">
        <v>0</v>
      </c>
      <c r="C542">
        <f t="shared" si="19"/>
        <v>0.75586055390364359</v>
      </c>
      <c r="D542">
        <f t="shared" si="20"/>
        <v>-0.27989837232446807</v>
      </c>
    </row>
    <row r="543" spans="1:4" x14ac:dyDescent="0.15">
      <c r="A543" s="7">
        <v>537</v>
      </c>
      <c r="B543" s="7">
        <v>0</v>
      </c>
      <c r="C543">
        <f t="shared" si="19"/>
        <v>0.75586055390364359</v>
      </c>
      <c r="D543">
        <f t="shared" si="20"/>
        <v>-0.27989837232446807</v>
      </c>
    </row>
    <row r="544" spans="1:4" x14ac:dyDescent="0.15">
      <c r="A544" s="7">
        <v>538</v>
      </c>
      <c r="B544" s="7">
        <v>0</v>
      </c>
      <c r="C544">
        <f t="shared" si="19"/>
        <v>0.75586055390364359</v>
      </c>
      <c r="D544">
        <f t="shared" si="20"/>
        <v>-0.27989837232446807</v>
      </c>
    </row>
    <row r="545" spans="1:4" x14ac:dyDescent="0.15">
      <c r="A545" s="7">
        <v>539</v>
      </c>
      <c r="B545" s="7">
        <v>0</v>
      </c>
      <c r="C545">
        <f t="shared" si="19"/>
        <v>0.75586055390364359</v>
      </c>
      <c r="D545">
        <f t="shared" si="20"/>
        <v>-0.27989837232446807</v>
      </c>
    </row>
    <row r="546" spans="1:4" x14ac:dyDescent="0.15">
      <c r="A546" s="7">
        <v>540</v>
      </c>
      <c r="B546" s="7">
        <v>1</v>
      </c>
      <c r="C546">
        <f t="shared" si="19"/>
        <v>8.8678581416840763E-2</v>
      </c>
      <c r="D546">
        <f t="shared" si="20"/>
        <v>-2.4227368910146492</v>
      </c>
    </row>
    <row r="547" spans="1:4" x14ac:dyDescent="0.15">
      <c r="A547" s="7">
        <v>541</v>
      </c>
      <c r="B547" s="7">
        <v>2</v>
      </c>
      <c r="C547">
        <f t="shared" si="19"/>
        <v>4.4062133811825943E-2</v>
      </c>
      <c r="D547">
        <f t="shared" si="20"/>
        <v>-3.1221545090977791</v>
      </c>
    </row>
    <row r="548" spans="1:4" x14ac:dyDescent="0.15">
      <c r="A548" s="7">
        <v>542</v>
      </c>
      <c r="B548" s="7">
        <v>10</v>
      </c>
      <c r="C548">
        <f t="shared" si="19"/>
        <v>3.9004877815418653E-3</v>
      </c>
      <c r="D548">
        <f t="shared" si="20"/>
        <v>-5.5466536614771886</v>
      </c>
    </row>
    <row r="549" spans="1:4" x14ac:dyDescent="0.15">
      <c r="A549" s="7">
        <v>543</v>
      </c>
      <c r="B549" s="7">
        <v>16</v>
      </c>
      <c r="C549">
        <f t="shared" si="19"/>
        <v>1.1791864661569508E-3</v>
      </c>
      <c r="D549">
        <f t="shared" si="20"/>
        <v>-6.7429305137346924</v>
      </c>
    </row>
    <row r="550" spans="1:4" x14ac:dyDescent="0.15">
      <c r="A550" s="7">
        <v>544</v>
      </c>
      <c r="B550" s="7">
        <v>0</v>
      </c>
      <c r="C550">
        <f t="shared" si="19"/>
        <v>0.75586055390364359</v>
      </c>
      <c r="D550">
        <f t="shared" si="20"/>
        <v>-0.27989837232446807</v>
      </c>
    </row>
    <row r="551" spans="1:4" x14ac:dyDescent="0.15">
      <c r="A551" s="7">
        <v>545</v>
      </c>
      <c r="B551" s="7">
        <v>1</v>
      </c>
      <c r="C551">
        <f t="shared" si="19"/>
        <v>8.8678581416840763E-2</v>
      </c>
      <c r="D551">
        <f t="shared" si="20"/>
        <v>-2.4227368910146492</v>
      </c>
    </row>
    <row r="552" spans="1:4" x14ac:dyDescent="0.15">
      <c r="A552" s="7">
        <v>546</v>
      </c>
      <c r="B552" s="7">
        <v>5</v>
      </c>
      <c r="C552">
        <f t="shared" si="19"/>
        <v>1.366675533834656E-2</v>
      </c>
      <c r="D552">
        <f t="shared" si="20"/>
        <v>-4.2927890127952875</v>
      </c>
    </row>
    <row r="553" spans="1:4" x14ac:dyDescent="0.15">
      <c r="A553" s="7">
        <v>547</v>
      </c>
      <c r="B553" s="7">
        <v>0</v>
      </c>
      <c r="C553">
        <f t="shared" si="19"/>
        <v>0.75586055390364359</v>
      </c>
      <c r="D553">
        <f t="shared" si="20"/>
        <v>-0.27989837232446807</v>
      </c>
    </row>
    <row r="554" spans="1:4" x14ac:dyDescent="0.15">
      <c r="A554" s="7">
        <v>548</v>
      </c>
      <c r="B554" s="7">
        <v>1</v>
      </c>
      <c r="C554">
        <f t="shared" si="19"/>
        <v>8.8678581416840763E-2</v>
      </c>
      <c r="D554">
        <f t="shared" si="20"/>
        <v>-2.4227368910146492</v>
      </c>
    </row>
    <row r="555" spans="1:4" x14ac:dyDescent="0.15">
      <c r="A555" s="7">
        <v>549</v>
      </c>
      <c r="B555" s="7">
        <v>0</v>
      </c>
      <c r="C555">
        <f t="shared" si="19"/>
        <v>0.75586055390364359</v>
      </c>
      <c r="D555">
        <f t="shared" si="20"/>
        <v>-0.27989837232446807</v>
      </c>
    </row>
    <row r="556" spans="1:4" x14ac:dyDescent="0.15">
      <c r="A556" s="7">
        <v>550</v>
      </c>
      <c r="B556" s="7">
        <v>0</v>
      </c>
      <c r="C556">
        <f t="shared" si="19"/>
        <v>0.75586055390364359</v>
      </c>
      <c r="D556">
        <f t="shared" si="20"/>
        <v>-0.27989837232446807</v>
      </c>
    </row>
    <row r="557" spans="1:4" x14ac:dyDescent="0.15">
      <c r="A557" s="7">
        <v>551</v>
      </c>
      <c r="B557" s="7">
        <v>0</v>
      </c>
      <c r="C557">
        <f t="shared" si="19"/>
        <v>0.75586055390364359</v>
      </c>
      <c r="D557">
        <f t="shared" si="20"/>
        <v>-0.27989837232446807</v>
      </c>
    </row>
    <row r="558" spans="1:4" x14ac:dyDescent="0.15">
      <c r="A558" s="7">
        <v>552</v>
      </c>
      <c r="B558" s="7">
        <v>5</v>
      </c>
      <c r="C558">
        <f t="shared" si="19"/>
        <v>1.366675533834656E-2</v>
      </c>
      <c r="D558">
        <f t="shared" si="20"/>
        <v>-4.2927890127952875</v>
      </c>
    </row>
    <row r="559" spans="1:4" x14ac:dyDescent="0.15">
      <c r="A559" s="7">
        <v>553</v>
      </c>
      <c r="B559" s="7">
        <v>0</v>
      </c>
      <c r="C559">
        <f t="shared" si="19"/>
        <v>0.75586055390364359</v>
      </c>
      <c r="D559">
        <f t="shared" si="20"/>
        <v>-0.27989837232446807</v>
      </c>
    </row>
    <row r="560" spans="1:4" x14ac:dyDescent="0.15">
      <c r="A560" s="7">
        <v>554</v>
      </c>
      <c r="B560" s="7">
        <v>0</v>
      </c>
      <c r="C560">
        <f t="shared" si="19"/>
        <v>0.75586055390364359</v>
      </c>
      <c r="D560">
        <f t="shared" si="20"/>
        <v>-0.27989837232446807</v>
      </c>
    </row>
    <row r="561" spans="1:4" x14ac:dyDescent="0.15">
      <c r="A561" s="7">
        <v>555</v>
      </c>
      <c r="B561" s="7">
        <v>0</v>
      </c>
      <c r="C561">
        <f t="shared" si="19"/>
        <v>0.75586055390364359</v>
      </c>
      <c r="D561">
        <f t="shared" si="20"/>
        <v>-0.27989837232446807</v>
      </c>
    </row>
    <row r="562" spans="1:4" x14ac:dyDescent="0.15">
      <c r="A562" s="7">
        <v>556</v>
      </c>
      <c r="B562" s="7">
        <v>0</v>
      </c>
      <c r="C562">
        <f t="shared" si="19"/>
        <v>0.75586055390364359</v>
      </c>
      <c r="D562">
        <f t="shared" si="20"/>
        <v>-0.27989837232446807</v>
      </c>
    </row>
    <row r="563" spans="1:4" x14ac:dyDescent="0.15">
      <c r="A563" s="7">
        <v>557</v>
      </c>
      <c r="B563" s="7">
        <v>1</v>
      </c>
      <c r="C563">
        <f t="shared" si="19"/>
        <v>8.8678581416840763E-2</v>
      </c>
      <c r="D563">
        <f t="shared" si="20"/>
        <v>-2.4227368910146492</v>
      </c>
    </row>
    <row r="564" spans="1:4" x14ac:dyDescent="0.15">
      <c r="A564" s="7">
        <v>558</v>
      </c>
      <c r="B564" s="7">
        <v>0</v>
      </c>
      <c r="C564">
        <f t="shared" si="19"/>
        <v>0.75586055390364359</v>
      </c>
      <c r="D564">
        <f t="shared" si="20"/>
        <v>-0.27989837232446807</v>
      </c>
    </row>
    <row r="565" spans="1:4" x14ac:dyDescent="0.15">
      <c r="A565" s="7">
        <v>559</v>
      </c>
      <c r="B565" s="7">
        <v>3</v>
      </c>
      <c r="C565">
        <f t="shared" si="19"/>
        <v>2.7467996558433502E-2</v>
      </c>
      <c r="D565">
        <f t="shared" si="20"/>
        <v>-3.594733713517384</v>
      </c>
    </row>
    <row r="566" spans="1:4" x14ac:dyDescent="0.15">
      <c r="A566" s="7">
        <v>560</v>
      </c>
      <c r="B566" s="7">
        <v>0</v>
      </c>
      <c r="C566">
        <f t="shared" si="19"/>
        <v>0.75586055390364359</v>
      </c>
      <c r="D566">
        <f t="shared" si="20"/>
        <v>-0.27989837232446807</v>
      </c>
    </row>
    <row r="567" spans="1:4" x14ac:dyDescent="0.15">
      <c r="A567" s="7">
        <v>561</v>
      </c>
      <c r="B567" s="7">
        <v>0</v>
      </c>
      <c r="C567">
        <f t="shared" si="19"/>
        <v>0.75586055390364359</v>
      </c>
      <c r="D567">
        <f t="shared" si="20"/>
        <v>-0.27989837232446807</v>
      </c>
    </row>
    <row r="568" spans="1:4" x14ac:dyDescent="0.15">
      <c r="A568" s="7">
        <v>562</v>
      </c>
      <c r="B568" s="7">
        <v>0</v>
      </c>
      <c r="C568">
        <f t="shared" si="19"/>
        <v>0.75586055390364359</v>
      </c>
      <c r="D568">
        <f t="shared" si="20"/>
        <v>-0.27989837232446807</v>
      </c>
    </row>
    <row r="569" spans="1:4" x14ac:dyDescent="0.15">
      <c r="A569" s="7">
        <v>563</v>
      </c>
      <c r="B569" s="7">
        <v>22</v>
      </c>
      <c r="C569">
        <f t="shared" si="19"/>
        <v>4.0599912821353689E-4</v>
      </c>
      <c r="D569">
        <f t="shared" si="20"/>
        <v>-7.809159545622145</v>
      </c>
    </row>
    <row r="570" spans="1:4" x14ac:dyDescent="0.15">
      <c r="A570" s="7">
        <v>564</v>
      </c>
      <c r="B570" s="7">
        <v>0</v>
      </c>
      <c r="C570">
        <f t="shared" si="19"/>
        <v>0.75586055390364359</v>
      </c>
      <c r="D570">
        <f t="shared" si="20"/>
        <v>-0.27989837232446807</v>
      </c>
    </row>
    <row r="571" spans="1:4" x14ac:dyDescent="0.15">
      <c r="A571" s="7">
        <v>565</v>
      </c>
      <c r="B571" s="7">
        <v>0</v>
      </c>
      <c r="C571">
        <f t="shared" si="19"/>
        <v>0.75586055390364359</v>
      </c>
      <c r="D571">
        <f t="shared" si="20"/>
        <v>-0.27989837232446807</v>
      </c>
    </row>
    <row r="572" spans="1:4" x14ac:dyDescent="0.15">
      <c r="A572" s="7">
        <v>566</v>
      </c>
      <c r="B572" s="7">
        <v>0</v>
      </c>
      <c r="C572">
        <f t="shared" si="19"/>
        <v>0.75586055390364359</v>
      </c>
      <c r="D572">
        <f t="shared" si="20"/>
        <v>-0.27989837232446807</v>
      </c>
    </row>
    <row r="573" spans="1:4" x14ac:dyDescent="0.15">
      <c r="A573" s="7">
        <v>567</v>
      </c>
      <c r="B573" s="7">
        <v>2</v>
      </c>
      <c r="C573">
        <f t="shared" si="19"/>
        <v>4.4062133811825943E-2</v>
      </c>
      <c r="D573">
        <f t="shared" si="20"/>
        <v>-3.1221545090977791</v>
      </c>
    </row>
    <row r="574" spans="1:4" x14ac:dyDescent="0.15">
      <c r="A574" s="7">
        <v>568</v>
      </c>
      <c r="B574" s="7">
        <v>0</v>
      </c>
      <c r="C574">
        <f t="shared" si="19"/>
        <v>0.75586055390364359</v>
      </c>
      <c r="D574">
        <f t="shared" si="20"/>
        <v>-0.27989837232446807</v>
      </c>
    </row>
    <row r="575" spans="1:4" x14ac:dyDescent="0.15">
      <c r="A575" s="7">
        <v>569</v>
      </c>
      <c r="B575" s="7">
        <v>3</v>
      </c>
      <c r="C575">
        <f t="shared" si="19"/>
        <v>2.7467996558433502E-2</v>
      </c>
      <c r="D575">
        <f t="shared" si="20"/>
        <v>-3.594733713517384</v>
      </c>
    </row>
    <row r="576" spans="1:4" x14ac:dyDescent="0.15">
      <c r="A576" s="7">
        <v>570</v>
      </c>
      <c r="B576" s="7">
        <v>0</v>
      </c>
      <c r="C576">
        <f t="shared" si="19"/>
        <v>0.75586055390364359</v>
      </c>
      <c r="D576">
        <f t="shared" si="20"/>
        <v>-0.27989837232446807</v>
      </c>
    </row>
    <row r="577" spans="1:4" x14ac:dyDescent="0.15">
      <c r="A577" s="7">
        <v>571</v>
      </c>
      <c r="B577" s="7">
        <v>0</v>
      </c>
      <c r="C577">
        <f t="shared" si="19"/>
        <v>0.75586055390364359</v>
      </c>
      <c r="D577">
        <f t="shared" si="20"/>
        <v>-0.27989837232446807</v>
      </c>
    </row>
    <row r="578" spans="1:4" x14ac:dyDescent="0.15">
      <c r="A578" s="7">
        <v>572</v>
      </c>
      <c r="B578" s="7">
        <v>0</v>
      </c>
      <c r="C578">
        <f t="shared" si="19"/>
        <v>0.75586055390364359</v>
      </c>
      <c r="D578">
        <f t="shared" si="20"/>
        <v>-0.27989837232446807</v>
      </c>
    </row>
    <row r="579" spans="1:4" x14ac:dyDescent="0.15">
      <c r="A579" s="7">
        <v>573</v>
      </c>
      <c r="B579" s="7">
        <v>0</v>
      </c>
      <c r="C579">
        <f t="shared" si="19"/>
        <v>0.75586055390364359</v>
      </c>
      <c r="D579">
        <f t="shared" si="20"/>
        <v>-0.27989837232446807</v>
      </c>
    </row>
    <row r="580" spans="1:4" x14ac:dyDescent="0.15">
      <c r="A580" s="7">
        <v>574</v>
      </c>
      <c r="B580" s="7">
        <v>0</v>
      </c>
      <c r="C580">
        <f t="shared" si="19"/>
        <v>0.75586055390364359</v>
      </c>
      <c r="D580">
        <f t="shared" si="20"/>
        <v>-0.27989837232446807</v>
      </c>
    </row>
    <row r="581" spans="1:4" x14ac:dyDescent="0.15">
      <c r="A581" s="7">
        <v>575</v>
      </c>
      <c r="B581" s="7">
        <v>1</v>
      </c>
      <c r="C581">
        <f t="shared" si="19"/>
        <v>8.8678581416840763E-2</v>
      </c>
      <c r="D581">
        <f t="shared" si="20"/>
        <v>-2.4227368910146492</v>
      </c>
    </row>
    <row r="582" spans="1:4" x14ac:dyDescent="0.15">
      <c r="A582" s="7">
        <v>576</v>
      </c>
      <c r="B582" s="7">
        <v>0</v>
      </c>
      <c r="C582">
        <f t="shared" si="19"/>
        <v>0.75586055390364359</v>
      </c>
      <c r="D582">
        <f t="shared" si="20"/>
        <v>-0.27989837232446807</v>
      </c>
    </row>
    <row r="583" spans="1:4" x14ac:dyDescent="0.15">
      <c r="A583" s="7">
        <v>577</v>
      </c>
      <c r="B583" s="7">
        <v>0</v>
      </c>
      <c r="C583">
        <f t="shared" si="19"/>
        <v>0.75586055390364359</v>
      </c>
      <c r="D583">
        <f t="shared" si="20"/>
        <v>-0.27989837232446807</v>
      </c>
    </row>
    <row r="584" spans="1:4" x14ac:dyDescent="0.15">
      <c r="A584" s="7">
        <v>578</v>
      </c>
      <c r="B584" s="7">
        <v>0</v>
      </c>
      <c r="C584">
        <f t="shared" ref="C584:C647" si="21">(_xlfn.GAMMA($B$1+B584)/(_xlfn.GAMMA($B$1)*FACT(B584))) * ($B$2/($B$2+$B$4))^$B$1 * (1/($B$2 +$B$4))^B584</f>
        <v>0.75586055390364359</v>
      </c>
      <c r="D584">
        <f t="shared" ref="D584:D647" si="22">LN(C584)</f>
        <v>-0.27989837232446807</v>
      </c>
    </row>
    <row r="585" spans="1:4" x14ac:dyDescent="0.15">
      <c r="A585" s="7">
        <v>579</v>
      </c>
      <c r="B585" s="7">
        <v>0</v>
      </c>
      <c r="C585">
        <f t="shared" si="21"/>
        <v>0.75586055390364359</v>
      </c>
      <c r="D585">
        <f t="shared" si="22"/>
        <v>-0.27989837232446807</v>
      </c>
    </row>
    <row r="586" spans="1:4" x14ac:dyDescent="0.15">
      <c r="A586" s="7">
        <v>580</v>
      </c>
      <c r="B586" s="7">
        <v>0</v>
      </c>
      <c r="C586">
        <f t="shared" si="21"/>
        <v>0.75586055390364359</v>
      </c>
      <c r="D586">
        <f t="shared" si="22"/>
        <v>-0.27989837232446807</v>
      </c>
    </row>
    <row r="587" spans="1:4" x14ac:dyDescent="0.15">
      <c r="A587" s="7">
        <v>581</v>
      </c>
      <c r="B587" s="7">
        <v>0</v>
      </c>
      <c r="C587">
        <f t="shared" si="21"/>
        <v>0.75586055390364359</v>
      </c>
      <c r="D587">
        <f t="shared" si="22"/>
        <v>-0.27989837232446807</v>
      </c>
    </row>
    <row r="588" spans="1:4" x14ac:dyDescent="0.15">
      <c r="A588" s="7">
        <v>582</v>
      </c>
      <c r="B588" s="7">
        <v>1</v>
      </c>
      <c r="C588">
        <f t="shared" si="21"/>
        <v>8.8678581416840763E-2</v>
      </c>
      <c r="D588">
        <f t="shared" si="22"/>
        <v>-2.4227368910146492</v>
      </c>
    </row>
    <row r="589" spans="1:4" x14ac:dyDescent="0.15">
      <c r="A589" s="7">
        <v>583</v>
      </c>
      <c r="B589" s="7">
        <v>0</v>
      </c>
      <c r="C589">
        <f t="shared" si="21"/>
        <v>0.75586055390364359</v>
      </c>
      <c r="D589">
        <f t="shared" si="22"/>
        <v>-0.27989837232446807</v>
      </c>
    </row>
    <row r="590" spans="1:4" x14ac:dyDescent="0.15">
      <c r="A590" s="7">
        <v>584</v>
      </c>
      <c r="B590" s="7">
        <v>5</v>
      </c>
      <c r="C590">
        <f t="shared" si="21"/>
        <v>1.366675533834656E-2</v>
      </c>
      <c r="D590">
        <f t="shared" si="22"/>
        <v>-4.2927890127952875</v>
      </c>
    </row>
    <row r="591" spans="1:4" x14ac:dyDescent="0.15">
      <c r="A591" s="7">
        <v>585</v>
      </c>
      <c r="B591" s="7">
        <v>0</v>
      </c>
      <c r="C591">
        <f t="shared" si="21"/>
        <v>0.75586055390364359</v>
      </c>
      <c r="D591">
        <f t="shared" si="22"/>
        <v>-0.27989837232446807</v>
      </c>
    </row>
    <row r="592" spans="1:4" x14ac:dyDescent="0.15">
      <c r="A592" s="7">
        <v>586</v>
      </c>
      <c r="B592" s="7">
        <v>2</v>
      </c>
      <c r="C592">
        <f t="shared" si="21"/>
        <v>4.4062133811825943E-2</v>
      </c>
      <c r="D592">
        <f t="shared" si="22"/>
        <v>-3.1221545090977791</v>
      </c>
    </row>
    <row r="593" spans="1:4" x14ac:dyDescent="0.15">
      <c r="A593" s="7">
        <v>587</v>
      </c>
      <c r="B593" s="7">
        <v>0</v>
      </c>
      <c r="C593">
        <f t="shared" si="21"/>
        <v>0.75586055390364359</v>
      </c>
      <c r="D593">
        <f t="shared" si="22"/>
        <v>-0.27989837232446807</v>
      </c>
    </row>
    <row r="594" spans="1:4" x14ac:dyDescent="0.15">
      <c r="A594" s="7">
        <v>588</v>
      </c>
      <c r="B594" s="7">
        <v>0</v>
      </c>
      <c r="C594">
        <f t="shared" si="21"/>
        <v>0.75586055390364359</v>
      </c>
      <c r="D594">
        <f t="shared" si="22"/>
        <v>-0.27989837232446807</v>
      </c>
    </row>
    <row r="595" spans="1:4" x14ac:dyDescent="0.15">
      <c r="A595" s="7">
        <v>589</v>
      </c>
      <c r="B595" s="7">
        <v>0</v>
      </c>
      <c r="C595">
        <f t="shared" si="21"/>
        <v>0.75586055390364359</v>
      </c>
      <c r="D595">
        <f t="shared" si="22"/>
        <v>-0.27989837232446807</v>
      </c>
    </row>
    <row r="596" spans="1:4" x14ac:dyDescent="0.15">
      <c r="A596" s="7">
        <v>590</v>
      </c>
      <c r="B596" s="7">
        <v>0</v>
      </c>
      <c r="C596">
        <f t="shared" si="21"/>
        <v>0.75586055390364359</v>
      </c>
      <c r="D596">
        <f t="shared" si="22"/>
        <v>-0.27989837232446807</v>
      </c>
    </row>
    <row r="597" spans="1:4" x14ac:dyDescent="0.15">
      <c r="A597" s="7">
        <v>591</v>
      </c>
      <c r="B597" s="7">
        <v>0</v>
      </c>
      <c r="C597">
        <f t="shared" si="21"/>
        <v>0.75586055390364359</v>
      </c>
      <c r="D597">
        <f t="shared" si="22"/>
        <v>-0.27989837232446807</v>
      </c>
    </row>
    <row r="598" spans="1:4" x14ac:dyDescent="0.15">
      <c r="A598" s="7">
        <v>592</v>
      </c>
      <c r="B598" s="7">
        <v>0</v>
      </c>
      <c r="C598">
        <f t="shared" si="21"/>
        <v>0.75586055390364359</v>
      </c>
      <c r="D598">
        <f t="shared" si="22"/>
        <v>-0.27989837232446807</v>
      </c>
    </row>
    <row r="599" spans="1:4" x14ac:dyDescent="0.15">
      <c r="A599" s="7">
        <v>593</v>
      </c>
      <c r="B599" s="7">
        <v>0</v>
      </c>
      <c r="C599">
        <f t="shared" si="21"/>
        <v>0.75586055390364359</v>
      </c>
      <c r="D599">
        <f t="shared" si="22"/>
        <v>-0.27989837232446807</v>
      </c>
    </row>
    <row r="600" spans="1:4" x14ac:dyDescent="0.15">
      <c r="A600" s="7">
        <v>594</v>
      </c>
      <c r="B600" s="7">
        <v>0</v>
      </c>
      <c r="C600">
        <f t="shared" si="21"/>
        <v>0.75586055390364359</v>
      </c>
      <c r="D600">
        <f t="shared" si="22"/>
        <v>-0.27989837232446807</v>
      </c>
    </row>
    <row r="601" spans="1:4" x14ac:dyDescent="0.15">
      <c r="A601" s="7">
        <v>595</v>
      </c>
      <c r="B601" s="7">
        <v>15</v>
      </c>
      <c r="C601">
        <f t="shared" si="21"/>
        <v>1.4224483572011716E-3</v>
      </c>
      <c r="D601">
        <f t="shared" si="22"/>
        <v>-6.5553756968750552</v>
      </c>
    </row>
    <row r="602" spans="1:4" x14ac:dyDescent="0.15">
      <c r="A602" s="7">
        <v>596</v>
      </c>
      <c r="B602" s="7">
        <v>1</v>
      </c>
      <c r="C602">
        <f t="shared" si="21"/>
        <v>8.8678581416840763E-2</v>
      </c>
      <c r="D602">
        <f t="shared" si="22"/>
        <v>-2.4227368910146492</v>
      </c>
    </row>
    <row r="603" spans="1:4" x14ac:dyDescent="0.15">
      <c r="A603" s="7">
        <v>597</v>
      </c>
      <c r="B603" s="7">
        <v>0</v>
      </c>
      <c r="C603">
        <f t="shared" si="21"/>
        <v>0.75586055390364359</v>
      </c>
      <c r="D603">
        <f t="shared" si="22"/>
        <v>-0.27989837232446807</v>
      </c>
    </row>
    <row r="604" spans="1:4" x14ac:dyDescent="0.15">
      <c r="A604" s="7">
        <v>598</v>
      </c>
      <c r="B604" s="7">
        <v>0</v>
      </c>
      <c r="C604">
        <f t="shared" si="21"/>
        <v>0.75586055390364359</v>
      </c>
      <c r="D604">
        <f t="shared" si="22"/>
        <v>-0.27989837232446807</v>
      </c>
    </row>
    <row r="605" spans="1:4" x14ac:dyDescent="0.15">
      <c r="A605" s="7">
        <v>599</v>
      </c>
      <c r="B605" s="7">
        <v>0</v>
      </c>
      <c r="C605">
        <f t="shared" si="21"/>
        <v>0.75586055390364359</v>
      </c>
      <c r="D605">
        <f t="shared" si="22"/>
        <v>-0.27989837232446807</v>
      </c>
    </row>
    <row r="606" spans="1:4" x14ac:dyDescent="0.15">
      <c r="A606" s="7">
        <v>600</v>
      </c>
      <c r="B606" s="7">
        <v>0</v>
      </c>
      <c r="C606">
        <f t="shared" si="21"/>
        <v>0.75586055390364359</v>
      </c>
      <c r="D606">
        <f t="shared" si="22"/>
        <v>-0.27989837232446807</v>
      </c>
    </row>
    <row r="607" spans="1:4" x14ac:dyDescent="0.15">
      <c r="A607" s="7">
        <v>601</v>
      </c>
      <c r="B607" s="7">
        <v>0</v>
      </c>
      <c r="C607">
        <f t="shared" si="21"/>
        <v>0.75586055390364359</v>
      </c>
      <c r="D607">
        <f t="shared" si="22"/>
        <v>-0.27989837232446807</v>
      </c>
    </row>
    <row r="608" spans="1:4" x14ac:dyDescent="0.15">
      <c r="A608" s="7">
        <v>602</v>
      </c>
      <c r="B608" s="7">
        <v>0</v>
      </c>
      <c r="C608">
        <f t="shared" si="21"/>
        <v>0.75586055390364359</v>
      </c>
      <c r="D608">
        <f t="shared" si="22"/>
        <v>-0.27989837232446807</v>
      </c>
    </row>
    <row r="609" spans="1:4" x14ac:dyDescent="0.15">
      <c r="A609" s="7">
        <v>603</v>
      </c>
      <c r="B609" s="7">
        <v>0</v>
      </c>
      <c r="C609">
        <f t="shared" si="21"/>
        <v>0.75586055390364359</v>
      </c>
      <c r="D609">
        <f t="shared" si="22"/>
        <v>-0.27989837232446807</v>
      </c>
    </row>
    <row r="610" spans="1:4" x14ac:dyDescent="0.15">
      <c r="A610" s="7">
        <v>604</v>
      </c>
      <c r="B610" s="7">
        <v>0</v>
      </c>
      <c r="C610">
        <f t="shared" si="21"/>
        <v>0.75586055390364359</v>
      </c>
      <c r="D610">
        <f t="shared" si="22"/>
        <v>-0.27989837232446807</v>
      </c>
    </row>
    <row r="611" spans="1:4" x14ac:dyDescent="0.15">
      <c r="A611" s="7">
        <v>605</v>
      </c>
      <c r="B611" s="7">
        <v>0</v>
      </c>
      <c r="C611">
        <f t="shared" si="21"/>
        <v>0.75586055390364359</v>
      </c>
      <c r="D611">
        <f t="shared" si="22"/>
        <v>-0.27989837232446807</v>
      </c>
    </row>
    <row r="612" spans="1:4" x14ac:dyDescent="0.15">
      <c r="A612" s="7">
        <v>606</v>
      </c>
      <c r="B612" s="7">
        <v>2</v>
      </c>
      <c r="C612">
        <f t="shared" si="21"/>
        <v>4.4062133811825943E-2</v>
      </c>
      <c r="D612">
        <f t="shared" si="22"/>
        <v>-3.1221545090977791</v>
      </c>
    </row>
    <row r="613" spans="1:4" x14ac:dyDescent="0.15">
      <c r="A613" s="7">
        <v>607</v>
      </c>
      <c r="B613" s="7">
        <v>0</v>
      </c>
      <c r="C613">
        <f t="shared" si="21"/>
        <v>0.75586055390364359</v>
      </c>
      <c r="D613">
        <f t="shared" si="22"/>
        <v>-0.27989837232446807</v>
      </c>
    </row>
    <row r="614" spans="1:4" x14ac:dyDescent="0.15">
      <c r="A614" s="7">
        <v>608</v>
      </c>
      <c r="B614" s="7">
        <v>0</v>
      </c>
      <c r="C614">
        <f t="shared" si="21"/>
        <v>0.75586055390364359</v>
      </c>
      <c r="D614">
        <f t="shared" si="22"/>
        <v>-0.27989837232446807</v>
      </c>
    </row>
    <row r="615" spans="1:4" x14ac:dyDescent="0.15">
      <c r="A615" s="7">
        <v>609</v>
      </c>
      <c r="B615" s="7">
        <v>0</v>
      </c>
      <c r="C615">
        <f t="shared" si="21"/>
        <v>0.75586055390364359</v>
      </c>
      <c r="D615">
        <f t="shared" si="22"/>
        <v>-0.27989837232446807</v>
      </c>
    </row>
    <row r="616" spans="1:4" x14ac:dyDescent="0.15">
      <c r="A616" s="7">
        <v>610</v>
      </c>
      <c r="B616" s="7">
        <v>0</v>
      </c>
      <c r="C616">
        <f t="shared" si="21"/>
        <v>0.75586055390364359</v>
      </c>
      <c r="D616">
        <f t="shared" si="22"/>
        <v>-0.27989837232446807</v>
      </c>
    </row>
    <row r="617" spans="1:4" x14ac:dyDescent="0.15">
      <c r="A617" s="7">
        <v>611</v>
      </c>
      <c r="B617" s="7">
        <v>0</v>
      </c>
      <c r="C617">
        <f t="shared" si="21"/>
        <v>0.75586055390364359</v>
      </c>
      <c r="D617">
        <f t="shared" si="22"/>
        <v>-0.27989837232446807</v>
      </c>
    </row>
    <row r="618" spans="1:4" x14ac:dyDescent="0.15">
      <c r="A618" s="7">
        <v>612</v>
      </c>
      <c r="B618" s="7">
        <v>0</v>
      </c>
      <c r="C618">
        <f t="shared" si="21"/>
        <v>0.75586055390364359</v>
      </c>
      <c r="D618">
        <f t="shared" si="22"/>
        <v>-0.27989837232446807</v>
      </c>
    </row>
    <row r="619" spans="1:4" x14ac:dyDescent="0.15">
      <c r="A619" s="7">
        <v>613</v>
      </c>
      <c r="B619" s="7">
        <v>1</v>
      </c>
      <c r="C619">
        <f t="shared" si="21"/>
        <v>8.8678581416840763E-2</v>
      </c>
      <c r="D619">
        <f t="shared" si="22"/>
        <v>-2.4227368910146492</v>
      </c>
    </row>
    <row r="620" spans="1:4" x14ac:dyDescent="0.15">
      <c r="A620" s="7">
        <v>614</v>
      </c>
      <c r="B620" s="7">
        <v>0</v>
      </c>
      <c r="C620">
        <f t="shared" si="21"/>
        <v>0.75586055390364359</v>
      </c>
      <c r="D620">
        <f t="shared" si="22"/>
        <v>-0.27989837232446807</v>
      </c>
    </row>
    <row r="621" spans="1:4" x14ac:dyDescent="0.15">
      <c r="A621" s="7">
        <v>615</v>
      </c>
      <c r="B621" s="7">
        <v>0</v>
      </c>
      <c r="C621">
        <f t="shared" si="21"/>
        <v>0.75586055390364359</v>
      </c>
      <c r="D621">
        <f t="shared" si="22"/>
        <v>-0.27989837232446807</v>
      </c>
    </row>
    <row r="622" spans="1:4" x14ac:dyDescent="0.15">
      <c r="A622" s="7">
        <v>616</v>
      </c>
      <c r="B622" s="7">
        <v>0</v>
      </c>
      <c r="C622">
        <f t="shared" si="21"/>
        <v>0.75586055390364359</v>
      </c>
      <c r="D622">
        <f t="shared" si="22"/>
        <v>-0.27989837232446807</v>
      </c>
    </row>
    <row r="623" spans="1:4" x14ac:dyDescent="0.15">
      <c r="A623" s="7">
        <v>617</v>
      </c>
      <c r="B623" s="7">
        <v>0</v>
      </c>
      <c r="C623">
        <f t="shared" si="21"/>
        <v>0.75586055390364359</v>
      </c>
      <c r="D623">
        <f t="shared" si="22"/>
        <v>-0.27989837232446807</v>
      </c>
    </row>
    <row r="624" spans="1:4" x14ac:dyDescent="0.15">
      <c r="A624" s="7">
        <v>618</v>
      </c>
      <c r="B624" s="7">
        <v>2</v>
      </c>
      <c r="C624">
        <f t="shared" si="21"/>
        <v>4.4062133811825943E-2</v>
      </c>
      <c r="D624">
        <f t="shared" si="22"/>
        <v>-3.1221545090977791</v>
      </c>
    </row>
    <row r="625" spans="1:4" x14ac:dyDescent="0.15">
      <c r="A625" s="7">
        <v>619</v>
      </c>
      <c r="B625" s="7">
        <v>1</v>
      </c>
      <c r="C625">
        <f t="shared" si="21"/>
        <v>8.8678581416840763E-2</v>
      </c>
      <c r="D625">
        <f t="shared" si="22"/>
        <v>-2.4227368910146492</v>
      </c>
    </row>
    <row r="626" spans="1:4" x14ac:dyDescent="0.15">
      <c r="A626" s="7">
        <v>620</v>
      </c>
      <c r="B626" s="7">
        <v>0</v>
      </c>
      <c r="C626">
        <f t="shared" si="21"/>
        <v>0.75586055390364359</v>
      </c>
      <c r="D626">
        <f t="shared" si="22"/>
        <v>-0.27989837232446807</v>
      </c>
    </row>
    <row r="627" spans="1:4" x14ac:dyDescent="0.15">
      <c r="A627" s="7">
        <v>621</v>
      </c>
      <c r="B627" s="7">
        <v>0</v>
      </c>
      <c r="C627">
        <f t="shared" si="21"/>
        <v>0.75586055390364359</v>
      </c>
      <c r="D627">
        <f t="shared" si="22"/>
        <v>-0.27989837232446807</v>
      </c>
    </row>
    <row r="628" spans="1:4" x14ac:dyDescent="0.15">
      <c r="A628" s="7">
        <v>622</v>
      </c>
      <c r="B628" s="7">
        <v>1</v>
      </c>
      <c r="C628">
        <f t="shared" si="21"/>
        <v>8.8678581416840763E-2</v>
      </c>
      <c r="D628">
        <f t="shared" si="22"/>
        <v>-2.4227368910146492</v>
      </c>
    </row>
    <row r="629" spans="1:4" x14ac:dyDescent="0.15">
      <c r="A629" s="7">
        <v>623</v>
      </c>
      <c r="B629" s="7">
        <v>2</v>
      </c>
      <c r="C629">
        <f t="shared" si="21"/>
        <v>4.4062133811825943E-2</v>
      </c>
      <c r="D629">
        <f t="shared" si="22"/>
        <v>-3.1221545090977791</v>
      </c>
    </row>
    <row r="630" spans="1:4" x14ac:dyDescent="0.15">
      <c r="A630" s="7">
        <v>624</v>
      </c>
      <c r="B630" s="7">
        <v>0</v>
      </c>
      <c r="C630">
        <f t="shared" si="21"/>
        <v>0.75586055390364359</v>
      </c>
      <c r="D630">
        <f t="shared" si="22"/>
        <v>-0.27989837232446807</v>
      </c>
    </row>
    <row r="631" spans="1:4" x14ac:dyDescent="0.15">
      <c r="A631" s="7">
        <v>625</v>
      </c>
      <c r="B631" s="7">
        <v>0</v>
      </c>
      <c r="C631">
        <f t="shared" si="21"/>
        <v>0.75586055390364359</v>
      </c>
      <c r="D631">
        <f t="shared" si="22"/>
        <v>-0.27989837232446807</v>
      </c>
    </row>
    <row r="632" spans="1:4" x14ac:dyDescent="0.15">
      <c r="A632" s="7">
        <v>626</v>
      </c>
      <c r="B632" s="7">
        <v>0</v>
      </c>
      <c r="C632">
        <f t="shared" si="21"/>
        <v>0.75586055390364359</v>
      </c>
      <c r="D632">
        <f t="shared" si="22"/>
        <v>-0.27989837232446807</v>
      </c>
    </row>
    <row r="633" spans="1:4" x14ac:dyDescent="0.15">
      <c r="A633" s="7">
        <v>627</v>
      </c>
      <c r="B633" s="7">
        <v>0</v>
      </c>
      <c r="C633">
        <f t="shared" si="21"/>
        <v>0.75586055390364359</v>
      </c>
      <c r="D633">
        <f t="shared" si="22"/>
        <v>-0.27989837232446807</v>
      </c>
    </row>
    <row r="634" spans="1:4" x14ac:dyDescent="0.15">
      <c r="A634" s="7">
        <v>628</v>
      </c>
      <c r="B634" s="7">
        <v>0</v>
      </c>
      <c r="C634">
        <f t="shared" si="21"/>
        <v>0.75586055390364359</v>
      </c>
      <c r="D634">
        <f t="shared" si="22"/>
        <v>-0.27989837232446807</v>
      </c>
    </row>
    <row r="635" spans="1:4" x14ac:dyDescent="0.15">
      <c r="A635" s="7">
        <v>629</v>
      </c>
      <c r="B635" s="7">
        <v>1</v>
      </c>
      <c r="C635">
        <f t="shared" si="21"/>
        <v>8.8678581416840763E-2</v>
      </c>
      <c r="D635">
        <f t="shared" si="22"/>
        <v>-2.4227368910146492</v>
      </c>
    </row>
    <row r="636" spans="1:4" x14ac:dyDescent="0.15">
      <c r="A636" s="7">
        <v>630</v>
      </c>
      <c r="B636" s="7">
        <v>0</v>
      </c>
      <c r="C636">
        <f t="shared" si="21"/>
        <v>0.75586055390364359</v>
      </c>
      <c r="D636">
        <f t="shared" si="22"/>
        <v>-0.27989837232446807</v>
      </c>
    </row>
    <row r="637" spans="1:4" x14ac:dyDescent="0.15">
      <c r="A637" s="7">
        <v>631</v>
      </c>
      <c r="B637" s="7">
        <v>0</v>
      </c>
      <c r="C637">
        <f t="shared" si="21"/>
        <v>0.75586055390364359</v>
      </c>
      <c r="D637">
        <f t="shared" si="22"/>
        <v>-0.27989837232446807</v>
      </c>
    </row>
    <row r="638" spans="1:4" x14ac:dyDescent="0.15">
      <c r="A638" s="7">
        <v>632</v>
      </c>
      <c r="B638" s="7">
        <v>0</v>
      </c>
      <c r="C638">
        <f t="shared" si="21"/>
        <v>0.75586055390364359</v>
      </c>
      <c r="D638">
        <f t="shared" si="22"/>
        <v>-0.27989837232446807</v>
      </c>
    </row>
    <row r="639" spans="1:4" x14ac:dyDescent="0.15">
      <c r="A639" s="7">
        <v>633</v>
      </c>
      <c r="B639" s="7">
        <v>0</v>
      </c>
      <c r="C639">
        <f t="shared" si="21"/>
        <v>0.75586055390364359</v>
      </c>
      <c r="D639">
        <f t="shared" si="22"/>
        <v>-0.27989837232446807</v>
      </c>
    </row>
    <row r="640" spans="1:4" x14ac:dyDescent="0.15">
      <c r="A640" s="7">
        <v>634</v>
      </c>
      <c r="B640" s="7">
        <v>0</v>
      </c>
      <c r="C640">
        <f t="shared" si="21"/>
        <v>0.75586055390364359</v>
      </c>
      <c r="D640">
        <f t="shared" si="22"/>
        <v>-0.27989837232446807</v>
      </c>
    </row>
    <row r="641" spans="1:4" x14ac:dyDescent="0.15">
      <c r="A641" s="7">
        <v>635</v>
      </c>
      <c r="B641" s="7">
        <v>1</v>
      </c>
      <c r="C641">
        <f t="shared" si="21"/>
        <v>8.8678581416840763E-2</v>
      </c>
      <c r="D641">
        <f t="shared" si="22"/>
        <v>-2.4227368910146492</v>
      </c>
    </row>
    <row r="642" spans="1:4" x14ac:dyDescent="0.15">
      <c r="A642" s="7">
        <v>636</v>
      </c>
      <c r="B642" s="7">
        <v>1</v>
      </c>
      <c r="C642">
        <f t="shared" si="21"/>
        <v>8.8678581416840763E-2</v>
      </c>
      <c r="D642">
        <f t="shared" si="22"/>
        <v>-2.4227368910146492</v>
      </c>
    </row>
    <row r="643" spans="1:4" x14ac:dyDescent="0.15">
      <c r="A643" s="7">
        <v>637</v>
      </c>
      <c r="B643" s="7">
        <v>0</v>
      </c>
      <c r="C643">
        <f t="shared" si="21"/>
        <v>0.75586055390364359</v>
      </c>
      <c r="D643">
        <f t="shared" si="22"/>
        <v>-0.27989837232446807</v>
      </c>
    </row>
    <row r="644" spans="1:4" x14ac:dyDescent="0.15">
      <c r="A644" s="7">
        <v>638</v>
      </c>
      <c r="B644" s="7">
        <v>0</v>
      </c>
      <c r="C644">
        <f t="shared" si="21"/>
        <v>0.75586055390364359</v>
      </c>
      <c r="D644">
        <f t="shared" si="22"/>
        <v>-0.27989837232446807</v>
      </c>
    </row>
    <row r="645" spans="1:4" x14ac:dyDescent="0.15">
      <c r="A645" s="7">
        <v>639</v>
      </c>
      <c r="B645" s="7">
        <v>1</v>
      </c>
      <c r="C645">
        <f t="shared" si="21"/>
        <v>8.8678581416840763E-2</v>
      </c>
      <c r="D645">
        <f t="shared" si="22"/>
        <v>-2.4227368910146492</v>
      </c>
    </row>
    <row r="646" spans="1:4" x14ac:dyDescent="0.15">
      <c r="A646" s="7">
        <v>640</v>
      </c>
      <c r="B646" s="7">
        <v>0</v>
      </c>
      <c r="C646">
        <f t="shared" si="21"/>
        <v>0.75586055390364359</v>
      </c>
      <c r="D646">
        <f t="shared" si="22"/>
        <v>-0.27989837232446807</v>
      </c>
    </row>
    <row r="647" spans="1:4" x14ac:dyDescent="0.15">
      <c r="A647" s="7">
        <v>641</v>
      </c>
      <c r="B647" s="7">
        <v>1</v>
      </c>
      <c r="C647">
        <f t="shared" si="21"/>
        <v>8.8678581416840763E-2</v>
      </c>
      <c r="D647">
        <f t="shared" si="22"/>
        <v>-2.4227368910146492</v>
      </c>
    </row>
    <row r="648" spans="1:4" x14ac:dyDescent="0.15">
      <c r="A648" s="7">
        <v>642</v>
      </c>
      <c r="B648" s="7">
        <v>0</v>
      </c>
      <c r="C648">
        <f t="shared" ref="C648:C711" si="23">(_xlfn.GAMMA($B$1+B648)/(_xlfn.GAMMA($B$1)*FACT(B648))) * ($B$2/($B$2+$B$4))^$B$1 * (1/($B$2 +$B$4))^B648</f>
        <v>0.75586055390364359</v>
      </c>
      <c r="D648">
        <f t="shared" ref="D648:D711" si="24">LN(C648)</f>
        <v>-0.27989837232446807</v>
      </c>
    </row>
    <row r="649" spans="1:4" x14ac:dyDescent="0.15">
      <c r="A649" s="7">
        <v>643</v>
      </c>
      <c r="B649" s="7">
        <v>1</v>
      </c>
      <c r="C649">
        <f t="shared" si="23"/>
        <v>8.8678581416840763E-2</v>
      </c>
      <c r="D649">
        <f t="shared" si="24"/>
        <v>-2.4227368910146492</v>
      </c>
    </row>
    <row r="650" spans="1:4" x14ac:dyDescent="0.15">
      <c r="A650" s="7">
        <v>644</v>
      </c>
      <c r="B650" s="7">
        <v>0</v>
      </c>
      <c r="C650">
        <f t="shared" si="23"/>
        <v>0.75586055390364359</v>
      </c>
      <c r="D650">
        <f t="shared" si="24"/>
        <v>-0.27989837232446807</v>
      </c>
    </row>
    <row r="651" spans="1:4" x14ac:dyDescent="0.15">
      <c r="A651" s="7">
        <v>645</v>
      </c>
      <c r="B651" s="7">
        <v>0</v>
      </c>
      <c r="C651">
        <f t="shared" si="23"/>
        <v>0.75586055390364359</v>
      </c>
      <c r="D651">
        <f t="shared" si="24"/>
        <v>-0.27989837232446807</v>
      </c>
    </row>
    <row r="652" spans="1:4" x14ac:dyDescent="0.15">
      <c r="A652" s="7">
        <v>646</v>
      </c>
      <c r="B652" s="7">
        <v>0</v>
      </c>
      <c r="C652">
        <f t="shared" si="23"/>
        <v>0.75586055390364359</v>
      </c>
      <c r="D652">
        <f t="shared" si="24"/>
        <v>-0.27989837232446807</v>
      </c>
    </row>
    <row r="653" spans="1:4" x14ac:dyDescent="0.15">
      <c r="A653" s="7">
        <v>647</v>
      </c>
      <c r="B653" s="7">
        <v>0</v>
      </c>
      <c r="C653">
        <f t="shared" si="23"/>
        <v>0.75586055390364359</v>
      </c>
      <c r="D653">
        <f t="shared" si="24"/>
        <v>-0.27989837232446807</v>
      </c>
    </row>
    <row r="654" spans="1:4" x14ac:dyDescent="0.15">
      <c r="A654" s="7">
        <v>648</v>
      </c>
      <c r="B654" s="7">
        <v>12</v>
      </c>
      <c r="C654">
        <f t="shared" si="23"/>
        <v>2.5609330205458858E-3</v>
      </c>
      <c r="D654">
        <f t="shared" si="24"/>
        <v>-5.9673836257397612</v>
      </c>
    </row>
    <row r="655" spans="1:4" x14ac:dyDescent="0.15">
      <c r="A655" s="7">
        <v>649</v>
      </c>
      <c r="B655" s="7">
        <v>8</v>
      </c>
      <c r="C655">
        <f t="shared" si="23"/>
        <v>6.1514536381425521E-3</v>
      </c>
      <c r="D655">
        <f t="shared" si="24"/>
        <v>-5.0910668611676444</v>
      </c>
    </row>
    <row r="656" spans="1:4" x14ac:dyDescent="0.15">
      <c r="A656" s="7">
        <v>650</v>
      </c>
      <c r="B656" s="7">
        <v>0</v>
      </c>
      <c r="C656">
        <f t="shared" si="23"/>
        <v>0.75586055390364359</v>
      </c>
      <c r="D656">
        <f t="shared" si="24"/>
        <v>-0.27989837232446807</v>
      </c>
    </row>
    <row r="657" spans="1:4" x14ac:dyDescent="0.15">
      <c r="A657" s="7">
        <v>651</v>
      </c>
      <c r="B657" s="7">
        <v>0</v>
      </c>
      <c r="C657">
        <f t="shared" si="23"/>
        <v>0.75586055390364359</v>
      </c>
      <c r="D657">
        <f t="shared" si="24"/>
        <v>-0.27989837232446807</v>
      </c>
    </row>
    <row r="658" spans="1:4" x14ac:dyDescent="0.15">
      <c r="A658" s="7">
        <v>652</v>
      </c>
      <c r="B658" s="7">
        <v>0</v>
      </c>
      <c r="C658">
        <f t="shared" si="23"/>
        <v>0.75586055390364359</v>
      </c>
      <c r="D658">
        <f t="shared" si="24"/>
        <v>-0.27989837232446807</v>
      </c>
    </row>
    <row r="659" spans="1:4" x14ac:dyDescent="0.15">
      <c r="A659" s="7">
        <v>653</v>
      </c>
      <c r="B659" s="7">
        <v>1</v>
      </c>
      <c r="C659">
        <f t="shared" si="23"/>
        <v>8.8678581416840763E-2</v>
      </c>
      <c r="D659">
        <f t="shared" si="24"/>
        <v>-2.4227368910146492</v>
      </c>
    </row>
    <row r="660" spans="1:4" x14ac:dyDescent="0.15">
      <c r="A660" s="7">
        <v>654</v>
      </c>
      <c r="B660" s="7">
        <v>0</v>
      </c>
      <c r="C660">
        <f t="shared" si="23"/>
        <v>0.75586055390364359</v>
      </c>
      <c r="D660">
        <f t="shared" si="24"/>
        <v>-0.27989837232446807</v>
      </c>
    </row>
    <row r="661" spans="1:4" x14ac:dyDescent="0.15">
      <c r="A661" s="7">
        <v>655</v>
      </c>
      <c r="B661" s="7">
        <v>2</v>
      </c>
      <c r="C661">
        <f t="shared" si="23"/>
        <v>4.4062133811825943E-2</v>
      </c>
      <c r="D661">
        <f t="shared" si="24"/>
        <v>-3.1221545090977791</v>
      </c>
    </row>
    <row r="662" spans="1:4" x14ac:dyDescent="0.15">
      <c r="A662" s="7">
        <v>656</v>
      </c>
      <c r="B662" s="7">
        <v>0</v>
      </c>
      <c r="C662">
        <f t="shared" si="23"/>
        <v>0.75586055390364359</v>
      </c>
      <c r="D662">
        <f t="shared" si="24"/>
        <v>-0.27989837232446807</v>
      </c>
    </row>
    <row r="663" spans="1:4" x14ac:dyDescent="0.15">
      <c r="A663" s="7">
        <v>657</v>
      </c>
      <c r="B663" s="7">
        <v>1</v>
      </c>
      <c r="C663">
        <f t="shared" si="23"/>
        <v>8.8678581416840763E-2</v>
      </c>
      <c r="D663">
        <f t="shared" si="24"/>
        <v>-2.4227368910146492</v>
      </c>
    </row>
    <row r="664" spans="1:4" x14ac:dyDescent="0.15">
      <c r="A664" s="7">
        <v>658</v>
      </c>
      <c r="B664" s="7">
        <v>0</v>
      </c>
      <c r="C664">
        <f t="shared" si="23"/>
        <v>0.75586055390364359</v>
      </c>
      <c r="D664">
        <f t="shared" si="24"/>
        <v>-0.27989837232446807</v>
      </c>
    </row>
    <row r="665" spans="1:4" x14ac:dyDescent="0.15">
      <c r="A665" s="7">
        <v>659</v>
      </c>
      <c r="B665" s="7">
        <v>5</v>
      </c>
      <c r="C665">
        <f t="shared" si="23"/>
        <v>1.366675533834656E-2</v>
      </c>
      <c r="D665">
        <f t="shared" si="24"/>
        <v>-4.2927890127952875</v>
      </c>
    </row>
    <row r="666" spans="1:4" x14ac:dyDescent="0.15">
      <c r="A666" s="7">
        <v>660</v>
      </c>
      <c r="B666" s="7">
        <v>0</v>
      </c>
      <c r="C666">
        <f t="shared" si="23"/>
        <v>0.75586055390364359</v>
      </c>
      <c r="D666">
        <f t="shared" si="24"/>
        <v>-0.27989837232446807</v>
      </c>
    </row>
    <row r="667" spans="1:4" x14ac:dyDescent="0.15">
      <c r="A667" s="7">
        <v>661</v>
      </c>
      <c r="B667" s="7">
        <v>0</v>
      </c>
      <c r="C667">
        <f t="shared" si="23"/>
        <v>0.75586055390364359</v>
      </c>
      <c r="D667">
        <f t="shared" si="24"/>
        <v>-0.27989837232446807</v>
      </c>
    </row>
    <row r="668" spans="1:4" x14ac:dyDescent="0.15">
      <c r="A668" s="7">
        <v>662</v>
      </c>
      <c r="B668" s="7">
        <v>0</v>
      </c>
      <c r="C668">
        <f t="shared" si="23"/>
        <v>0.75586055390364359</v>
      </c>
      <c r="D668">
        <f t="shared" si="24"/>
        <v>-0.27989837232446807</v>
      </c>
    </row>
    <row r="669" spans="1:4" x14ac:dyDescent="0.15">
      <c r="A669" s="7">
        <v>663</v>
      </c>
      <c r="B669" s="7">
        <v>0</v>
      </c>
      <c r="C669">
        <f t="shared" si="23"/>
        <v>0.75586055390364359</v>
      </c>
      <c r="D669">
        <f t="shared" si="24"/>
        <v>-0.27989837232446807</v>
      </c>
    </row>
    <row r="670" spans="1:4" x14ac:dyDescent="0.15">
      <c r="A670" s="7">
        <v>664</v>
      </c>
      <c r="B670" s="7">
        <v>2</v>
      </c>
      <c r="C670">
        <f t="shared" si="23"/>
        <v>4.4062133811825943E-2</v>
      </c>
      <c r="D670">
        <f t="shared" si="24"/>
        <v>-3.1221545090977791</v>
      </c>
    </row>
    <row r="671" spans="1:4" x14ac:dyDescent="0.15">
      <c r="A671" s="7">
        <v>665</v>
      </c>
      <c r="B671" s="7">
        <v>0</v>
      </c>
      <c r="C671">
        <f t="shared" si="23"/>
        <v>0.75586055390364359</v>
      </c>
      <c r="D671">
        <f t="shared" si="24"/>
        <v>-0.27989837232446807</v>
      </c>
    </row>
    <row r="672" spans="1:4" x14ac:dyDescent="0.15">
      <c r="A672" s="7">
        <v>666</v>
      </c>
      <c r="B672" s="7">
        <v>0</v>
      </c>
      <c r="C672">
        <f t="shared" si="23"/>
        <v>0.75586055390364359</v>
      </c>
      <c r="D672">
        <f t="shared" si="24"/>
        <v>-0.27989837232446807</v>
      </c>
    </row>
    <row r="673" spans="1:4" x14ac:dyDescent="0.15">
      <c r="A673" s="7">
        <v>667</v>
      </c>
      <c r="B673" s="7">
        <v>0</v>
      </c>
      <c r="C673">
        <f t="shared" si="23"/>
        <v>0.75586055390364359</v>
      </c>
      <c r="D673">
        <f t="shared" si="24"/>
        <v>-0.27989837232446807</v>
      </c>
    </row>
    <row r="674" spans="1:4" x14ac:dyDescent="0.15">
      <c r="A674" s="7">
        <v>668</v>
      </c>
      <c r="B674" s="7">
        <v>0</v>
      </c>
      <c r="C674">
        <f t="shared" si="23"/>
        <v>0.75586055390364359</v>
      </c>
      <c r="D674">
        <f t="shared" si="24"/>
        <v>-0.27989837232446807</v>
      </c>
    </row>
    <row r="675" spans="1:4" x14ac:dyDescent="0.15">
      <c r="A675" s="7">
        <v>669</v>
      </c>
      <c r="B675" s="7">
        <v>0</v>
      </c>
      <c r="C675">
        <f t="shared" si="23"/>
        <v>0.75586055390364359</v>
      </c>
      <c r="D675">
        <f t="shared" si="24"/>
        <v>-0.27989837232446807</v>
      </c>
    </row>
    <row r="676" spans="1:4" x14ac:dyDescent="0.15">
      <c r="A676" s="7">
        <v>670</v>
      </c>
      <c r="B676" s="7">
        <v>0</v>
      </c>
      <c r="C676">
        <f t="shared" si="23"/>
        <v>0.75586055390364359</v>
      </c>
      <c r="D676">
        <f t="shared" si="24"/>
        <v>-0.27989837232446807</v>
      </c>
    </row>
    <row r="677" spans="1:4" x14ac:dyDescent="0.15">
      <c r="A677" s="7">
        <v>671</v>
      </c>
      <c r="B677" s="7">
        <v>0</v>
      </c>
      <c r="C677">
        <f t="shared" si="23"/>
        <v>0.75586055390364359</v>
      </c>
      <c r="D677">
        <f t="shared" si="24"/>
        <v>-0.27989837232446807</v>
      </c>
    </row>
    <row r="678" spans="1:4" x14ac:dyDescent="0.15">
      <c r="A678" s="7">
        <v>672</v>
      </c>
      <c r="B678" s="7">
        <v>0</v>
      </c>
      <c r="C678">
        <f t="shared" si="23"/>
        <v>0.75586055390364359</v>
      </c>
      <c r="D678">
        <f t="shared" si="24"/>
        <v>-0.27989837232446807</v>
      </c>
    </row>
    <row r="679" spans="1:4" x14ac:dyDescent="0.15">
      <c r="A679" s="7">
        <v>673</v>
      </c>
      <c r="B679" s="7">
        <v>0</v>
      </c>
      <c r="C679">
        <f t="shared" si="23"/>
        <v>0.75586055390364359</v>
      </c>
      <c r="D679">
        <f t="shared" si="24"/>
        <v>-0.27989837232446807</v>
      </c>
    </row>
    <row r="680" spans="1:4" x14ac:dyDescent="0.15">
      <c r="A680" s="7">
        <v>674</v>
      </c>
      <c r="B680" s="7">
        <v>0</v>
      </c>
      <c r="C680">
        <f t="shared" si="23"/>
        <v>0.75586055390364359</v>
      </c>
      <c r="D680">
        <f t="shared" si="24"/>
        <v>-0.27989837232446807</v>
      </c>
    </row>
    <row r="681" spans="1:4" x14ac:dyDescent="0.15">
      <c r="A681" s="7">
        <v>675</v>
      </c>
      <c r="B681" s="7">
        <v>3</v>
      </c>
      <c r="C681">
        <f t="shared" si="23"/>
        <v>2.7467996558433502E-2</v>
      </c>
      <c r="D681">
        <f t="shared" si="24"/>
        <v>-3.594733713517384</v>
      </c>
    </row>
    <row r="682" spans="1:4" x14ac:dyDescent="0.15">
      <c r="A682" s="7">
        <v>676</v>
      </c>
      <c r="B682" s="7">
        <v>0</v>
      </c>
      <c r="C682">
        <f t="shared" si="23"/>
        <v>0.75586055390364359</v>
      </c>
      <c r="D682">
        <f t="shared" si="24"/>
        <v>-0.27989837232446807</v>
      </c>
    </row>
    <row r="683" spans="1:4" x14ac:dyDescent="0.15">
      <c r="A683" s="7">
        <v>677</v>
      </c>
      <c r="B683" s="7">
        <v>0</v>
      </c>
      <c r="C683">
        <f t="shared" si="23"/>
        <v>0.75586055390364359</v>
      </c>
      <c r="D683">
        <f t="shared" si="24"/>
        <v>-0.27989837232446807</v>
      </c>
    </row>
    <row r="684" spans="1:4" x14ac:dyDescent="0.15">
      <c r="A684" s="7">
        <v>678</v>
      </c>
      <c r="B684" s="7">
        <v>0</v>
      </c>
      <c r="C684">
        <f t="shared" si="23"/>
        <v>0.75586055390364359</v>
      </c>
      <c r="D684">
        <f t="shared" si="24"/>
        <v>-0.27989837232446807</v>
      </c>
    </row>
    <row r="685" spans="1:4" x14ac:dyDescent="0.15">
      <c r="A685" s="7">
        <v>679</v>
      </c>
      <c r="B685" s="7">
        <v>0</v>
      </c>
      <c r="C685">
        <f t="shared" si="23"/>
        <v>0.75586055390364359</v>
      </c>
      <c r="D685">
        <f t="shared" si="24"/>
        <v>-0.27989837232446807</v>
      </c>
    </row>
    <row r="686" spans="1:4" x14ac:dyDescent="0.15">
      <c r="A686" s="7">
        <v>680</v>
      </c>
      <c r="B686" s="7">
        <v>0</v>
      </c>
      <c r="C686">
        <f t="shared" si="23"/>
        <v>0.75586055390364359</v>
      </c>
      <c r="D686">
        <f t="shared" si="24"/>
        <v>-0.27989837232446807</v>
      </c>
    </row>
    <row r="687" spans="1:4" x14ac:dyDescent="0.15">
      <c r="A687" s="7">
        <v>681</v>
      </c>
      <c r="B687" s="7">
        <v>0</v>
      </c>
      <c r="C687">
        <f t="shared" si="23"/>
        <v>0.75586055390364359</v>
      </c>
      <c r="D687">
        <f t="shared" si="24"/>
        <v>-0.27989837232446807</v>
      </c>
    </row>
    <row r="688" spans="1:4" x14ac:dyDescent="0.15">
      <c r="A688" s="7">
        <v>682</v>
      </c>
      <c r="B688" s="7">
        <v>0</v>
      </c>
      <c r="C688">
        <f t="shared" si="23"/>
        <v>0.75586055390364359</v>
      </c>
      <c r="D688">
        <f t="shared" si="24"/>
        <v>-0.27989837232446807</v>
      </c>
    </row>
    <row r="689" spans="1:4" x14ac:dyDescent="0.15">
      <c r="A689" s="7">
        <v>683</v>
      </c>
      <c r="B689" s="7">
        <v>0</v>
      </c>
      <c r="C689">
        <f t="shared" si="23"/>
        <v>0.75586055390364359</v>
      </c>
      <c r="D689">
        <f t="shared" si="24"/>
        <v>-0.27989837232446807</v>
      </c>
    </row>
    <row r="690" spans="1:4" x14ac:dyDescent="0.15">
      <c r="A690" s="7">
        <v>684</v>
      </c>
      <c r="B690" s="7">
        <v>1</v>
      </c>
      <c r="C690">
        <f t="shared" si="23"/>
        <v>8.8678581416840763E-2</v>
      </c>
      <c r="D690">
        <f t="shared" si="24"/>
        <v>-2.4227368910146492</v>
      </c>
    </row>
    <row r="691" spans="1:4" x14ac:dyDescent="0.15">
      <c r="A691" s="7">
        <v>685</v>
      </c>
      <c r="B691" s="7">
        <v>0</v>
      </c>
      <c r="C691">
        <f t="shared" si="23"/>
        <v>0.75586055390364359</v>
      </c>
      <c r="D691">
        <f t="shared" si="24"/>
        <v>-0.27989837232446807</v>
      </c>
    </row>
    <row r="692" spans="1:4" x14ac:dyDescent="0.15">
      <c r="A692" s="7">
        <v>686</v>
      </c>
      <c r="B692" s="7">
        <v>0</v>
      </c>
      <c r="C692">
        <f t="shared" si="23"/>
        <v>0.75586055390364359</v>
      </c>
      <c r="D692">
        <f t="shared" si="24"/>
        <v>-0.27989837232446807</v>
      </c>
    </row>
    <row r="693" spans="1:4" x14ac:dyDescent="0.15">
      <c r="A693" s="7">
        <v>687</v>
      </c>
      <c r="B693" s="7">
        <v>0</v>
      </c>
      <c r="C693">
        <f t="shared" si="23"/>
        <v>0.75586055390364359</v>
      </c>
      <c r="D693">
        <f t="shared" si="24"/>
        <v>-0.27989837232446807</v>
      </c>
    </row>
    <row r="694" spans="1:4" x14ac:dyDescent="0.15">
      <c r="A694" s="7">
        <v>688</v>
      </c>
      <c r="B694" s="7">
        <v>0</v>
      </c>
      <c r="C694">
        <f t="shared" si="23"/>
        <v>0.75586055390364359</v>
      </c>
      <c r="D694">
        <f t="shared" si="24"/>
        <v>-0.27989837232446807</v>
      </c>
    </row>
    <row r="695" spans="1:4" x14ac:dyDescent="0.15">
      <c r="A695" s="7">
        <v>689</v>
      </c>
      <c r="B695" s="7">
        <v>0</v>
      </c>
      <c r="C695">
        <f t="shared" si="23"/>
        <v>0.75586055390364359</v>
      </c>
      <c r="D695">
        <f t="shared" si="24"/>
        <v>-0.27989837232446807</v>
      </c>
    </row>
    <row r="696" spans="1:4" x14ac:dyDescent="0.15">
      <c r="A696" s="7">
        <v>690</v>
      </c>
      <c r="B696" s="7">
        <v>0</v>
      </c>
      <c r="C696">
        <f t="shared" si="23"/>
        <v>0.75586055390364359</v>
      </c>
      <c r="D696">
        <f t="shared" si="24"/>
        <v>-0.27989837232446807</v>
      </c>
    </row>
    <row r="697" spans="1:4" x14ac:dyDescent="0.15">
      <c r="A697" s="7">
        <v>691</v>
      </c>
      <c r="B697" s="7">
        <v>2</v>
      </c>
      <c r="C697">
        <f t="shared" si="23"/>
        <v>4.4062133811825943E-2</v>
      </c>
      <c r="D697">
        <f t="shared" si="24"/>
        <v>-3.1221545090977791</v>
      </c>
    </row>
    <row r="698" spans="1:4" x14ac:dyDescent="0.15">
      <c r="A698" s="7">
        <v>692</v>
      </c>
      <c r="B698" s="7">
        <v>0</v>
      </c>
      <c r="C698">
        <f t="shared" si="23"/>
        <v>0.75586055390364359</v>
      </c>
      <c r="D698">
        <f t="shared" si="24"/>
        <v>-0.27989837232446807</v>
      </c>
    </row>
    <row r="699" spans="1:4" x14ac:dyDescent="0.15">
      <c r="A699" s="7">
        <v>693</v>
      </c>
      <c r="B699" s="7">
        <v>1</v>
      </c>
      <c r="C699">
        <f t="shared" si="23"/>
        <v>8.8678581416840763E-2</v>
      </c>
      <c r="D699">
        <f t="shared" si="24"/>
        <v>-2.4227368910146492</v>
      </c>
    </row>
    <row r="700" spans="1:4" x14ac:dyDescent="0.15">
      <c r="A700" s="7">
        <v>694</v>
      </c>
      <c r="B700" s="7">
        <v>1</v>
      </c>
      <c r="C700">
        <f t="shared" si="23"/>
        <v>8.8678581416840763E-2</v>
      </c>
      <c r="D700">
        <f t="shared" si="24"/>
        <v>-2.4227368910146492</v>
      </c>
    </row>
    <row r="701" spans="1:4" x14ac:dyDescent="0.15">
      <c r="A701" s="7">
        <v>695</v>
      </c>
      <c r="B701" s="7">
        <v>0</v>
      </c>
      <c r="C701">
        <f t="shared" si="23"/>
        <v>0.75586055390364359</v>
      </c>
      <c r="D701">
        <f t="shared" si="24"/>
        <v>-0.27989837232446807</v>
      </c>
    </row>
    <row r="702" spans="1:4" x14ac:dyDescent="0.15">
      <c r="A702" s="7">
        <v>696</v>
      </c>
      <c r="B702" s="7">
        <v>3</v>
      </c>
      <c r="C702">
        <f t="shared" si="23"/>
        <v>2.7467996558433502E-2</v>
      </c>
      <c r="D702">
        <f t="shared" si="24"/>
        <v>-3.594733713517384</v>
      </c>
    </row>
    <row r="703" spans="1:4" x14ac:dyDescent="0.15">
      <c r="A703" s="7">
        <v>697</v>
      </c>
      <c r="B703" s="7">
        <v>0</v>
      </c>
      <c r="C703">
        <f t="shared" si="23"/>
        <v>0.75586055390364359</v>
      </c>
      <c r="D703">
        <f t="shared" si="24"/>
        <v>-0.27989837232446807</v>
      </c>
    </row>
    <row r="704" spans="1:4" x14ac:dyDescent="0.15">
      <c r="A704" s="7">
        <v>698</v>
      </c>
      <c r="B704" s="7">
        <v>0</v>
      </c>
      <c r="C704">
        <f t="shared" si="23"/>
        <v>0.75586055390364359</v>
      </c>
      <c r="D704">
        <f t="shared" si="24"/>
        <v>-0.27989837232446807</v>
      </c>
    </row>
    <row r="705" spans="1:4" x14ac:dyDescent="0.15">
      <c r="A705" s="7">
        <v>699</v>
      </c>
      <c r="B705" s="7">
        <v>0</v>
      </c>
      <c r="C705">
        <f t="shared" si="23"/>
        <v>0.75586055390364359</v>
      </c>
      <c r="D705">
        <f t="shared" si="24"/>
        <v>-0.27989837232446807</v>
      </c>
    </row>
    <row r="706" spans="1:4" x14ac:dyDescent="0.15">
      <c r="A706" s="7">
        <v>700</v>
      </c>
      <c r="B706" s="7">
        <v>0</v>
      </c>
      <c r="C706">
        <f t="shared" si="23"/>
        <v>0.75586055390364359</v>
      </c>
      <c r="D706">
        <f t="shared" si="24"/>
        <v>-0.27989837232446807</v>
      </c>
    </row>
    <row r="707" spans="1:4" x14ac:dyDescent="0.15">
      <c r="A707" s="7">
        <v>701</v>
      </c>
      <c r="B707" s="7">
        <v>0</v>
      </c>
      <c r="C707">
        <f t="shared" si="23"/>
        <v>0.75586055390364359</v>
      </c>
      <c r="D707">
        <f t="shared" si="24"/>
        <v>-0.27989837232446807</v>
      </c>
    </row>
    <row r="708" spans="1:4" x14ac:dyDescent="0.15">
      <c r="A708" s="7">
        <v>702</v>
      </c>
      <c r="B708" s="7">
        <v>0</v>
      </c>
      <c r="C708">
        <f t="shared" si="23"/>
        <v>0.75586055390364359</v>
      </c>
      <c r="D708">
        <f t="shared" si="24"/>
        <v>-0.27989837232446807</v>
      </c>
    </row>
    <row r="709" spans="1:4" x14ac:dyDescent="0.15">
      <c r="A709" s="7">
        <v>703</v>
      </c>
      <c r="B709" s="7">
        <v>0</v>
      </c>
      <c r="C709">
        <f t="shared" si="23"/>
        <v>0.75586055390364359</v>
      </c>
      <c r="D709">
        <f t="shared" si="24"/>
        <v>-0.27989837232446807</v>
      </c>
    </row>
    <row r="710" spans="1:4" x14ac:dyDescent="0.15">
      <c r="A710" s="7">
        <v>704</v>
      </c>
      <c r="B710" s="7">
        <v>0</v>
      </c>
      <c r="C710">
        <f t="shared" si="23"/>
        <v>0.75586055390364359</v>
      </c>
      <c r="D710">
        <f t="shared" si="24"/>
        <v>-0.27989837232446807</v>
      </c>
    </row>
    <row r="711" spans="1:4" x14ac:dyDescent="0.15">
      <c r="A711" s="7">
        <v>705</v>
      </c>
      <c r="B711" s="7">
        <v>2</v>
      </c>
      <c r="C711">
        <f t="shared" si="23"/>
        <v>4.4062133811825943E-2</v>
      </c>
      <c r="D711">
        <f t="shared" si="24"/>
        <v>-3.1221545090977791</v>
      </c>
    </row>
    <row r="712" spans="1:4" x14ac:dyDescent="0.15">
      <c r="A712" s="7">
        <v>706</v>
      </c>
      <c r="B712" s="7">
        <v>0</v>
      </c>
      <c r="C712">
        <f t="shared" ref="C712:C775" si="25">(_xlfn.GAMMA($B$1+B712)/(_xlfn.GAMMA($B$1)*FACT(B712))) * ($B$2/($B$2+$B$4))^$B$1 * (1/($B$2 +$B$4))^B712</f>
        <v>0.75586055390364359</v>
      </c>
      <c r="D712">
        <f t="shared" ref="D712:D775" si="26">LN(C712)</f>
        <v>-0.27989837232446807</v>
      </c>
    </row>
    <row r="713" spans="1:4" x14ac:dyDescent="0.15">
      <c r="A713" s="7">
        <v>707</v>
      </c>
      <c r="B713" s="7">
        <v>0</v>
      </c>
      <c r="C713">
        <f t="shared" si="25"/>
        <v>0.75586055390364359</v>
      </c>
      <c r="D713">
        <f t="shared" si="26"/>
        <v>-0.27989837232446807</v>
      </c>
    </row>
    <row r="714" spans="1:4" x14ac:dyDescent="0.15">
      <c r="A714" s="7">
        <v>708</v>
      </c>
      <c r="B714" s="7">
        <v>0</v>
      </c>
      <c r="C714">
        <f t="shared" si="25"/>
        <v>0.75586055390364359</v>
      </c>
      <c r="D714">
        <f t="shared" si="26"/>
        <v>-0.27989837232446807</v>
      </c>
    </row>
    <row r="715" spans="1:4" x14ac:dyDescent="0.15">
      <c r="A715" s="7">
        <v>709</v>
      </c>
      <c r="B715" s="7">
        <v>0</v>
      </c>
      <c r="C715">
        <f t="shared" si="25"/>
        <v>0.75586055390364359</v>
      </c>
      <c r="D715">
        <f t="shared" si="26"/>
        <v>-0.27989837232446807</v>
      </c>
    </row>
    <row r="716" spans="1:4" x14ac:dyDescent="0.15">
      <c r="A716" s="7">
        <v>710</v>
      </c>
      <c r="B716" s="7">
        <v>0</v>
      </c>
      <c r="C716">
        <f t="shared" si="25"/>
        <v>0.75586055390364359</v>
      </c>
      <c r="D716">
        <f t="shared" si="26"/>
        <v>-0.27989837232446807</v>
      </c>
    </row>
    <row r="717" spans="1:4" x14ac:dyDescent="0.15">
      <c r="A717" s="7">
        <v>711</v>
      </c>
      <c r="B717" s="7">
        <v>1</v>
      </c>
      <c r="C717">
        <f t="shared" si="25"/>
        <v>8.8678581416840763E-2</v>
      </c>
      <c r="D717">
        <f t="shared" si="26"/>
        <v>-2.4227368910146492</v>
      </c>
    </row>
    <row r="718" spans="1:4" x14ac:dyDescent="0.15">
      <c r="A718" s="7">
        <v>712</v>
      </c>
      <c r="B718" s="7">
        <v>0</v>
      </c>
      <c r="C718">
        <f t="shared" si="25"/>
        <v>0.75586055390364359</v>
      </c>
      <c r="D718">
        <f t="shared" si="26"/>
        <v>-0.27989837232446807</v>
      </c>
    </row>
    <row r="719" spans="1:4" x14ac:dyDescent="0.15">
      <c r="A719" s="7">
        <v>713</v>
      </c>
      <c r="B719" s="7">
        <v>5</v>
      </c>
      <c r="C719">
        <f t="shared" si="25"/>
        <v>1.366675533834656E-2</v>
      </c>
      <c r="D719">
        <f t="shared" si="26"/>
        <v>-4.2927890127952875</v>
      </c>
    </row>
    <row r="720" spans="1:4" x14ac:dyDescent="0.15">
      <c r="A720" s="7">
        <v>714</v>
      </c>
      <c r="B720" s="7">
        <v>0</v>
      </c>
      <c r="C720">
        <f t="shared" si="25"/>
        <v>0.75586055390364359</v>
      </c>
      <c r="D720">
        <f t="shared" si="26"/>
        <v>-0.27989837232446807</v>
      </c>
    </row>
    <row r="721" spans="1:4" x14ac:dyDescent="0.15">
      <c r="A721" s="7">
        <v>715</v>
      </c>
      <c r="B721" s="7">
        <v>0</v>
      </c>
      <c r="C721">
        <f t="shared" si="25"/>
        <v>0.75586055390364359</v>
      </c>
      <c r="D721">
        <f t="shared" si="26"/>
        <v>-0.27989837232446807</v>
      </c>
    </row>
    <row r="722" spans="1:4" x14ac:dyDescent="0.15">
      <c r="A722" s="7">
        <v>716</v>
      </c>
      <c r="B722" s="7">
        <v>7</v>
      </c>
      <c r="C722">
        <f t="shared" si="25"/>
        <v>7.8709438009233242E-3</v>
      </c>
      <c r="D722">
        <f t="shared" si="26"/>
        <v>-4.8445772998646781</v>
      </c>
    </row>
    <row r="723" spans="1:4" x14ac:dyDescent="0.15">
      <c r="A723" s="7">
        <v>717</v>
      </c>
      <c r="B723" s="7">
        <v>0</v>
      </c>
      <c r="C723">
        <f t="shared" si="25"/>
        <v>0.75586055390364359</v>
      </c>
      <c r="D723">
        <f t="shared" si="26"/>
        <v>-0.27989837232446807</v>
      </c>
    </row>
    <row r="724" spans="1:4" x14ac:dyDescent="0.15">
      <c r="A724" s="7">
        <v>718</v>
      </c>
      <c r="B724" s="7">
        <v>0</v>
      </c>
      <c r="C724">
        <f t="shared" si="25"/>
        <v>0.75586055390364359</v>
      </c>
      <c r="D724">
        <f t="shared" si="26"/>
        <v>-0.27989837232446807</v>
      </c>
    </row>
    <row r="725" spans="1:4" x14ac:dyDescent="0.15">
      <c r="A725" s="7">
        <v>719</v>
      </c>
      <c r="B725" s="7">
        <v>1</v>
      </c>
      <c r="C725">
        <f t="shared" si="25"/>
        <v>8.8678581416840763E-2</v>
      </c>
      <c r="D725">
        <f t="shared" si="26"/>
        <v>-2.4227368910146492</v>
      </c>
    </row>
    <row r="726" spans="1:4" x14ac:dyDescent="0.15">
      <c r="A726" s="7">
        <v>720</v>
      </c>
      <c r="B726" s="7">
        <v>0</v>
      </c>
      <c r="C726">
        <f t="shared" si="25"/>
        <v>0.75586055390364359</v>
      </c>
      <c r="D726">
        <f t="shared" si="26"/>
        <v>-0.27989837232446807</v>
      </c>
    </row>
    <row r="727" spans="1:4" x14ac:dyDescent="0.15">
      <c r="A727" s="7">
        <v>721</v>
      </c>
      <c r="B727" s="7">
        <v>0</v>
      </c>
      <c r="C727">
        <f t="shared" si="25"/>
        <v>0.75586055390364359</v>
      </c>
      <c r="D727">
        <f t="shared" si="26"/>
        <v>-0.27989837232446807</v>
      </c>
    </row>
    <row r="728" spans="1:4" x14ac:dyDescent="0.15">
      <c r="A728" s="7">
        <v>722</v>
      </c>
      <c r="B728" s="7">
        <v>0</v>
      </c>
      <c r="C728">
        <f t="shared" si="25"/>
        <v>0.75586055390364359</v>
      </c>
      <c r="D728">
        <f t="shared" si="26"/>
        <v>-0.27989837232446807</v>
      </c>
    </row>
    <row r="729" spans="1:4" x14ac:dyDescent="0.15">
      <c r="A729" s="7">
        <v>723</v>
      </c>
      <c r="B729" s="7">
        <v>1</v>
      </c>
      <c r="C729">
        <f t="shared" si="25"/>
        <v>8.8678581416840763E-2</v>
      </c>
      <c r="D729">
        <f t="shared" si="26"/>
        <v>-2.4227368910146492</v>
      </c>
    </row>
    <row r="730" spans="1:4" x14ac:dyDescent="0.15">
      <c r="A730" s="7">
        <v>724</v>
      </c>
      <c r="B730" s="7">
        <v>2</v>
      </c>
      <c r="C730">
        <f t="shared" si="25"/>
        <v>4.4062133811825943E-2</v>
      </c>
      <c r="D730">
        <f t="shared" si="26"/>
        <v>-3.1221545090977791</v>
      </c>
    </row>
    <row r="731" spans="1:4" x14ac:dyDescent="0.15">
      <c r="A731" s="7">
        <v>725</v>
      </c>
      <c r="B731" s="7">
        <v>0</v>
      </c>
      <c r="C731">
        <f t="shared" si="25"/>
        <v>0.75586055390364359</v>
      </c>
      <c r="D731">
        <f t="shared" si="26"/>
        <v>-0.27989837232446807</v>
      </c>
    </row>
    <row r="732" spans="1:4" x14ac:dyDescent="0.15">
      <c r="A732" s="7">
        <v>726</v>
      </c>
      <c r="B732" s="7">
        <v>3</v>
      </c>
      <c r="C732">
        <f t="shared" si="25"/>
        <v>2.7467996558433502E-2</v>
      </c>
      <c r="D732">
        <f t="shared" si="26"/>
        <v>-3.594733713517384</v>
      </c>
    </row>
    <row r="733" spans="1:4" x14ac:dyDescent="0.15">
      <c r="A733" s="7">
        <v>727</v>
      </c>
      <c r="B733" s="7">
        <v>0</v>
      </c>
      <c r="C733">
        <f t="shared" si="25"/>
        <v>0.75586055390364359</v>
      </c>
      <c r="D733">
        <f t="shared" si="26"/>
        <v>-0.27989837232446807</v>
      </c>
    </row>
    <row r="734" spans="1:4" x14ac:dyDescent="0.15">
      <c r="A734" s="7">
        <v>728</v>
      </c>
      <c r="B734" s="7">
        <v>3</v>
      </c>
      <c r="C734">
        <f t="shared" si="25"/>
        <v>2.7467996558433502E-2</v>
      </c>
      <c r="D734">
        <f t="shared" si="26"/>
        <v>-3.594733713517384</v>
      </c>
    </row>
    <row r="735" spans="1:4" x14ac:dyDescent="0.15">
      <c r="A735" s="7">
        <v>729</v>
      </c>
      <c r="B735" s="7">
        <v>0</v>
      </c>
      <c r="C735">
        <f t="shared" si="25"/>
        <v>0.75586055390364359</v>
      </c>
      <c r="D735">
        <f t="shared" si="26"/>
        <v>-0.27989837232446807</v>
      </c>
    </row>
    <row r="736" spans="1:4" x14ac:dyDescent="0.15">
      <c r="A736" s="7">
        <v>730</v>
      </c>
      <c r="B736" s="7">
        <v>0</v>
      </c>
      <c r="C736">
        <f t="shared" si="25"/>
        <v>0.75586055390364359</v>
      </c>
      <c r="D736">
        <f t="shared" si="26"/>
        <v>-0.27989837232446807</v>
      </c>
    </row>
    <row r="737" spans="1:4" x14ac:dyDescent="0.15">
      <c r="A737" s="7">
        <v>731</v>
      </c>
      <c r="B737" s="7">
        <v>0</v>
      </c>
      <c r="C737">
        <f t="shared" si="25"/>
        <v>0.75586055390364359</v>
      </c>
      <c r="D737">
        <f t="shared" si="26"/>
        <v>-0.27989837232446807</v>
      </c>
    </row>
    <row r="738" spans="1:4" x14ac:dyDescent="0.15">
      <c r="A738" s="7">
        <v>732</v>
      </c>
      <c r="B738" s="7">
        <v>0</v>
      </c>
      <c r="C738">
        <f t="shared" si="25"/>
        <v>0.75586055390364359</v>
      </c>
      <c r="D738">
        <f t="shared" si="26"/>
        <v>-0.27989837232446807</v>
      </c>
    </row>
    <row r="739" spans="1:4" x14ac:dyDescent="0.15">
      <c r="A739" s="7">
        <v>733</v>
      </c>
      <c r="B739" s="7">
        <v>0</v>
      </c>
      <c r="C739">
        <f t="shared" si="25"/>
        <v>0.75586055390364359</v>
      </c>
      <c r="D739">
        <f t="shared" si="26"/>
        <v>-0.27989837232446807</v>
      </c>
    </row>
    <row r="740" spans="1:4" x14ac:dyDescent="0.15">
      <c r="A740" s="7">
        <v>734</v>
      </c>
      <c r="B740" s="7">
        <v>0</v>
      </c>
      <c r="C740">
        <f t="shared" si="25"/>
        <v>0.75586055390364359</v>
      </c>
      <c r="D740">
        <f t="shared" si="26"/>
        <v>-0.27989837232446807</v>
      </c>
    </row>
    <row r="741" spans="1:4" x14ac:dyDescent="0.15">
      <c r="A741" s="7">
        <v>735</v>
      </c>
      <c r="B741" s="7">
        <v>0</v>
      </c>
      <c r="C741">
        <f t="shared" si="25"/>
        <v>0.75586055390364359</v>
      </c>
      <c r="D741">
        <f t="shared" si="26"/>
        <v>-0.27989837232446807</v>
      </c>
    </row>
    <row r="742" spans="1:4" x14ac:dyDescent="0.15">
      <c r="A742" s="7">
        <v>736</v>
      </c>
      <c r="B742" s="7">
        <v>1</v>
      </c>
      <c r="C742">
        <f t="shared" si="25"/>
        <v>8.8678581416840763E-2</v>
      </c>
      <c r="D742">
        <f t="shared" si="26"/>
        <v>-2.4227368910146492</v>
      </c>
    </row>
    <row r="743" spans="1:4" x14ac:dyDescent="0.15">
      <c r="A743" s="7">
        <v>737</v>
      </c>
      <c r="B743" s="7">
        <v>0</v>
      </c>
      <c r="C743">
        <f t="shared" si="25"/>
        <v>0.75586055390364359</v>
      </c>
      <c r="D743">
        <f t="shared" si="26"/>
        <v>-0.27989837232446807</v>
      </c>
    </row>
    <row r="744" spans="1:4" x14ac:dyDescent="0.15">
      <c r="A744" s="7">
        <v>738</v>
      </c>
      <c r="B744" s="7">
        <v>0</v>
      </c>
      <c r="C744">
        <f t="shared" si="25"/>
        <v>0.75586055390364359</v>
      </c>
      <c r="D744">
        <f t="shared" si="26"/>
        <v>-0.27989837232446807</v>
      </c>
    </row>
    <row r="745" spans="1:4" x14ac:dyDescent="0.15">
      <c r="A745" s="7">
        <v>739</v>
      </c>
      <c r="B745" s="7">
        <v>0</v>
      </c>
      <c r="C745">
        <f t="shared" si="25"/>
        <v>0.75586055390364359</v>
      </c>
      <c r="D745">
        <f t="shared" si="26"/>
        <v>-0.27989837232446807</v>
      </c>
    </row>
    <row r="746" spans="1:4" x14ac:dyDescent="0.15">
      <c r="A746" s="7">
        <v>740</v>
      </c>
      <c r="B746" s="7">
        <v>0</v>
      </c>
      <c r="C746">
        <f t="shared" si="25"/>
        <v>0.75586055390364359</v>
      </c>
      <c r="D746">
        <f t="shared" si="26"/>
        <v>-0.27989837232446807</v>
      </c>
    </row>
    <row r="747" spans="1:4" x14ac:dyDescent="0.15">
      <c r="A747" s="7">
        <v>741</v>
      </c>
      <c r="B747" s="7">
        <v>1</v>
      </c>
      <c r="C747">
        <f t="shared" si="25"/>
        <v>8.8678581416840763E-2</v>
      </c>
      <c r="D747">
        <f t="shared" si="26"/>
        <v>-2.4227368910146492</v>
      </c>
    </row>
    <row r="748" spans="1:4" x14ac:dyDescent="0.15">
      <c r="A748" s="7">
        <v>742</v>
      </c>
      <c r="B748" s="7">
        <v>6</v>
      </c>
      <c r="C748">
        <f t="shared" si="25"/>
        <v>1.0248837632111705E-2</v>
      </c>
      <c r="D748">
        <f t="shared" si="26"/>
        <v>-4.5805909815733834</v>
      </c>
    </row>
    <row r="749" spans="1:4" x14ac:dyDescent="0.15">
      <c r="A749" s="7">
        <v>743</v>
      </c>
      <c r="B749" s="7">
        <v>4</v>
      </c>
      <c r="C749">
        <f t="shared" si="25"/>
        <v>1.8860933071470173E-2</v>
      </c>
      <c r="D749">
        <f t="shared" si="26"/>
        <v>-3.9706625294337847</v>
      </c>
    </row>
    <row r="750" spans="1:4" x14ac:dyDescent="0.15">
      <c r="A750" s="7">
        <v>744</v>
      </c>
      <c r="B750" s="7">
        <v>1</v>
      </c>
      <c r="C750">
        <f t="shared" si="25"/>
        <v>8.8678581416840763E-2</v>
      </c>
      <c r="D750">
        <f t="shared" si="26"/>
        <v>-2.4227368910146492</v>
      </c>
    </row>
    <row r="751" spans="1:4" x14ac:dyDescent="0.15">
      <c r="A751" s="7">
        <v>745</v>
      </c>
      <c r="B751" s="7">
        <v>0</v>
      </c>
      <c r="C751">
        <f t="shared" si="25"/>
        <v>0.75586055390364359</v>
      </c>
      <c r="D751">
        <f t="shared" si="26"/>
        <v>-0.27989837232446807</v>
      </c>
    </row>
    <row r="752" spans="1:4" x14ac:dyDescent="0.15">
      <c r="A752" s="7">
        <v>746</v>
      </c>
      <c r="B752" s="7">
        <v>0</v>
      </c>
      <c r="C752">
        <f t="shared" si="25"/>
        <v>0.75586055390364359</v>
      </c>
      <c r="D752">
        <f t="shared" si="26"/>
        <v>-0.27989837232446807</v>
      </c>
    </row>
    <row r="753" spans="1:4" x14ac:dyDescent="0.15">
      <c r="A753" s="7">
        <v>747</v>
      </c>
      <c r="B753" s="7">
        <v>0</v>
      </c>
      <c r="C753">
        <f t="shared" si="25"/>
        <v>0.75586055390364359</v>
      </c>
      <c r="D753">
        <f t="shared" si="26"/>
        <v>-0.27989837232446807</v>
      </c>
    </row>
    <row r="754" spans="1:4" x14ac:dyDescent="0.15">
      <c r="A754" s="7">
        <v>748</v>
      </c>
      <c r="B754" s="7">
        <v>1</v>
      </c>
      <c r="C754">
        <f t="shared" si="25"/>
        <v>8.8678581416840763E-2</v>
      </c>
      <c r="D754">
        <f t="shared" si="26"/>
        <v>-2.4227368910146492</v>
      </c>
    </row>
    <row r="755" spans="1:4" x14ac:dyDescent="0.15">
      <c r="A755" s="7">
        <v>749</v>
      </c>
      <c r="B755" s="7">
        <v>0</v>
      </c>
      <c r="C755">
        <f t="shared" si="25"/>
        <v>0.75586055390364359</v>
      </c>
      <c r="D755">
        <f t="shared" si="26"/>
        <v>-0.27989837232446807</v>
      </c>
    </row>
    <row r="756" spans="1:4" x14ac:dyDescent="0.15">
      <c r="A756" s="7">
        <v>750</v>
      </c>
      <c r="B756" s="7">
        <v>1</v>
      </c>
      <c r="C756">
        <f t="shared" si="25"/>
        <v>8.8678581416840763E-2</v>
      </c>
      <c r="D756">
        <f t="shared" si="26"/>
        <v>-2.4227368910146492</v>
      </c>
    </row>
    <row r="757" spans="1:4" x14ac:dyDescent="0.15">
      <c r="A757" s="7">
        <v>751</v>
      </c>
      <c r="B757" s="7">
        <v>1</v>
      </c>
      <c r="C757">
        <f t="shared" si="25"/>
        <v>8.8678581416840763E-2</v>
      </c>
      <c r="D757">
        <f t="shared" si="26"/>
        <v>-2.4227368910146492</v>
      </c>
    </row>
    <row r="758" spans="1:4" x14ac:dyDescent="0.15">
      <c r="A758" s="7">
        <v>752</v>
      </c>
      <c r="B758" s="7">
        <v>0</v>
      </c>
      <c r="C758">
        <f t="shared" si="25"/>
        <v>0.75586055390364359</v>
      </c>
      <c r="D758">
        <f t="shared" si="26"/>
        <v>-0.27989837232446807</v>
      </c>
    </row>
    <row r="759" spans="1:4" x14ac:dyDescent="0.15">
      <c r="A759" s="7">
        <v>753</v>
      </c>
      <c r="B759" s="7">
        <v>1</v>
      </c>
      <c r="C759">
        <f t="shared" si="25"/>
        <v>8.8678581416840763E-2</v>
      </c>
      <c r="D759">
        <f t="shared" si="26"/>
        <v>-2.4227368910146492</v>
      </c>
    </row>
    <row r="760" spans="1:4" x14ac:dyDescent="0.15">
      <c r="A760" s="7">
        <v>754</v>
      </c>
      <c r="B760" s="7">
        <v>0</v>
      </c>
      <c r="C760">
        <f t="shared" si="25"/>
        <v>0.75586055390364359</v>
      </c>
      <c r="D760">
        <f t="shared" si="26"/>
        <v>-0.27989837232446807</v>
      </c>
    </row>
    <row r="761" spans="1:4" x14ac:dyDescent="0.15">
      <c r="A761" s="7">
        <v>755</v>
      </c>
      <c r="B761" s="7">
        <v>0</v>
      </c>
      <c r="C761">
        <f t="shared" si="25"/>
        <v>0.75586055390364359</v>
      </c>
      <c r="D761">
        <f t="shared" si="26"/>
        <v>-0.27989837232446807</v>
      </c>
    </row>
    <row r="762" spans="1:4" x14ac:dyDescent="0.15">
      <c r="A762" s="7">
        <v>756</v>
      </c>
      <c r="B762" s="7">
        <v>0</v>
      </c>
      <c r="C762">
        <f t="shared" si="25"/>
        <v>0.75586055390364359</v>
      </c>
      <c r="D762">
        <f t="shared" si="26"/>
        <v>-0.27989837232446807</v>
      </c>
    </row>
    <row r="763" spans="1:4" x14ac:dyDescent="0.15">
      <c r="A763" s="7">
        <v>757</v>
      </c>
      <c r="B763" s="7">
        <v>0</v>
      </c>
      <c r="C763">
        <f t="shared" si="25"/>
        <v>0.75586055390364359</v>
      </c>
      <c r="D763">
        <f t="shared" si="26"/>
        <v>-0.27989837232446807</v>
      </c>
    </row>
    <row r="764" spans="1:4" x14ac:dyDescent="0.15">
      <c r="A764" s="7">
        <v>758</v>
      </c>
      <c r="B764" s="7">
        <v>1</v>
      </c>
      <c r="C764">
        <f t="shared" si="25"/>
        <v>8.8678581416840763E-2</v>
      </c>
      <c r="D764">
        <f t="shared" si="26"/>
        <v>-2.4227368910146492</v>
      </c>
    </row>
    <row r="765" spans="1:4" x14ac:dyDescent="0.15">
      <c r="A765" s="7">
        <v>759</v>
      </c>
      <c r="B765" s="7">
        <v>0</v>
      </c>
      <c r="C765">
        <f t="shared" si="25"/>
        <v>0.75586055390364359</v>
      </c>
      <c r="D765">
        <f t="shared" si="26"/>
        <v>-0.27989837232446807</v>
      </c>
    </row>
    <row r="766" spans="1:4" x14ac:dyDescent="0.15">
      <c r="A766" s="7">
        <v>760</v>
      </c>
      <c r="B766" s="7">
        <v>0</v>
      </c>
      <c r="C766">
        <f t="shared" si="25"/>
        <v>0.75586055390364359</v>
      </c>
      <c r="D766">
        <f t="shared" si="26"/>
        <v>-0.27989837232446807</v>
      </c>
    </row>
    <row r="767" spans="1:4" x14ac:dyDescent="0.15">
      <c r="A767" s="7">
        <v>761</v>
      </c>
      <c r="B767" s="7">
        <v>0</v>
      </c>
      <c r="C767">
        <f t="shared" si="25"/>
        <v>0.75586055390364359</v>
      </c>
      <c r="D767">
        <f t="shared" si="26"/>
        <v>-0.27989837232446807</v>
      </c>
    </row>
    <row r="768" spans="1:4" x14ac:dyDescent="0.15">
      <c r="A768" s="7">
        <v>762</v>
      </c>
      <c r="B768" s="7">
        <v>0</v>
      </c>
      <c r="C768">
        <f t="shared" si="25"/>
        <v>0.75586055390364359</v>
      </c>
      <c r="D768">
        <f t="shared" si="26"/>
        <v>-0.27989837232446807</v>
      </c>
    </row>
    <row r="769" spans="1:4" x14ac:dyDescent="0.15">
      <c r="A769" s="7">
        <v>763</v>
      </c>
      <c r="B769" s="7">
        <v>0</v>
      </c>
      <c r="C769">
        <f t="shared" si="25"/>
        <v>0.75586055390364359</v>
      </c>
      <c r="D769">
        <f t="shared" si="26"/>
        <v>-0.27989837232446807</v>
      </c>
    </row>
    <row r="770" spans="1:4" x14ac:dyDescent="0.15">
      <c r="A770" s="7">
        <v>764</v>
      </c>
      <c r="B770" s="7">
        <v>0</v>
      </c>
      <c r="C770">
        <f t="shared" si="25"/>
        <v>0.75586055390364359</v>
      </c>
      <c r="D770">
        <f t="shared" si="26"/>
        <v>-0.27989837232446807</v>
      </c>
    </row>
    <row r="771" spans="1:4" x14ac:dyDescent="0.15">
      <c r="A771" s="7">
        <v>765</v>
      </c>
      <c r="B771" s="7">
        <v>0</v>
      </c>
      <c r="C771">
        <f t="shared" si="25"/>
        <v>0.75586055390364359</v>
      </c>
      <c r="D771">
        <f t="shared" si="26"/>
        <v>-0.27989837232446807</v>
      </c>
    </row>
    <row r="772" spans="1:4" x14ac:dyDescent="0.15">
      <c r="A772" s="7">
        <v>766</v>
      </c>
      <c r="B772" s="7">
        <v>0</v>
      </c>
      <c r="C772">
        <f t="shared" si="25"/>
        <v>0.75586055390364359</v>
      </c>
      <c r="D772">
        <f t="shared" si="26"/>
        <v>-0.27989837232446807</v>
      </c>
    </row>
    <row r="773" spans="1:4" x14ac:dyDescent="0.15">
      <c r="A773" s="7">
        <v>767</v>
      </c>
      <c r="B773" s="7">
        <v>0</v>
      </c>
      <c r="C773">
        <f t="shared" si="25"/>
        <v>0.75586055390364359</v>
      </c>
      <c r="D773">
        <f t="shared" si="26"/>
        <v>-0.27989837232446807</v>
      </c>
    </row>
    <row r="774" spans="1:4" x14ac:dyDescent="0.15">
      <c r="A774" s="7">
        <v>768</v>
      </c>
      <c r="B774" s="7">
        <v>1</v>
      </c>
      <c r="C774">
        <f t="shared" si="25"/>
        <v>8.8678581416840763E-2</v>
      </c>
      <c r="D774">
        <f t="shared" si="26"/>
        <v>-2.4227368910146492</v>
      </c>
    </row>
    <row r="775" spans="1:4" x14ac:dyDescent="0.15">
      <c r="A775" s="7">
        <v>769</v>
      </c>
      <c r="B775" s="7">
        <v>0</v>
      </c>
      <c r="C775">
        <f t="shared" si="25"/>
        <v>0.75586055390364359</v>
      </c>
      <c r="D775">
        <f t="shared" si="26"/>
        <v>-0.27989837232446807</v>
      </c>
    </row>
    <row r="776" spans="1:4" x14ac:dyDescent="0.15">
      <c r="A776" s="7">
        <v>770</v>
      </c>
      <c r="B776" s="7">
        <v>1</v>
      </c>
      <c r="C776">
        <f t="shared" ref="C776:C839" si="27">(_xlfn.GAMMA($B$1+B776)/(_xlfn.GAMMA($B$1)*FACT(B776))) * ($B$2/($B$2+$B$4))^$B$1 * (1/($B$2 +$B$4))^B776</f>
        <v>8.8678581416840763E-2</v>
      </c>
      <c r="D776">
        <f t="shared" ref="D776:D839" si="28">LN(C776)</f>
        <v>-2.4227368910146492</v>
      </c>
    </row>
    <row r="777" spans="1:4" x14ac:dyDescent="0.15">
      <c r="A777" s="7">
        <v>771</v>
      </c>
      <c r="B777" s="7">
        <v>10</v>
      </c>
      <c r="C777">
        <f t="shared" si="27"/>
        <v>3.9004877815418653E-3</v>
      </c>
      <c r="D777">
        <f t="shared" si="28"/>
        <v>-5.5466536614771886</v>
      </c>
    </row>
    <row r="778" spans="1:4" x14ac:dyDescent="0.15">
      <c r="A778" s="7">
        <v>772</v>
      </c>
      <c r="B778" s="7">
        <v>0</v>
      </c>
      <c r="C778">
        <f t="shared" si="27"/>
        <v>0.75586055390364359</v>
      </c>
      <c r="D778">
        <f t="shared" si="28"/>
        <v>-0.27989837232446807</v>
      </c>
    </row>
    <row r="779" spans="1:4" x14ac:dyDescent="0.15">
      <c r="A779" s="7">
        <v>773</v>
      </c>
      <c r="B779" s="7">
        <v>0</v>
      </c>
      <c r="C779">
        <f t="shared" si="27"/>
        <v>0.75586055390364359</v>
      </c>
      <c r="D779">
        <f t="shared" si="28"/>
        <v>-0.27989837232446807</v>
      </c>
    </row>
    <row r="780" spans="1:4" x14ac:dyDescent="0.15">
      <c r="A780" s="7">
        <v>774</v>
      </c>
      <c r="B780" s="7">
        <v>0</v>
      </c>
      <c r="C780">
        <f t="shared" si="27"/>
        <v>0.75586055390364359</v>
      </c>
      <c r="D780">
        <f t="shared" si="28"/>
        <v>-0.27989837232446807</v>
      </c>
    </row>
    <row r="781" spans="1:4" x14ac:dyDescent="0.15">
      <c r="A781" s="7">
        <v>775</v>
      </c>
      <c r="B781" s="7">
        <v>0</v>
      </c>
      <c r="C781">
        <f t="shared" si="27"/>
        <v>0.75586055390364359</v>
      </c>
      <c r="D781">
        <f t="shared" si="28"/>
        <v>-0.27989837232446807</v>
      </c>
    </row>
    <row r="782" spans="1:4" x14ac:dyDescent="0.15">
      <c r="A782" s="7">
        <v>776</v>
      </c>
      <c r="B782" s="7">
        <v>0</v>
      </c>
      <c r="C782">
        <f t="shared" si="27"/>
        <v>0.75586055390364359</v>
      </c>
      <c r="D782">
        <f t="shared" si="28"/>
        <v>-0.27989837232446807</v>
      </c>
    </row>
    <row r="783" spans="1:4" x14ac:dyDescent="0.15">
      <c r="A783" s="7">
        <v>777</v>
      </c>
      <c r="B783" s="7">
        <v>0</v>
      </c>
      <c r="C783">
        <f t="shared" si="27"/>
        <v>0.75586055390364359</v>
      </c>
      <c r="D783">
        <f t="shared" si="28"/>
        <v>-0.27989837232446807</v>
      </c>
    </row>
    <row r="784" spans="1:4" x14ac:dyDescent="0.15">
      <c r="A784" s="7">
        <v>778</v>
      </c>
      <c r="B784" s="7">
        <v>0</v>
      </c>
      <c r="C784">
        <f t="shared" si="27"/>
        <v>0.75586055390364359</v>
      </c>
      <c r="D784">
        <f t="shared" si="28"/>
        <v>-0.27989837232446807</v>
      </c>
    </row>
    <row r="785" spans="1:4" x14ac:dyDescent="0.15">
      <c r="A785" s="7">
        <v>779</v>
      </c>
      <c r="B785" s="7">
        <v>0</v>
      </c>
      <c r="C785">
        <f t="shared" si="27"/>
        <v>0.75586055390364359</v>
      </c>
      <c r="D785">
        <f t="shared" si="28"/>
        <v>-0.27989837232446807</v>
      </c>
    </row>
    <row r="786" spans="1:4" x14ac:dyDescent="0.15">
      <c r="A786" s="7">
        <v>780</v>
      </c>
      <c r="B786" s="7">
        <v>0</v>
      </c>
      <c r="C786">
        <f t="shared" si="27"/>
        <v>0.75586055390364359</v>
      </c>
      <c r="D786">
        <f t="shared" si="28"/>
        <v>-0.27989837232446807</v>
      </c>
    </row>
    <row r="787" spans="1:4" x14ac:dyDescent="0.15">
      <c r="A787" s="7">
        <v>781</v>
      </c>
      <c r="B787" s="7">
        <v>0</v>
      </c>
      <c r="C787">
        <f t="shared" si="27"/>
        <v>0.75586055390364359</v>
      </c>
      <c r="D787">
        <f t="shared" si="28"/>
        <v>-0.27989837232446807</v>
      </c>
    </row>
    <row r="788" spans="1:4" x14ac:dyDescent="0.15">
      <c r="A788" s="7">
        <v>782</v>
      </c>
      <c r="B788" s="7">
        <v>0</v>
      </c>
      <c r="C788">
        <f t="shared" si="27"/>
        <v>0.75586055390364359</v>
      </c>
      <c r="D788">
        <f t="shared" si="28"/>
        <v>-0.27989837232446807</v>
      </c>
    </row>
    <row r="789" spans="1:4" x14ac:dyDescent="0.15">
      <c r="A789" s="7">
        <v>783</v>
      </c>
      <c r="B789" s="7">
        <v>0</v>
      </c>
      <c r="C789">
        <f t="shared" si="27"/>
        <v>0.75586055390364359</v>
      </c>
      <c r="D789">
        <f t="shared" si="28"/>
        <v>-0.27989837232446807</v>
      </c>
    </row>
    <row r="790" spans="1:4" x14ac:dyDescent="0.15">
      <c r="A790" s="7">
        <v>784</v>
      </c>
      <c r="B790" s="7">
        <v>0</v>
      </c>
      <c r="C790">
        <f t="shared" si="27"/>
        <v>0.75586055390364359</v>
      </c>
      <c r="D790">
        <f t="shared" si="28"/>
        <v>-0.27989837232446807</v>
      </c>
    </row>
    <row r="791" spans="1:4" x14ac:dyDescent="0.15">
      <c r="A791" s="7">
        <v>785</v>
      </c>
      <c r="B791" s="7">
        <v>0</v>
      </c>
      <c r="C791">
        <f t="shared" si="27"/>
        <v>0.75586055390364359</v>
      </c>
      <c r="D791">
        <f t="shared" si="28"/>
        <v>-0.27989837232446807</v>
      </c>
    </row>
    <row r="792" spans="1:4" x14ac:dyDescent="0.15">
      <c r="A792" s="7">
        <v>786</v>
      </c>
      <c r="B792" s="7">
        <v>0</v>
      </c>
      <c r="C792">
        <f t="shared" si="27"/>
        <v>0.75586055390364359</v>
      </c>
      <c r="D792">
        <f t="shared" si="28"/>
        <v>-0.27989837232446807</v>
      </c>
    </row>
    <row r="793" spans="1:4" x14ac:dyDescent="0.15">
      <c r="A793" s="7">
        <v>787</v>
      </c>
      <c r="B793" s="7">
        <v>0</v>
      </c>
      <c r="C793">
        <f t="shared" si="27"/>
        <v>0.75586055390364359</v>
      </c>
      <c r="D793">
        <f t="shared" si="28"/>
        <v>-0.27989837232446807</v>
      </c>
    </row>
    <row r="794" spans="1:4" x14ac:dyDescent="0.15">
      <c r="A794" s="7">
        <v>788</v>
      </c>
      <c r="B794" s="7">
        <v>0</v>
      </c>
      <c r="C794">
        <f t="shared" si="27"/>
        <v>0.75586055390364359</v>
      </c>
      <c r="D794">
        <f t="shared" si="28"/>
        <v>-0.27989837232446807</v>
      </c>
    </row>
    <row r="795" spans="1:4" x14ac:dyDescent="0.15">
      <c r="A795" s="7">
        <v>789</v>
      </c>
      <c r="B795" s="7">
        <v>0</v>
      </c>
      <c r="C795">
        <f t="shared" si="27"/>
        <v>0.75586055390364359</v>
      </c>
      <c r="D795">
        <f t="shared" si="28"/>
        <v>-0.27989837232446807</v>
      </c>
    </row>
    <row r="796" spans="1:4" x14ac:dyDescent="0.15">
      <c r="A796" s="7">
        <v>790</v>
      </c>
      <c r="B796" s="7">
        <v>0</v>
      </c>
      <c r="C796">
        <f t="shared" si="27"/>
        <v>0.75586055390364359</v>
      </c>
      <c r="D796">
        <f t="shared" si="28"/>
        <v>-0.27989837232446807</v>
      </c>
    </row>
    <row r="797" spans="1:4" x14ac:dyDescent="0.15">
      <c r="A797" s="7">
        <v>791</v>
      </c>
      <c r="B797" s="7">
        <v>2</v>
      </c>
      <c r="C797">
        <f t="shared" si="27"/>
        <v>4.4062133811825943E-2</v>
      </c>
      <c r="D797">
        <f t="shared" si="28"/>
        <v>-3.1221545090977791</v>
      </c>
    </row>
    <row r="798" spans="1:4" x14ac:dyDescent="0.15">
      <c r="A798" s="7">
        <v>792</v>
      </c>
      <c r="B798" s="7">
        <v>0</v>
      </c>
      <c r="C798">
        <f t="shared" si="27"/>
        <v>0.75586055390364359</v>
      </c>
      <c r="D798">
        <f t="shared" si="28"/>
        <v>-0.27989837232446807</v>
      </c>
    </row>
    <row r="799" spans="1:4" x14ac:dyDescent="0.15">
      <c r="A799" s="7">
        <v>793</v>
      </c>
      <c r="B799" s="7">
        <v>0</v>
      </c>
      <c r="C799">
        <f t="shared" si="27"/>
        <v>0.75586055390364359</v>
      </c>
      <c r="D799">
        <f t="shared" si="28"/>
        <v>-0.27989837232446807</v>
      </c>
    </row>
    <row r="800" spans="1:4" x14ac:dyDescent="0.15">
      <c r="A800" s="7">
        <v>794</v>
      </c>
      <c r="B800" s="7">
        <v>0</v>
      </c>
      <c r="C800">
        <f t="shared" si="27"/>
        <v>0.75586055390364359</v>
      </c>
      <c r="D800">
        <f t="shared" si="28"/>
        <v>-0.27989837232446807</v>
      </c>
    </row>
    <row r="801" spans="1:4" x14ac:dyDescent="0.15">
      <c r="A801" s="7">
        <v>795</v>
      </c>
      <c r="B801" s="7">
        <v>0</v>
      </c>
      <c r="C801">
        <f t="shared" si="27"/>
        <v>0.75586055390364359</v>
      </c>
      <c r="D801">
        <f t="shared" si="28"/>
        <v>-0.27989837232446807</v>
      </c>
    </row>
    <row r="802" spans="1:4" x14ac:dyDescent="0.15">
      <c r="A802" s="7">
        <v>796</v>
      </c>
      <c r="B802" s="7">
        <v>0</v>
      </c>
      <c r="C802">
        <f t="shared" si="27"/>
        <v>0.75586055390364359</v>
      </c>
      <c r="D802">
        <f t="shared" si="28"/>
        <v>-0.27989837232446807</v>
      </c>
    </row>
    <row r="803" spans="1:4" x14ac:dyDescent="0.15">
      <c r="A803" s="7">
        <v>797</v>
      </c>
      <c r="B803" s="7">
        <v>0</v>
      </c>
      <c r="C803">
        <f t="shared" si="27"/>
        <v>0.75586055390364359</v>
      </c>
      <c r="D803">
        <f t="shared" si="28"/>
        <v>-0.27989837232446807</v>
      </c>
    </row>
    <row r="804" spans="1:4" x14ac:dyDescent="0.15">
      <c r="A804" s="7">
        <v>798</v>
      </c>
      <c r="B804" s="7">
        <v>0</v>
      </c>
      <c r="C804">
        <f t="shared" si="27"/>
        <v>0.75586055390364359</v>
      </c>
      <c r="D804">
        <f t="shared" si="28"/>
        <v>-0.27989837232446807</v>
      </c>
    </row>
    <row r="805" spans="1:4" x14ac:dyDescent="0.15">
      <c r="A805" s="7">
        <v>799</v>
      </c>
      <c r="B805" s="7">
        <v>0</v>
      </c>
      <c r="C805">
        <f t="shared" si="27"/>
        <v>0.75586055390364359</v>
      </c>
      <c r="D805">
        <f t="shared" si="28"/>
        <v>-0.27989837232446807</v>
      </c>
    </row>
    <row r="806" spans="1:4" x14ac:dyDescent="0.15">
      <c r="A806" s="7">
        <v>800</v>
      </c>
      <c r="B806" s="7">
        <v>0</v>
      </c>
      <c r="C806">
        <f t="shared" si="27"/>
        <v>0.75586055390364359</v>
      </c>
      <c r="D806">
        <f t="shared" si="28"/>
        <v>-0.27989837232446807</v>
      </c>
    </row>
    <row r="807" spans="1:4" x14ac:dyDescent="0.15">
      <c r="A807" s="7">
        <v>801</v>
      </c>
      <c r="B807" s="7">
        <v>0</v>
      </c>
      <c r="C807">
        <f t="shared" si="27"/>
        <v>0.75586055390364359</v>
      </c>
      <c r="D807">
        <f t="shared" si="28"/>
        <v>-0.27989837232446807</v>
      </c>
    </row>
    <row r="808" spans="1:4" x14ac:dyDescent="0.15">
      <c r="A808" s="7">
        <v>802</v>
      </c>
      <c r="B808" s="7">
        <v>0</v>
      </c>
      <c r="C808">
        <f t="shared" si="27"/>
        <v>0.75586055390364359</v>
      </c>
      <c r="D808">
        <f t="shared" si="28"/>
        <v>-0.27989837232446807</v>
      </c>
    </row>
    <row r="809" spans="1:4" x14ac:dyDescent="0.15">
      <c r="A809" s="7">
        <v>803</v>
      </c>
      <c r="B809" s="7">
        <v>0</v>
      </c>
      <c r="C809">
        <f t="shared" si="27"/>
        <v>0.75586055390364359</v>
      </c>
      <c r="D809">
        <f t="shared" si="28"/>
        <v>-0.27989837232446807</v>
      </c>
    </row>
    <row r="810" spans="1:4" x14ac:dyDescent="0.15">
      <c r="A810" s="7">
        <v>804</v>
      </c>
      <c r="B810" s="7">
        <v>0</v>
      </c>
      <c r="C810">
        <f t="shared" si="27"/>
        <v>0.75586055390364359</v>
      </c>
      <c r="D810">
        <f t="shared" si="28"/>
        <v>-0.27989837232446807</v>
      </c>
    </row>
    <row r="811" spans="1:4" x14ac:dyDescent="0.15">
      <c r="A811" s="7">
        <v>805</v>
      </c>
      <c r="B811" s="7">
        <v>0</v>
      </c>
      <c r="C811">
        <f t="shared" si="27"/>
        <v>0.75586055390364359</v>
      </c>
      <c r="D811">
        <f t="shared" si="28"/>
        <v>-0.27989837232446807</v>
      </c>
    </row>
    <row r="812" spans="1:4" x14ac:dyDescent="0.15">
      <c r="A812" s="7">
        <v>806</v>
      </c>
      <c r="B812" s="7">
        <v>0</v>
      </c>
      <c r="C812">
        <f t="shared" si="27"/>
        <v>0.75586055390364359</v>
      </c>
      <c r="D812">
        <f t="shared" si="28"/>
        <v>-0.27989837232446807</v>
      </c>
    </row>
    <row r="813" spans="1:4" x14ac:dyDescent="0.15">
      <c r="A813" s="7">
        <v>807</v>
      </c>
      <c r="B813" s="7">
        <v>0</v>
      </c>
      <c r="C813">
        <f t="shared" si="27"/>
        <v>0.75586055390364359</v>
      </c>
      <c r="D813">
        <f t="shared" si="28"/>
        <v>-0.27989837232446807</v>
      </c>
    </row>
    <row r="814" spans="1:4" x14ac:dyDescent="0.15">
      <c r="A814" s="7">
        <v>808</v>
      </c>
      <c r="B814" s="7">
        <v>0</v>
      </c>
      <c r="C814">
        <f t="shared" si="27"/>
        <v>0.75586055390364359</v>
      </c>
      <c r="D814">
        <f t="shared" si="28"/>
        <v>-0.27989837232446807</v>
      </c>
    </row>
    <row r="815" spans="1:4" x14ac:dyDescent="0.15">
      <c r="A815" s="7">
        <v>809</v>
      </c>
      <c r="B815" s="7">
        <v>0</v>
      </c>
      <c r="C815">
        <f t="shared" si="27"/>
        <v>0.75586055390364359</v>
      </c>
      <c r="D815">
        <f t="shared" si="28"/>
        <v>-0.27989837232446807</v>
      </c>
    </row>
    <row r="816" spans="1:4" x14ac:dyDescent="0.15">
      <c r="A816" s="7">
        <v>810</v>
      </c>
      <c r="B816" s="7">
        <v>0</v>
      </c>
      <c r="C816">
        <f t="shared" si="27"/>
        <v>0.75586055390364359</v>
      </c>
      <c r="D816">
        <f t="shared" si="28"/>
        <v>-0.27989837232446807</v>
      </c>
    </row>
    <row r="817" spans="1:4" x14ac:dyDescent="0.15">
      <c r="A817" s="7">
        <v>811</v>
      </c>
      <c r="B817" s="7">
        <v>0</v>
      </c>
      <c r="C817">
        <f t="shared" si="27"/>
        <v>0.75586055390364359</v>
      </c>
      <c r="D817">
        <f t="shared" si="28"/>
        <v>-0.27989837232446807</v>
      </c>
    </row>
    <row r="818" spans="1:4" x14ac:dyDescent="0.15">
      <c r="A818" s="7">
        <v>812</v>
      </c>
      <c r="B818" s="7">
        <v>0</v>
      </c>
      <c r="C818">
        <f t="shared" si="27"/>
        <v>0.75586055390364359</v>
      </c>
      <c r="D818">
        <f t="shared" si="28"/>
        <v>-0.27989837232446807</v>
      </c>
    </row>
    <row r="819" spans="1:4" x14ac:dyDescent="0.15">
      <c r="A819" s="7">
        <v>813</v>
      </c>
      <c r="B819" s="7">
        <v>0</v>
      </c>
      <c r="C819">
        <f t="shared" si="27"/>
        <v>0.75586055390364359</v>
      </c>
      <c r="D819">
        <f t="shared" si="28"/>
        <v>-0.27989837232446807</v>
      </c>
    </row>
    <row r="820" spans="1:4" x14ac:dyDescent="0.15">
      <c r="A820" s="7">
        <v>814</v>
      </c>
      <c r="B820" s="7">
        <v>0</v>
      </c>
      <c r="C820">
        <f t="shared" si="27"/>
        <v>0.75586055390364359</v>
      </c>
      <c r="D820">
        <f t="shared" si="28"/>
        <v>-0.27989837232446807</v>
      </c>
    </row>
    <row r="821" spans="1:4" x14ac:dyDescent="0.15">
      <c r="A821" s="7">
        <v>815</v>
      </c>
      <c r="B821" s="7">
        <v>3</v>
      </c>
      <c r="C821">
        <f t="shared" si="27"/>
        <v>2.7467996558433502E-2</v>
      </c>
      <c r="D821">
        <f t="shared" si="28"/>
        <v>-3.594733713517384</v>
      </c>
    </row>
    <row r="822" spans="1:4" x14ac:dyDescent="0.15">
      <c r="A822" s="7">
        <v>816</v>
      </c>
      <c r="B822" s="7">
        <v>2</v>
      </c>
      <c r="C822">
        <f t="shared" si="27"/>
        <v>4.4062133811825943E-2</v>
      </c>
      <c r="D822">
        <f t="shared" si="28"/>
        <v>-3.1221545090977791</v>
      </c>
    </row>
    <row r="823" spans="1:4" x14ac:dyDescent="0.15">
      <c r="A823" s="7">
        <v>817</v>
      </c>
      <c r="B823" s="7">
        <v>1</v>
      </c>
      <c r="C823">
        <f t="shared" si="27"/>
        <v>8.8678581416840763E-2</v>
      </c>
      <c r="D823">
        <f t="shared" si="28"/>
        <v>-2.4227368910146492</v>
      </c>
    </row>
    <row r="824" spans="1:4" x14ac:dyDescent="0.15">
      <c r="A824" s="7">
        <v>818</v>
      </c>
      <c r="B824" s="7">
        <v>10</v>
      </c>
      <c r="C824">
        <f t="shared" si="27"/>
        <v>3.9004877815418653E-3</v>
      </c>
      <c r="D824">
        <f t="shared" si="28"/>
        <v>-5.5466536614771886</v>
      </c>
    </row>
    <row r="825" spans="1:4" x14ac:dyDescent="0.15">
      <c r="A825" s="7">
        <v>819</v>
      </c>
      <c r="B825" s="7">
        <v>0</v>
      </c>
      <c r="C825">
        <f t="shared" si="27"/>
        <v>0.75586055390364359</v>
      </c>
      <c r="D825">
        <f t="shared" si="28"/>
        <v>-0.27989837232446807</v>
      </c>
    </row>
    <row r="826" spans="1:4" x14ac:dyDescent="0.15">
      <c r="A826" s="7">
        <v>820</v>
      </c>
      <c r="B826" s="7">
        <v>1</v>
      </c>
      <c r="C826">
        <f t="shared" si="27"/>
        <v>8.8678581416840763E-2</v>
      </c>
      <c r="D826">
        <f t="shared" si="28"/>
        <v>-2.4227368910146492</v>
      </c>
    </row>
    <row r="827" spans="1:4" x14ac:dyDescent="0.15">
      <c r="A827" s="7">
        <v>821</v>
      </c>
      <c r="B827" s="7">
        <v>0</v>
      </c>
      <c r="C827">
        <f t="shared" si="27"/>
        <v>0.75586055390364359</v>
      </c>
      <c r="D827">
        <f t="shared" si="28"/>
        <v>-0.27989837232446807</v>
      </c>
    </row>
    <row r="828" spans="1:4" x14ac:dyDescent="0.15">
      <c r="A828" s="7">
        <v>822</v>
      </c>
      <c r="B828" s="7">
        <v>1</v>
      </c>
      <c r="C828">
        <f t="shared" si="27"/>
        <v>8.8678581416840763E-2</v>
      </c>
      <c r="D828">
        <f t="shared" si="28"/>
        <v>-2.4227368910146492</v>
      </c>
    </row>
    <row r="829" spans="1:4" x14ac:dyDescent="0.15">
      <c r="A829" s="7">
        <v>823</v>
      </c>
      <c r="B829" s="7">
        <v>0</v>
      </c>
      <c r="C829">
        <f t="shared" si="27"/>
        <v>0.75586055390364359</v>
      </c>
      <c r="D829">
        <f t="shared" si="28"/>
        <v>-0.27989837232446807</v>
      </c>
    </row>
    <row r="830" spans="1:4" x14ac:dyDescent="0.15">
      <c r="A830" s="7">
        <v>824</v>
      </c>
      <c r="B830" s="7">
        <v>0</v>
      </c>
      <c r="C830">
        <f t="shared" si="27"/>
        <v>0.75586055390364359</v>
      </c>
      <c r="D830">
        <f t="shared" si="28"/>
        <v>-0.27989837232446807</v>
      </c>
    </row>
    <row r="831" spans="1:4" x14ac:dyDescent="0.15">
      <c r="A831" s="7">
        <v>825</v>
      </c>
      <c r="B831" s="7">
        <v>1</v>
      </c>
      <c r="C831">
        <f t="shared" si="27"/>
        <v>8.8678581416840763E-2</v>
      </c>
      <c r="D831">
        <f t="shared" si="28"/>
        <v>-2.4227368910146492</v>
      </c>
    </row>
    <row r="832" spans="1:4" x14ac:dyDescent="0.15">
      <c r="A832" s="7">
        <v>826</v>
      </c>
      <c r="B832" s="7">
        <v>1</v>
      </c>
      <c r="C832">
        <f t="shared" si="27"/>
        <v>8.8678581416840763E-2</v>
      </c>
      <c r="D832">
        <f t="shared" si="28"/>
        <v>-2.4227368910146492</v>
      </c>
    </row>
    <row r="833" spans="1:4" x14ac:dyDescent="0.15">
      <c r="A833" s="7">
        <v>827</v>
      </c>
      <c r="B833" s="7">
        <v>0</v>
      </c>
      <c r="C833">
        <f t="shared" si="27"/>
        <v>0.75586055390364359</v>
      </c>
      <c r="D833">
        <f t="shared" si="28"/>
        <v>-0.27989837232446807</v>
      </c>
    </row>
    <row r="834" spans="1:4" x14ac:dyDescent="0.15">
      <c r="A834" s="7">
        <v>828</v>
      </c>
      <c r="B834" s="7">
        <v>0</v>
      </c>
      <c r="C834">
        <f t="shared" si="27"/>
        <v>0.75586055390364359</v>
      </c>
      <c r="D834">
        <f t="shared" si="28"/>
        <v>-0.27989837232446807</v>
      </c>
    </row>
    <row r="835" spans="1:4" x14ac:dyDescent="0.15">
      <c r="A835" s="7">
        <v>829</v>
      </c>
      <c r="B835" s="7">
        <v>0</v>
      </c>
      <c r="C835">
        <f t="shared" si="27"/>
        <v>0.75586055390364359</v>
      </c>
      <c r="D835">
        <f t="shared" si="28"/>
        <v>-0.27989837232446807</v>
      </c>
    </row>
    <row r="836" spans="1:4" x14ac:dyDescent="0.15">
      <c r="A836" s="7">
        <v>830</v>
      </c>
      <c r="B836" s="7">
        <v>0</v>
      </c>
      <c r="C836">
        <f t="shared" si="27"/>
        <v>0.75586055390364359</v>
      </c>
      <c r="D836">
        <f t="shared" si="28"/>
        <v>-0.27989837232446807</v>
      </c>
    </row>
    <row r="837" spans="1:4" x14ac:dyDescent="0.15">
      <c r="A837" s="7">
        <v>831</v>
      </c>
      <c r="B837" s="7">
        <v>0</v>
      </c>
      <c r="C837">
        <f t="shared" si="27"/>
        <v>0.75586055390364359</v>
      </c>
      <c r="D837">
        <f t="shared" si="28"/>
        <v>-0.27989837232446807</v>
      </c>
    </row>
    <row r="838" spans="1:4" x14ac:dyDescent="0.15">
      <c r="A838" s="7">
        <v>832</v>
      </c>
      <c r="B838" s="7">
        <v>0</v>
      </c>
      <c r="C838">
        <f t="shared" si="27"/>
        <v>0.75586055390364359</v>
      </c>
      <c r="D838">
        <f t="shared" si="28"/>
        <v>-0.27989837232446807</v>
      </c>
    </row>
    <row r="839" spans="1:4" x14ac:dyDescent="0.15">
      <c r="A839" s="7">
        <v>833</v>
      </c>
      <c r="B839" s="7">
        <v>0</v>
      </c>
      <c r="C839">
        <f t="shared" si="27"/>
        <v>0.75586055390364359</v>
      </c>
      <c r="D839">
        <f t="shared" si="28"/>
        <v>-0.27989837232446807</v>
      </c>
    </row>
    <row r="840" spans="1:4" x14ac:dyDescent="0.15">
      <c r="A840" s="7">
        <v>834</v>
      </c>
      <c r="B840" s="7">
        <v>0</v>
      </c>
      <c r="C840">
        <f t="shared" ref="C840:C903" si="29">(_xlfn.GAMMA($B$1+B840)/(_xlfn.GAMMA($B$1)*FACT(B840))) * ($B$2/($B$2+$B$4))^$B$1 * (1/($B$2 +$B$4))^B840</f>
        <v>0.75586055390364359</v>
      </c>
      <c r="D840">
        <f t="shared" ref="D840:D903" si="30">LN(C840)</f>
        <v>-0.27989837232446807</v>
      </c>
    </row>
    <row r="841" spans="1:4" x14ac:dyDescent="0.15">
      <c r="A841" s="7">
        <v>835</v>
      </c>
      <c r="B841" s="7">
        <v>8</v>
      </c>
      <c r="C841">
        <f t="shared" si="29"/>
        <v>6.1514536381425521E-3</v>
      </c>
      <c r="D841">
        <f t="shared" si="30"/>
        <v>-5.0910668611676444</v>
      </c>
    </row>
    <row r="842" spans="1:4" x14ac:dyDescent="0.15">
      <c r="A842" s="7">
        <v>836</v>
      </c>
      <c r="B842" s="7">
        <v>0</v>
      </c>
      <c r="C842">
        <f t="shared" si="29"/>
        <v>0.75586055390364359</v>
      </c>
      <c r="D842">
        <f t="shared" si="30"/>
        <v>-0.27989837232446807</v>
      </c>
    </row>
    <row r="843" spans="1:4" x14ac:dyDescent="0.15">
      <c r="A843" s="7">
        <v>837</v>
      </c>
      <c r="B843" s="7">
        <v>0</v>
      </c>
      <c r="C843">
        <f t="shared" si="29"/>
        <v>0.75586055390364359</v>
      </c>
      <c r="D843">
        <f t="shared" si="30"/>
        <v>-0.27989837232446807</v>
      </c>
    </row>
    <row r="844" spans="1:4" x14ac:dyDescent="0.15">
      <c r="A844" s="7">
        <v>838</v>
      </c>
      <c r="B844" s="7">
        <v>1</v>
      </c>
      <c r="C844">
        <f t="shared" si="29"/>
        <v>8.8678581416840763E-2</v>
      </c>
      <c r="D844">
        <f t="shared" si="30"/>
        <v>-2.4227368910146492</v>
      </c>
    </row>
    <row r="845" spans="1:4" x14ac:dyDescent="0.15">
      <c r="A845" s="7">
        <v>839</v>
      </c>
      <c r="B845" s="7">
        <v>2</v>
      </c>
      <c r="C845">
        <f t="shared" si="29"/>
        <v>4.4062133811825943E-2</v>
      </c>
      <c r="D845">
        <f t="shared" si="30"/>
        <v>-3.1221545090977791</v>
      </c>
    </row>
    <row r="846" spans="1:4" x14ac:dyDescent="0.15">
      <c r="A846" s="7">
        <v>840</v>
      </c>
      <c r="B846" s="7">
        <v>7</v>
      </c>
      <c r="C846">
        <f t="shared" si="29"/>
        <v>7.8709438009233242E-3</v>
      </c>
      <c r="D846">
        <f t="shared" si="30"/>
        <v>-4.8445772998646781</v>
      </c>
    </row>
    <row r="847" spans="1:4" x14ac:dyDescent="0.15">
      <c r="A847" s="7">
        <v>841</v>
      </c>
      <c r="B847" s="7">
        <v>0</v>
      </c>
      <c r="C847">
        <f t="shared" si="29"/>
        <v>0.75586055390364359</v>
      </c>
      <c r="D847">
        <f t="shared" si="30"/>
        <v>-0.27989837232446807</v>
      </c>
    </row>
    <row r="848" spans="1:4" x14ac:dyDescent="0.15">
      <c r="A848" s="7">
        <v>842</v>
      </c>
      <c r="B848" s="7">
        <v>1</v>
      </c>
      <c r="C848">
        <f t="shared" si="29"/>
        <v>8.8678581416840763E-2</v>
      </c>
      <c r="D848">
        <f t="shared" si="30"/>
        <v>-2.4227368910146492</v>
      </c>
    </row>
    <row r="849" spans="1:4" x14ac:dyDescent="0.15">
      <c r="A849" s="7">
        <v>843</v>
      </c>
      <c r="B849" s="7">
        <v>0</v>
      </c>
      <c r="C849">
        <f t="shared" si="29"/>
        <v>0.75586055390364359</v>
      </c>
      <c r="D849">
        <f t="shared" si="30"/>
        <v>-0.27989837232446807</v>
      </c>
    </row>
    <row r="850" spans="1:4" x14ac:dyDescent="0.15">
      <c r="A850" s="7">
        <v>844</v>
      </c>
      <c r="B850" s="7">
        <v>6</v>
      </c>
      <c r="C850">
        <f t="shared" si="29"/>
        <v>1.0248837632111705E-2</v>
      </c>
      <c r="D850">
        <f t="shared" si="30"/>
        <v>-4.5805909815733834</v>
      </c>
    </row>
    <row r="851" spans="1:4" x14ac:dyDescent="0.15">
      <c r="A851" s="7">
        <v>845</v>
      </c>
      <c r="B851" s="7">
        <v>0</v>
      </c>
      <c r="C851">
        <f t="shared" si="29"/>
        <v>0.75586055390364359</v>
      </c>
      <c r="D851">
        <f t="shared" si="30"/>
        <v>-0.27989837232446807</v>
      </c>
    </row>
    <row r="852" spans="1:4" x14ac:dyDescent="0.15">
      <c r="A852" s="7">
        <v>846</v>
      </c>
      <c r="B852" s="7">
        <v>0</v>
      </c>
      <c r="C852">
        <f t="shared" si="29"/>
        <v>0.75586055390364359</v>
      </c>
      <c r="D852">
        <f t="shared" si="30"/>
        <v>-0.27989837232446807</v>
      </c>
    </row>
    <row r="853" spans="1:4" x14ac:dyDescent="0.15">
      <c r="A853" s="7">
        <v>847</v>
      </c>
      <c r="B853" s="7">
        <v>0</v>
      </c>
      <c r="C853">
        <f t="shared" si="29"/>
        <v>0.75586055390364359</v>
      </c>
      <c r="D853">
        <f t="shared" si="30"/>
        <v>-0.27989837232446807</v>
      </c>
    </row>
    <row r="854" spans="1:4" x14ac:dyDescent="0.15">
      <c r="A854" s="7">
        <v>848</v>
      </c>
      <c r="B854" s="7">
        <v>0</v>
      </c>
      <c r="C854">
        <f t="shared" si="29"/>
        <v>0.75586055390364359</v>
      </c>
      <c r="D854">
        <f t="shared" si="30"/>
        <v>-0.27989837232446807</v>
      </c>
    </row>
    <row r="855" spans="1:4" x14ac:dyDescent="0.15">
      <c r="A855" s="7">
        <v>849</v>
      </c>
      <c r="B855" s="7">
        <v>0</v>
      </c>
      <c r="C855">
        <f t="shared" si="29"/>
        <v>0.75586055390364359</v>
      </c>
      <c r="D855">
        <f t="shared" si="30"/>
        <v>-0.27989837232446807</v>
      </c>
    </row>
    <row r="856" spans="1:4" x14ac:dyDescent="0.15">
      <c r="A856" s="7">
        <v>850</v>
      </c>
      <c r="B856" s="7">
        <v>0</v>
      </c>
      <c r="C856">
        <f t="shared" si="29"/>
        <v>0.75586055390364359</v>
      </c>
      <c r="D856">
        <f t="shared" si="30"/>
        <v>-0.27989837232446807</v>
      </c>
    </row>
    <row r="857" spans="1:4" x14ac:dyDescent="0.15">
      <c r="A857" s="7">
        <v>851</v>
      </c>
      <c r="B857" s="7">
        <v>1</v>
      </c>
      <c r="C857">
        <f t="shared" si="29"/>
        <v>8.8678581416840763E-2</v>
      </c>
      <c r="D857">
        <f t="shared" si="30"/>
        <v>-2.4227368910146492</v>
      </c>
    </row>
    <row r="858" spans="1:4" x14ac:dyDescent="0.15">
      <c r="A858" s="7">
        <v>852</v>
      </c>
      <c r="B858" s="7">
        <v>1</v>
      </c>
      <c r="C858">
        <f t="shared" si="29"/>
        <v>8.8678581416840763E-2</v>
      </c>
      <c r="D858">
        <f t="shared" si="30"/>
        <v>-2.4227368910146492</v>
      </c>
    </row>
    <row r="859" spans="1:4" x14ac:dyDescent="0.15">
      <c r="A859" s="7">
        <v>853</v>
      </c>
      <c r="B859" s="7">
        <v>0</v>
      </c>
      <c r="C859">
        <f t="shared" si="29"/>
        <v>0.75586055390364359</v>
      </c>
      <c r="D859">
        <f t="shared" si="30"/>
        <v>-0.27989837232446807</v>
      </c>
    </row>
    <row r="860" spans="1:4" x14ac:dyDescent="0.15">
      <c r="A860" s="7">
        <v>854</v>
      </c>
      <c r="B860" s="7">
        <v>0</v>
      </c>
      <c r="C860">
        <f t="shared" si="29"/>
        <v>0.75586055390364359</v>
      </c>
      <c r="D860">
        <f t="shared" si="30"/>
        <v>-0.27989837232446807</v>
      </c>
    </row>
    <row r="861" spans="1:4" x14ac:dyDescent="0.15">
      <c r="A861" s="7">
        <v>855</v>
      </c>
      <c r="B861" s="7">
        <v>0</v>
      </c>
      <c r="C861">
        <f t="shared" si="29"/>
        <v>0.75586055390364359</v>
      </c>
      <c r="D861">
        <f t="shared" si="30"/>
        <v>-0.27989837232446807</v>
      </c>
    </row>
    <row r="862" spans="1:4" x14ac:dyDescent="0.15">
      <c r="A862" s="7">
        <v>856</v>
      </c>
      <c r="B862" s="7">
        <v>0</v>
      </c>
      <c r="C862">
        <f t="shared" si="29"/>
        <v>0.75586055390364359</v>
      </c>
      <c r="D862">
        <f t="shared" si="30"/>
        <v>-0.27989837232446807</v>
      </c>
    </row>
    <row r="863" spans="1:4" x14ac:dyDescent="0.15">
      <c r="A863" s="7">
        <v>857</v>
      </c>
      <c r="B863" s="7">
        <v>0</v>
      </c>
      <c r="C863">
        <f t="shared" si="29"/>
        <v>0.75586055390364359</v>
      </c>
      <c r="D863">
        <f t="shared" si="30"/>
        <v>-0.27989837232446807</v>
      </c>
    </row>
    <row r="864" spans="1:4" x14ac:dyDescent="0.15">
      <c r="A864" s="7">
        <v>858</v>
      </c>
      <c r="B864" s="7">
        <v>0</v>
      </c>
      <c r="C864">
        <f t="shared" si="29"/>
        <v>0.75586055390364359</v>
      </c>
      <c r="D864">
        <f t="shared" si="30"/>
        <v>-0.27989837232446807</v>
      </c>
    </row>
    <row r="865" spans="1:4" x14ac:dyDescent="0.15">
      <c r="A865" s="7">
        <v>859</v>
      </c>
      <c r="B865" s="7">
        <v>0</v>
      </c>
      <c r="C865">
        <f t="shared" si="29"/>
        <v>0.75586055390364359</v>
      </c>
      <c r="D865">
        <f t="shared" si="30"/>
        <v>-0.27989837232446807</v>
      </c>
    </row>
    <row r="866" spans="1:4" x14ac:dyDescent="0.15">
      <c r="A866" s="7">
        <v>860</v>
      </c>
      <c r="B866" s="7">
        <v>0</v>
      </c>
      <c r="C866">
        <f t="shared" si="29"/>
        <v>0.75586055390364359</v>
      </c>
      <c r="D866">
        <f t="shared" si="30"/>
        <v>-0.27989837232446807</v>
      </c>
    </row>
    <row r="867" spans="1:4" x14ac:dyDescent="0.15">
      <c r="A867" s="7">
        <v>861</v>
      </c>
      <c r="B867" s="7">
        <v>0</v>
      </c>
      <c r="C867">
        <f t="shared" si="29"/>
        <v>0.75586055390364359</v>
      </c>
      <c r="D867">
        <f t="shared" si="30"/>
        <v>-0.27989837232446807</v>
      </c>
    </row>
    <row r="868" spans="1:4" x14ac:dyDescent="0.15">
      <c r="A868" s="7">
        <v>862</v>
      </c>
      <c r="B868" s="7">
        <v>0</v>
      </c>
      <c r="C868">
        <f t="shared" si="29"/>
        <v>0.75586055390364359</v>
      </c>
      <c r="D868">
        <f t="shared" si="30"/>
        <v>-0.27989837232446807</v>
      </c>
    </row>
    <row r="869" spans="1:4" x14ac:dyDescent="0.15">
      <c r="A869" s="7">
        <v>863</v>
      </c>
      <c r="B869" s="7">
        <v>0</v>
      </c>
      <c r="C869">
        <f t="shared" si="29"/>
        <v>0.75586055390364359</v>
      </c>
      <c r="D869">
        <f t="shared" si="30"/>
        <v>-0.27989837232446807</v>
      </c>
    </row>
    <row r="870" spans="1:4" x14ac:dyDescent="0.15">
      <c r="A870" s="7">
        <v>864</v>
      </c>
      <c r="B870" s="7">
        <v>0</v>
      </c>
      <c r="C870">
        <f t="shared" si="29"/>
        <v>0.75586055390364359</v>
      </c>
      <c r="D870">
        <f t="shared" si="30"/>
        <v>-0.27989837232446807</v>
      </c>
    </row>
    <row r="871" spans="1:4" x14ac:dyDescent="0.15">
      <c r="A871" s="7">
        <v>865</v>
      </c>
      <c r="B871" s="7">
        <v>2</v>
      </c>
      <c r="C871">
        <f t="shared" si="29"/>
        <v>4.4062133811825943E-2</v>
      </c>
      <c r="D871">
        <f t="shared" si="30"/>
        <v>-3.1221545090977791</v>
      </c>
    </row>
    <row r="872" spans="1:4" x14ac:dyDescent="0.15">
      <c r="A872" s="7">
        <v>866</v>
      </c>
      <c r="B872" s="7">
        <v>1</v>
      </c>
      <c r="C872">
        <f t="shared" si="29"/>
        <v>8.8678581416840763E-2</v>
      </c>
      <c r="D872">
        <f t="shared" si="30"/>
        <v>-2.4227368910146492</v>
      </c>
    </row>
    <row r="873" spans="1:4" x14ac:dyDescent="0.15">
      <c r="A873" s="7">
        <v>867</v>
      </c>
      <c r="B873" s="7">
        <v>1</v>
      </c>
      <c r="C873">
        <f t="shared" si="29"/>
        <v>8.8678581416840763E-2</v>
      </c>
      <c r="D873">
        <f t="shared" si="30"/>
        <v>-2.4227368910146492</v>
      </c>
    </row>
    <row r="874" spans="1:4" x14ac:dyDescent="0.15">
      <c r="A874" s="7">
        <v>868</v>
      </c>
      <c r="B874" s="7">
        <v>2</v>
      </c>
      <c r="C874">
        <f t="shared" si="29"/>
        <v>4.4062133811825943E-2</v>
      </c>
      <c r="D874">
        <f t="shared" si="30"/>
        <v>-3.1221545090977791</v>
      </c>
    </row>
    <row r="875" spans="1:4" x14ac:dyDescent="0.15">
      <c r="A875" s="7">
        <v>869</v>
      </c>
      <c r="B875" s="7">
        <v>0</v>
      </c>
      <c r="C875">
        <f t="shared" si="29"/>
        <v>0.75586055390364359</v>
      </c>
      <c r="D875">
        <f t="shared" si="30"/>
        <v>-0.27989837232446807</v>
      </c>
    </row>
    <row r="876" spans="1:4" x14ac:dyDescent="0.15">
      <c r="A876" s="7">
        <v>870</v>
      </c>
      <c r="B876" s="7">
        <v>0</v>
      </c>
      <c r="C876">
        <f t="shared" si="29"/>
        <v>0.75586055390364359</v>
      </c>
      <c r="D876">
        <f t="shared" si="30"/>
        <v>-0.27989837232446807</v>
      </c>
    </row>
    <row r="877" spans="1:4" x14ac:dyDescent="0.15">
      <c r="A877" s="7">
        <v>871</v>
      </c>
      <c r="B877" s="7">
        <v>1</v>
      </c>
      <c r="C877">
        <f t="shared" si="29"/>
        <v>8.8678581416840763E-2</v>
      </c>
      <c r="D877">
        <f t="shared" si="30"/>
        <v>-2.4227368910146492</v>
      </c>
    </row>
    <row r="878" spans="1:4" x14ac:dyDescent="0.15">
      <c r="A878" s="7">
        <v>872</v>
      </c>
      <c r="B878" s="7">
        <v>0</v>
      </c>
      <c r="C878">
        <f t="shared" si="29"/>
        <v>0.75586055390364359</v>
      </c>
      <c r="D878">
        <f t="shared" si="30"/>
        <v>-0.27989837232446807</v>
      </c>
    </row>
    <row r="879" spans="1:4" x14ac:dyDescent="0.15">
      <c r="A879" s="7">
        <v>873</v>
      </c>
      <c r="B879" s="7">
        <v>0</v>
      </c>
      <c r="C879">
        <f t="shared" si="29"/>
        <v>0.75586055390364359</v>
      </c>
      <c r="D879">
        <f t="shared" si="30"/>
        <v>-0.27989837232446807</v>
      </c>
    </row>
    <row r="880" spans="1:4" x14ac:dyDescent="0.15">
      <c r="A880" s="7">
        <v>874</v>
      </c>
      <c r="B880" s="7">
        <v>0</v>
      </c>
      <c r="C880">
        <f t="shared" si="29"/>
        <v>0.75586055390364359</v>
      </c>
      <c r="D880">
        <f t="shared" si="30"/>
        <v>-0.27989837232446807</v>
      </c>
    </row>
    <row r="881" spans="1:4" x14ac:dyDescent="0.15">
      <c r="A881" s="7">
        <v>875</v>
      </c>
      <c r="B881" s="7">
        <v>0</v>
      </c>
      <c r="C881">
        <f t="shared" si="29"/>
        <v>0.75586055390364359</v>
      </c>
      <c r="D881">
        <f t="shared" si="30"/>
        <v>-0.27989837232446807</v>
      </c>
    </row>
    <row r="882" spans="1:4" x14ac:dyDescent="0.15">
      <c r="A882" s="7">
        <v>876</v>
      </c>
      <c r="B882" s="7">
        <v>0</v>
      </c>
      <c r="C882">
        <f t="shared" si="29"/>
        <v>0.75586055390364359</v>
      </c>
      <c r="D882">
        <f t="shared" si="30"/>
        <v>-0.27989837232446807</v>
      </c>
    </row>
    <row r="883" spans="1:4" x14ac:dyDescent="0.15">
      <c r="A883" s="7">
        <v>877</v>
      </c>
      <c r="B883" s="7">
        <v>0</v>
      </c>
      <c r="C883">
        <f t="shared" si="29"/>
        <v>0.75586055390364359</v>
      </c>
      <c r="D883">
        <f t="shared" si="30"/>
        <v>-0.27989837232446807</v>
      </c>
    </row>
    <row r="884" spans="1:4" x14ac:dyDescent="0.15">
      <c r="A884" s="7">
        <v>878</v>
      </c>
      <c r="B884" s="7">
        <v>0</v>
      </c>
      <c r="C884">
        <f t="shared" si="29"/>
        <v>0.75586055390364359</v>
      </c>
      <c r="D884">
        <f t="shared" si="30"/>
        <v>-0.27989837232446807</v>
      </c>
    </row>
    <row r="885" spans="1:4" x14ac:dyDescent="0.15">
      <c r="A885" s="7">
        <v>879</v>
      </c>
      <c r="B885" s="7">
        <v>2</v>
      </c>
      <c r="C885">
        <f t="shared" si="29"/>
        <v>4.4062133811825943E-2</v>
      </c>
      <c r="D885">
        <f t="shared" si="30"/>
        <v>-3.1221545090977791</v>
      </c>
    </row>
    <row r="886" spans="1:4" x14ac:dyDescent="0.15">
      <c r="A886" s="7">
        <v>880</v>
      </c>
      <c r="B886" s="7">
        <v>2</v>
      </c>
      <c r="C886">
        <f t="shared" si="29"/>
        <v>4.4062133811825943E-2</v>
      </c>
      <c r="D886">
        <f t="shared" si="30"/>
        <v>-3.1221545090977791</v>
      </c>
    </row>
    <row r="887" spans="1:4" x14ac:dyDescent="0.15">
      <c r="A887" s="7">
        <v>881</v>
      </c>
      <c r="B887" s="7">
        <v>0</v>
      </c>
      <c r="C887">
        <f t="shared" si="29"/>
        <v>0.75586055390364359</v>
      </c>
      <c r="D887">
        <f t="shared" si="30"/>
        <v>-0.27989837232446807</v>
      </c>
    </row>
    <row r="888" spans="1:4" x14ac:dyDescent="0.15">
      <c r="A888" s="7">
        <v>882</v>
      </c>
      <c r="B888" s="7">
        <v>2</v>
      </c>
      <c r="C888">
        <f t="shared" si="29"/>
        <v>4.4062133811825943E-2</v>
      </c>
      <c r="D888">
        <f t="shared" si="30"/>
        <v>-3.1221545090977791</v>
      </c>
    </row>
    <row r="889" spans="1:4" x14ac:dyDescent="0.15">
      <c r="A889" s="7">
        <v>883</v>
      </c>
      <c r="B889" s="7">
        <v>0</v>
      </c>
      <c r="C889">
        <f t="shared" si="29"/>
        <v>0.75586055390364359</v>
      </c>
      <c r="D889">
        <f t="shared" si="30"/>
        <v>-0.27989837232446807</v>
      </c>
    </row>
    <row r="890" spans="1:4" x14ac:dyDescent="0.15">
      <c r="A890" s="7">
        <v>884</v>
      </c>
      <c r="B890" s="7">
        <v>0</v>
      </c>
      <c r="C890">
        <f t="shared" si="29"/>
        <v>0.75586055390364359</v>
      </c>
      <c r="D890">
        <f t="shared" si="30"/>
        <v>-0.27989837232446807</v>
      </c>
    </row>
    <row r="891" spans="1:4" x14ac:dyDescent="0.15">
      <c r="A891" s="7">
        <v>885</v>
      </c>
      <c r="B891" s="7">
        <v>0</v>
      </c>
      <c r="C891">
        <f t="shared" si="29"/>
        <v>0.75586055390364359</v>
      </c>
      <c r="D891">
        <f t="shared" si="30"/>
        <v>-0.27989837232446807</v>
      </c>
    </row>
    <row r="892" spans="1:4" x14ac:dyDescent="0.15">
      <c r="A892" s="7">
        <v>886</v>
      </c>
      <c r="B892" s="7">
        <v>1</v>
      </c>
      <c r="C892">
        <f t="shared" si="29"/>
        <v>8.8678581416840763E-2</v>
      </c>
      <c r="D892">
        <f t="shared" si="30"/>
        <v>-2.4227368910146492</v>
      </c>
    </row>
    <row r="893" spans="1:4" x14ac:dyDescent="0.15">
      <c r="A893" s="7">
        <v>887</v>
      </c>
      <c r="B893" s="7">
        <v>0</v>
      </c>
      <c r="C893">
        <f t="shared" si="29"/>
        <v>0.75586055390364359</v>
      </c>
      <c r="D893">
        <f t="shared" si="30"/>
        <v>-0.27989837232446807</v>
      </c>
    </row>
    <row r="894" spans="1:4" x14ac:dyDescent="0.15">
      <c r="A894" s="7">
        <v>888</v>
      </c>
      <c r="B894" s="7">
        <v>0</v>
      </c>
      <c r="C894">
        <f t="shared" si="29"/>
        <v>0.75586055390364359</v>
      </c>
      <c r="D894">
        <f t="shared" si="30"/>
        <v>-0.27989837232446807</v>
      </c>
    </row>
    <row r="895" spans="1:4" x14ac:dyDescent="0.15">
      <c r="A895" s="7">
        <v>889</v>
      </c>
      <c r="B895" s="7">
        <v>2</v>
      </c>
      <c r="C895">
        <f t="shared" si="29"/>
        <v>4.4062133811825943E-2</v>
      </c>
      <c r="D895">
        <f t="shared" si="30"/>
        <v>-3.1221545090977791</v>
      </c>
    </row>
    <row r="896" spans="1:4" x14ac:dyDescent="0.15">
      <c r="A896" s="7">
        <v>890</v>
      </c>
      <c r="B896" s="7">
        <v>0</v>
      </c>
      <c r="C896">
        <f t="shared" si="29"/>
        <v>0.75586055390364359</v>
      </c>
      <c r="D896">
        <f t="shared" si="30"/>
        <v>-0.27989837232446807</v>
      </c>
    </row>
    <row r="897" spans="1:4" x14ac:dyDescent="0.15">
      <c r="A897" s="7">
        <v>891</v>
      </c>
      <c r="B897" s="7">
        <v>0</v>
      </c>
      <c r="C897">
        <f t="shared" si="29"/>
        <v>0.75586055390364359</v>
      </c>
      <c r="D897">
        <f t="shared" si="30"/>
        <v>-0.27989837232446807</v>
      </c>
    </row>
    <row r="898" spans="1:4" x14ac:dyDescent="0.15">
      <c r="A898" s="7">
        <v>892</v>
      </c>
      <c r="B898" s="7">
        <v>0</v>
      </c>
      <c r="C898">
        <f t="shared" si="29"/>
        <v>0.75586055390364359</v>
      </c>
      <c r="D898">
        <f t="shared" si="30"/>
        <v>-0.27989837232446807</v>
      </c>
    </row>
    <row r="899" spans="1:4" x14ac:dyDescent="0.15">
      <c r="A899" s="7">
        <v>893</v>
      </c>
      <c r="B899" s="7">
        <v>0</v>
      </c>
      <c r="C899">
        <f t="shared" si="29"/>
        <v>0.75586055390364359</v>
      </c>
      <c r="D899">
        <f t="shared" si="30"/>
        <v>-0.27989837232446807</v>
      </c>
    </row>
    <row r="900" spans="1:4" x14ac:dyDescent="0.15">
      <c r="A900" s="7">
        <v>894</v>
      </c>
      <c r="B900" s="7">
        <v>0</v>
      </c>
      <c r="C900">
        <f t="shared" si="29"/>
        <v>0.75586055390364359</v>
      </c>
      <c r="D900">
        <f t="shared" si="30"/>
        <v>-0.27989837232446807</v>
      </c>
    </row>
    <row r="901" spans="1:4" x14ac:dyDescent="0.15">
      <c r="A901" s="7">
        <v>895</v>
      </c>
      <c r="B901" s="7">
        <v>0</v>
      </c>
      <c r="C901">
        <f t="shared" si="29"/>
        <v>0.75586055390364359</v>
      </c>
      <c r="D901">
        <f t="shared" si="30"/>
        <v>-0.27989837232446807</v>
      </c>
    </row>
    <row r="902" spans="1:4" x14ac:dyDescent="0.15">
      <c r="A902" s="7">
        <v>896</v>
      </c>
      <c r="B902" s="7">
        <v>0</v>
      </c>
      <c r="C902">
        <f t="shared" si="29"/>
        <v>0.75586055390364359</v>
      </c>
      <c r="D902">
        <f t="shared" si="30"/>
        <v>-0.27989837232446807</v>
      </c>
    </row>
    <row r="903" spans="1:4" x14ac:dyDescent="0.15">
      <c r="A903" s="7">
        <v>897</v>
      </c>
      <c r="B903" s="7">
        <v>0</v>
      </c>
      <c r="C903">
        <f t="shared" si="29"/>
        <v>0.75586055390364359</v>
      </c>
      <c r="D903">
        <f t="shared" si="30"/>
        <v>-0.27989837232446807</v>
      </c>
    </row>
    <row r="904" spans="1:4" x14ac:dyDescent="0.15">
      <c r="A904" s="7">
        <v>898</v>
      </c>
      <c r="B904" s="7">
        <v>0</v>
      </c>
      <c r="C904">
        <f t="shared" ref="C904:C967" si="31">(_xlfn.GAMMA($B$1+B904)/(_xlfn.GAMMA($B$1)*FACT(B904))) * ($B$2/($B$2+$B$4))^$B$1 * (1/($B$2 +$B$4))^B904</f>
        <v>0.75586055390364359</v>
      </c>
      <c r="D904">
        <f t="shared" ref="D904:D967" si="32">LN(C904)</f>
        <v>-0.27989837232446807</v>
      </c>
    </row>
    <row r="905" spans="1:4" x14ac:dyDescent="0.15">
      <c r="A905" s="7">
        <v>899</v>
      </c>
      <c r="B905" s="7">
        <v>0</v>
      </c>
      <c r="C905">
        <f t="shared" si="31"/>
        <v>0.75586055390364359</v>
      </c>
      <c r="D905">
        <f t="shared" si="32"/>
        <v>-0.27989837232446807</v>
      </c>
    </row>
    <row r="906" spans="1:4" x14ac:dyDescent="0.15">
      <c r="A906" s="7">
        <v>900</v>
      </c>
      <c r="B906" s="7">
        <v>2</v>
      </c>
      <c r="C906">
        <f t="shared" si="31"/>
        <v>4.4062133811825943E-2</v>
      </c>
      <c r="D906">
        <f t="shared" si="32"/>
        <v>-3.1221545090977791</v>
      </c>
    </row>
    <row r="907" spans="1:4" x14ac:dyDescent="0.15">
      <c r="A907" s="7">
        <v>901</v>
      </c>
      <c r="B907" s="7">
        <v>3</v>
      </c>
      <c r="C907">
        <f t="shared" si="31"/>
        <v>2.7467996558433502E-2</v>
      </c>
      <c r="D907">
        <f t="shared" si="32"/>
        <v>-3.594733713517384</v>
      </c>
    </row>
    <row r="908" spans="1:4" x14ac:dyDescent="0.15">
      <c r="A908" s="7">
        <v>902</v>
      </c>
      <c r="B908" s="7">
        <v>4</v>
      </c>
      <c r="C908">
        <f t="shared" si="31"/>
        <v>1.8860933071470173E-2</v>
      </c>
      <c r="D908">
        <f t="shared" si="32"/>
        <v>-3.9706625294337847</v>
      </c>
    </row>
    <row r="909" spans="1:4" x14ac:dyDescent="0.15">
      <c r="A909" s="7">
        <v>903</v>
      </c>
      <c r="B909" s="7">
        <v>4</v>
      </c>
      <c r="C909">
        <f t="shared" si="31"/>
        <v>1.8860933071470173E-2</v>
      </c>
      <c r="D909">
        <f t="shared" si="32"/>
        <v>-3.9706625294337847</v>
      </c>
    </row>
    <row r="910" spans="1:4" x14ac:dyDescent="0.15">
      <c r="A910" s="7">
        <v>904</v>
      </c>
      <c r="B910" s="7">
        <v>0</v>
      </c>
      <c r="C910">
        <f t="shared" si="31"/>
        <v>0.75586055390364359</v>
      </c>
      <c r="D910">
        <f t="shared" si="32"/>
        <v>-0.27989837232446807</v>
      </c>
    </row>
    <row r="911" spans="1:4" x14ac:dyDescent="0.15">
      <c r="A911" s="7">
        <v>905</v>
      </c>
      <c r="B911" s="7">
        <v>0</v>
      </c>
      <c r="C911">
        <f t="shared" si="31"/>
        <v>0.75586055390364359</v>
      </c>
      <c r="D911">
        <f t="shared" si="32"/>
        <v>-0.27989837232446807</v>
      </c>
    </row>
    <row r="912" spans="1:4" x14ac:dyDescent="0.15">
      <c r="A912" s="7">
        <v>906</v>
      </c>
      <c r="B912" s="7">
        <v>6</v>
      </c>
      <c r="C912">
        <f t="shared" si="31"/>
        <v>1.0248837632111705E-2</v>
      </c>
      <c r="D912">
        <f t="shared" si="32"/>
        <v>-4.5805909815733834</v>
      </c>
    </row>
    <row r="913" spans="1:4" x14ac:dyDescent="0.15">
      <c r="A913" s="7">
        <v>907</v>
      </c>
      <c r="B913" s="7">
        <v>4</v>
      </c>
      <c r="C913">
        <f t="shared" si="31"/>
        <v>1.8860933071470173E-2</v>
      </c>
      <c r="D913">
        <f t="shared" si="32"/>
        <v>-3.9706625294337847</v>
      </c>
    </row>
    <row r="914" spans="1:4" x14ac:dyDescent="0.15">
      <c r="A914" s="7">
        <v>908</v>
      </c>
      <c r="B914" s="7">
        <v>14</v>
      </c>
      <c r="C914">
        <f t="shared" si="31"/>
        <v>1.7224662736318389E-3</v>
      </c>
      <c r="D914">
        <f t="shared" si="32"/>
        <v>-6.3639981351625821</v>
      </c>
    </row>
    <row r="915" spans="1:4" x14ac:dyDescent="0.15">
      <c r="A915" s="7">
        <v>909</v>
      </c>
      <c r="B915" s="7">
        <v>0</v>
      </c>
      <c r="C915">
        <f t="shared" si="31"/>
        <v>0.75586055390364359</v>
      </c>
      <c r="D915">
        <f t="shared" si="32"/>
        <v>-0.27989837232446807</v>
      </c>
    </row>
    <row r="916" spans="1:4" x14ac:dyDescent="0.15">
      <c r="A916" s="7">
        <v>910</v>
      </c>
      <c r="B916" s="7">
        <v>1</v>
      </c>
      <c r="C916">
        <f t="shared" si="31"/>
        <v>8.8678581416840763E-2</v>
      </c>
      <c r="D916">
        <f t="shared" si="32"/>
        <v>-2.4227368910146492</v>
      </c>
    </row>
    <row r="917" spans="1:4" x14ac:dyDescent="0.15">
      <c r="A917" s="7">
        <v>911</v>
      </c>
      <c r="B917" s="7">
        <v>0</v>
      </c>
      <c r="C917">
        <f t="shared" si="31"/>
        <v>0.75586055390364359</v>
      </c>
      <c r="D917">
        <f t="shared" si="32"/>
        <v>-0.27989837232446807</v>
      </c>
    </row>
    <row r="918" spans="1:4" x14ac:dyDescent="0.15">
      <c r="A918" s="7">
        <v>912</v>
      </c>
      <c r="B918" s="7">
        <v>4</v>
      </c>
      <c r="C918">
        <f t="shared" si="31"/>
        <v>1.8860933071470173E-2</v>
      </c>
      <c r="D918">
        <f t="shared" si="32"/>
        <v>-3.9706625294337847</v>
      </c>
    </row>
    <row r="919" spans="1:4" x14ac:dyDescent="0.15">
      <c r="A919" s="7">
        <v>913</v>
      </c>
      <c r="B919" s="7">
        <v>16</v>
      </c>
      <c r="C919">
        <f t="shared" si="31"/>
        <v>1.1791864661569508E-3</v>
      </c>
      <c r="D919">
        <f t="shared" si="32"/>
        <v>-6.7429305137346924</v>
      </c>
    </row>
    <row r="920" spans="1:4" x14ac:dyDescent="0.15">
      <c r="A920" s="7">
        <v>914</v>
      </c>
      <c r="B920" s="7">
        <v>1</v>
      </c>
      <c r="C920">
        <f t="shared" si="31"/>
        <v>8.8678581416840763E-2</v>
      </c>
      <c r="D920">
        <f t="shared" si="32"/>
        <v>-2.4227368910146492</v>
      </c>
    </row>
    <row r="921" spans="1:4" x14ac:dyDescent="0.15">
      <c r="A921" s="7">
        <v>915</v>
      </c>
      <c r="B921" s="7">
        <v>0</v>
      </c>
      <c r="C921">
        <f t="shared" si="31"/>
        <v>0.75586055390364359</v>
      </c>
      <c r="D921">
        <f t="shared" si="32"/>
        <v>-0.27989837232446807</v>
      </c>
    </row>
    <row r="922" spans="1:4" x14ac:dyDescent="0.15">
      <c r="A922" s="7">
        <v>916</v>
      </c>
      <c r="B922" s="7">
        <v>1</v>
      </c>
      <c r="C922">
        <f t="shared" si="31"/>
        <v>8.8678581416840763E-2</v>
      </c>
      <c r="D922">
        <f t="shared" si="32"/>
        <v>-2.4227368910146492</v>
      </c>
    </row>
    <row r="923" spans="1:4" x14ac:dyDescent="0.15">
      <c r="A923" s="7">
        <v>917</v>
      </c>
      <c r="B923" s="7">
        <v>0</v>
      </c>
      <c r="C923">
        <f t="shared" si="31"/>
        <v>0.75586055390364359</v>
      </c>
      <c r="D923">
        <f t="shared" si="32"/>
        <v>-0.27989837232446807</v>
      </c>
    </row>
    <row r="924" spans="1:4" x14ac:dyDescent="0.15">
      <c r="A924" s="7">
        <v>918</v>
      </c>
      <c r="B924" s="7">
        <v>0</v>
      </c>
      <c r="C924">
        <f t="shared" si="31"/>
        <v>0.75586055390364359</v>
      </c>
      <c r="D924">
        <f t="shared" si="32"/>
        <v>-0.27989837232446807</v>
      </c>
    </row>
    <row r="925" spans="1:4" x14ac:dyDescent="0.15">
      <c r="A925" s="7">
        <v>919</v>
      </c>
      <c r="B925" s="7">
        <v>0</v>
      </c>
      <c r="C925">
        <f t="shared" si="31"/>
        <v>0.75586055390364359</v>
      </c>
      <c r="D925">
        <f t="shared" si="32"/>
        <v>-0.27989837232446807</v>
      </c>
    </row>
    <row r="926" spans="1:4" x14ac:dyDescent="0.15">
      <c r="A926" s="7">
        <v>920</v>
      </c>
      <c r="B926" s="7">
        <v>0</v>
      </c>
      <c r="C926">
        <f t="shared" si="31"/>
        <v>0.75586055390364359</v>
      </c>
      <c r="D926">
        <f t="shared" si="32"/>
        <v>-0.27989837232446807</v>
      </c>
    </row>
    <row r="927" spans="1:4" x14ac:dyDescent="0.15">
      <c r="A927" s="7">
        <v>921</v>
      </c>
      <c r="B927" s="7">
        <v>0</v>
      </c>
      <c r="C927">
        <f t="shared" si="31"/>
        <v>0.75586055390364359</v>
      </c>
      <c r="D927">
        <f t="shared" si="32"/>
        <v>-0.27989837232446807</v>
      </c>
    </row>
    <row r="928" spans="1:4" x14ac:dyDescent="0.15">
      <c r="A928" s="7">
        <v>922</v>
      </c>
      <c r="B928" s="7">
        <v>0</v>
      </c>
      <c r="C928">
        <f t="shared" si="31"/>
        <v>0.75586055390364359</v>
      </c>
      <c r="D928">
        <f t="shared" si="32"/>
        <v>-0.27989837232446807</v>
      </c>
    </row>
    <row r="929" spans="1:4" x14ac:dyDescent="0.15">
      <c r="A929" s="7">
        <v>923</v>
      </c>
      <c r="B929" s="7">
        <v>0</v>
      </c>
      <c r="C929">
        <f t="shared" si="31"/>
        <v>0.75586055390364359</v>
      </c>
      <c r="D929">
        <f t="shared" si="32"/>
        <v>-0.27989837232446807</v>
      </c>
    </row>
    <row r="930" spans="1:4" x14ac:dyDescent="0.15">
      <c r="A930" s="7">
        <v>924</v>
      </c>
      <c r="B930" s="7">
        <v>0</v>
      </c>
      <c r="C930">
        <f t="shared" si="31"/>
        <v>0.75586055390364359</v>
      </c>
      <c r="D930">
        <f t="shared" si="32"/>
        <v>-0.27989837232446807</v>
      </c>
    </row>
    <row r="931" spans="1:4" x14ac:dyDescent="0.15">
      <c r="A931" s="7">
        <v>925</v>
      </c>
      <c r="B931" s="7">
        <v>0</v>
      </c>
      <c r="C931">
        <f t="shared" si="31"/>
        <v>0.75586055390364359</v>
      </c>
      <c r="D931">
        <f t="shared" si="32"/>
        <v>-0.27989837232446807</v>
      </c>
    </row>
    <row r="932" spans="1:4" x14ac:dyDescent="0.15">
      <c r="A932" s="7">
        <v>926</v>
      </c>
      <c r="B932" s="7">
        <v>0</v>
      </c>
      <c r="C932">
        <f t="shared" si="31"/>
        <v>0.75586055390364359</v>
      </c>
      <c r="D932">
        <f t="shared" si="32"/>
        <v>-0.27989837232446807</v>
      </c>
    </row>
    <row r="933" spans="1:4" x14ac:dyDescent="0.15">
      <c r="A933" s="7">
        <v>927</v>
      </c>
      <c r="B933" s="7">
        <v>4</v>
      </c>
      <c r="C933">
        <f t="shared" si="31"/>
        <v>1.8860933071470173E-2</v>
      </c>
      <c r="D933">
        <f t="shared" si="32"/>
        <v>-3.9706625294337847</v>
      </c>
    </row>
    <row r="934" spans="1:4" x14ac:dyDescent="0.15">
      <c r="A934" s="7">
        <v>928</v>
      </c>
      <c r="B934" s="7">
        <v>0</v>
      </c>
      <c r="C934">
        <f t="shared" si="31"/>
        <v>0.75586055390364359</v>
      </c>
      <c r="D934">
        <f t="shared" si="32"/>
        <v>-0.27989837232446807</v>
      </c>
    </row>
    <row r="935" spans="1:4" x14ac:dyDescent="0.15">
      <c r="A935" s="7">
        <v>929</v>
      </c>
      <c r="B935" s="7">
        <v>0</v>
      </c>
      <c r="C935">
        <f t="shared" si="31"/>
        <v>0.75586055390364359</v>
      </c>
      <c r="D935">
        <f t="shared" si="32"/>
        <v>-0.27989837232446807</v>
      </c>
    </row>
    <row r="936" spans="1:4" x14ac:dyDescent="0.15">
      <c r="A936" s="7">
        <v>930</v>
      </c>
      <c r="B936" s="7">
        <v>0</v>
      </c>
      <c r="C936">
        <f t="shared" si="31"/>
        <v>0.75586055390364359</v>
      </c>
      <c r="D936">
        <f t="shared" si="32"/>
        <v>-0.27989837232446807</v>
      </c>
    </row>
    <row r="937" spans="1:4" x14ac:dyDescent="0.15">
      <c r="A937" s="7">
        <v>931</v>
      </c>
      <c r="B937" s="7">
        <v>0</v>
      </c>
      <c r="C937">
        <f t="shared" si="31"/>
        <v>0.75586055390364359</v>
      </c>
      <c r="D937">
        <f t="shared" si="32"/>
        <v>-0.27989837232446807</v>
      </c>
    </row>
    <row r="938" spans="1:4" x14ac:dyDescent="0.15">
      <c r="A938" s="7">
        <v>932</v>
      </c>
      <c r="B938" s="7">
        <v>0</v>
      </c>
      <c r="C938">
        <f t="shared" si="31"/>
        <v>0.75586055390364359</v>
      </c>
      <c r="D938">
        <f t="shared" si="32"/>
        <v>-0.27989837232446807</v>
      </c>
    </row>
    <row r="939" spans="1:4" x14ac:dyDescent="0.15">
      <c r="A939" s="7">
        <v>933</v>
      </c>
      <c r="B939" s="7">
        <v>0</v>
      </c>
      <c r="C939">
        <f t="shared" si="31"/>
        <v>0.75586055390364359</v>
      </c>
      <c r="D939">
        <f t="shared" si="32"/>
        <v>-0.27989837232446807</v>
      </c>
    </row>
    <row r="940" spans="1:4" x14ac:dyDescent="0.15">
      <c r="A940" s="7">
        <v>934</v>
      </c>
      <c r="B940" s="7">
        <v>0</v>
      </c>
      <c r="C940">
        <f t="shared" si="31"/>
        <v>0.75586055390364359</v>
      </c>
      <c r="D940">
        <f t="shared" si="32"/>
        <v>-0.27989837232446807</v>
      </c>
    </row>
    <row r="941" spans="1:4" x14ac:dyDescent="0.15">
      <c r="A941" s="7">
        <v>935</v>
      </c>
      <c r="B941" s="7">
        <v>0</v>
      </c>
      <c r="C941">
        <f t="shared" si="31"/>
        <v>0.75586055390364359</v>
      </c>
      <c r="D941">
        <f t="shared" si="32"/>
        <v>-0.27989837232446807</v>
      </c>
    </row>
    <row r="942" spans="1:4" x14ac:dyDescent="0.15">
      <c r="A942" s="7">
        <v>936</v>
      </c>
      <c r="B942" s="7">
        <v>0</v>
      </c>
      <c r="C942">
        <f t="shared" si="31"/>
        <v>0.75586055390364359</v>
      </c>
      <c r="D942">
        <f t="shared" si="32"/>
        <v>-0.27989837232446807</v>
      </c>
    </row>
    <row r="943" spans="1:4" x14ac:dyDescent="0.15">
      <c r="A943" s="7">
        <v>937</v>
      </c>
      <c r="B943" s="7">
        <v>0</v>
      </c>
      <c r="C943">
        <f t="shared" si="31"/>
        <v>0.75586055390364359</v>
      </c>
      <c r="D943">
        <f t="shared" si="32"/>
        <v>-0.27989837232446807</v>
      </c>
    </row>
    <row r="944" spans="1:4" x14ac:dyDescent="0.15">
      <c r="A944" s="7">
        <v>938</v>
      </c>
      <c r="B944" s="7">
        <v>0</v>
      </c>
      <c r="C944">
        <f t="shared" si="31"/>
        <v>0.75586055390364359</v>
      </c>
      <c r="D944">
        <f t="shared" si="32"/>
        <v>-0.27989837232446807</v>
      </c>
    </row>
    <row r="945" spans="1:4" x14ac:dyDescent="0.15">
      <c r="A945" s="7">
        <v>939</v>
      </c>
      <c r="B945" s="7">
        <v>3</v>
      </c>
      <c r="C945">
        <f t="shared" si="31"/>
        <v>2.7467996558433502E-2</v>
      </c>
      <c r="D945">
        <f t="shared" si="32"/>
        <v>-3.594733713517384</v>
      </c>
    </row>
    <row r="946" spans="1:4" x14ac:dyDescent="0.15">
      <c r="A946" s="7">
        <v>940</v>
      </c>
      <c r="B946" s="7">
        <v>0</v>
      </c>
      <c r="C946">
        <f t="shared" si="31"/>
        <v>0.75586055390364359</v>
      </c>
      <c r="D946">
        <f t="shared" si="32"/>
        <v>-0.27989837232446807</v>
      </c>
    </row>
    <row r="947" spans="1:4" x14ac:dyDescent="0.15">
      <c r="A947" s="7">
        <v>941</v>
      </c>
      <c r="B947" s="7">
        <v>0</v>
      </c>
      <c r="C947">
        <f t="shared" si="31"/>
        <v>0.75586055390364359</v>
      </c>
      <c r="D947">
        <f t="shared" si="32"/>
        <v>-0.27989837232446807</v>
      </c>
    </row>
    <row r="948" spans="1:4" x14ac:dyDescent="0.15">
      <c r="A948" s="7">
        <v>942</v>
      </c>
      <c r="B948" s="7">
        <v>0</v>
      </c>
      <c r="C948">
        <f t="shared" si="31"/>
        <v>0.75586055390364359</v>
      </c>
      <c r="D948">
        <f t="shared" si="32"/>
        <v>-0.27989837232446807</v>
      </c>
    </row>
    <row r="949" spans="1:4" x14ac:dyDescent="0.15">
      <c r="A949" s="7">
        <v>943</v>
      </c>
      <c r="B949" s="7">
        <v>1</v>
      </c>
      <c r="C949">
        <f t="shared" si="31"/>
        <v>8.8678581416840763E-2</v>
      </c>
      <c r="D949">
        <f t="shared" si="32"/>
        <v>-2.4227368910146492</v>
      </c>
    </row>
    <row r="950" spans="1:4" x14ac:dyDescent="0.15">
      <c r="A950" s="7">
        <v>944</v>
      </c>
      <c r="B950" s="7">
        <v>0</v>
      </c>
      <c r="C950">
        <f t="shared" si="31"/>
        <v>0.75586055390364359</v>
      </c>
      <c r="D950">
        <f t="shared" si="32"/>
        <v>-0.27989837232446807</v>
      </c>
    </row>
    <row r="951" spans="1:4" x14ac:dyDescent="0.15">
      <c r="A951" s="7">
        <v>945</v>
      </c>
      <c r="B951" s="7">
        <v>2</v>
      </c>
      <c r="C951">
        <f t="shared" si="31"/>
        <v>4.4062133811825943E-2</v>
      </c>
      <c r="D951">
        <f t="shared" si="32"/>
        <v>-3.1221545090977791</v>
      </c>
    </row>
    <row r="952" spans="1:4" x14ac:dyDescent="0.15">
      <c r="A952" s="7">
        <v>946</v>
      </c>
      <c r="B952" s="7">
        <v>1</v>
      </c>
      <c r="C952">
        <f t="shared" si="31"/>
        <v>8.8678581416840763E-2</v>
      </c>
      <c r="D952">
        <f t="shared" si="32"/>
        <v>-2.4227368910146492</v>
      </c>
    </row>
    <row r="953" spans="1:4" x14ac:dyDescent="0.15">
      <c r="A953" s="7">
        <v>947</v>
      </c>
      <c r="B953" s="7">
        <v>4</v>
      </c>
      <c r="C953">
        <f t="shared" si="31"/>
        <v>1.8860933071470173E-2</v>
      </c>
      <c r="D953">
        <f t="shared" si="32"/>
        <v>-3.9706625294337847</v>
      </c>
    </row>
    <row r="954" spans="1:4" x14ac:dyDescent="0.15">
      <c r="A954" s="7">
        <v>948</v>
      </c>
      <c r="B954" s="7">
        <v>5</v>
      </c>
      <c r="C954">
        <f t="shared" si="31"/>
        <v>1.366675533834656E-2</v>
      </c>
      <c r="D954">
        <f t="shared" si="32"/>
        <v>-4.2927890127952875</v>
      </c>
    </row>
    <row r="955" spans="1:4" x14ac:dyDescent="0.15">
      <c r="A955" s="7">
        <v>949</v>
      </c>
      <c r="B955" s="7">
        <v>0</v>
      </c>
      <c r="C955">
        <f t="shared" si="31"/>
        <v>0.75586055390364359</v>
      </c>
      <c r="D955">
        <f t="shared" si="32"/>
        <v>-0.27989837232446807</v>
      </c>
    </row>
    <row r="956" spans="1:4" x14ac:dyDescent="0.15">
      <c r="A956" s="7">
        <v>950</v>
      </c>
      <c r="B956" s="7">
        <v>16</v>
      </c>
      <c r="C956">
        <f t="shared" si="31"/>
        <v>1.1791864661569508E-3</v>
      </c>
      <c r="D956">
        <f t="shared" si="32"/>
        <v>-6.7429305137346924</v>
      </c>
    </row>
    <row r="957" spans="1:4" x14ac:dyDescent="0.15">
      <c r="A957" s="7">
        <v>951</v>
      </c>
      <c r="B957" s="7">
        <v>1</v>
      </c>
      <c r="C957">
        <f t="shared" si="31"/>
        <v>8.8678581416840763E-2</v>
      </c>
      <c r="D957">
        <f t="shared" si="32"/>
        <v>-2.4227368910146492</v>
      </c>
    </row>
    <row r="958" spans="1:4" x14ac:dyDescent="0.15">
      <c r="A958" s="7">
        <v>952</v>
      </c>
      <c r="B958" s="7">
        <v>0</v>
      </c>
      <c r="C958">
        <f t="shared" si="31"/>
        <v>0.75586055390364359</v>
      </c>
      <c r="D958">
        <f t="shared" si="32"/>
        <v>-0.27989837232446807</v>
      </c>
    </row>
    <row r="959" spans="1:4" x14ac:dyDescent="0.15">
      <c r="A959" s="7">
        <v>953</v>
      </c>
      <c r="B959" s="7">
        <v>0</v>
      </c>
      <c r="C959">
        <f t="shared" si="31"/>
        <v>0.75586055390364359</v>
      </c>
      <c r="D959">
        <f t="shared" si="32"/>
        <v>-0.27989837232446807</v>
      </c>
    </row>
    <row r="960" spans="1:4" x14ac:dyDescent="0.15">
      <c r="A960" s="7">
        <v>954</v>
      </c>
      <c r="B960" s="7">
        <v>0</v>
      </c>
      <c r="C960">
        <f t="shared" si="31"/>
        <v>0.75586055390364359</v>
      </c>
      <c r="D960">
        <f t="shared" si="32"/>
        <v>-0.27989837232446807</v>
      </c>
    </row>
    <row r="961" spans="1:4" x14ac:dyDescent="0.15">
      <c r="A961" s="7">
        <v>955</v>
      </c>
      <c r="B961" s="7">
        <v>0</v>
      </c>
      <c r="C961">
        <f t="shared" si="31"/>
        <v>0.75586055390364359</v>
      </c>
      <c r="D961">
        <f t="shared" si="32"/>
        <v>-0.27989837232446807</v>
      </c>
    </row>
    <row r="962" spans="1:4" x14ac:dyDescent="0.15">
      <c r="A962" s="7">
        <v>956</v>
      </c>
      <c r="B962" s="7">
        <v>2</v>
      </c>
      <c r="C962">
        <f t="shared" si="31"/>
        <v>4.4062133811825943E-2</v>
      </c>
      <c r="D962">
        <f t="shared" si="32"/>
        <v>-3.1221545090977791</v>
      </c>
    </row>
    <row r="963" spans="1:4" x14ac:dyDescent="0.15">
      <c r="A963" s="7">
        <v>957</v>
      </c>
      <c r="B963" s="7">
        <v>0</v>
      </c>
      <c r="C963">
        <f t="shared" si="31"/>
        <v>0.75586055390364359</v>
      </c>
      <c r="D963">
        <f t="shared" si="32"/>
        <v>-0.27989837232446807</v>
      </c>
    </row>
    <row r="964" spans="1:4" x14ac:dyDescent="0.15">
      <c r="A964" s="7">
        <v>958</v>
      </c>
      <c r="B964" s="7">
        <v>0</v>
      </c>
      <c r="C964">
        <f t="shared" si="31"/>
        <v>0.75586055390364359</v>
      </c>
      <c r="D964">
        <f t="shared" si="32"/>
        <v>-0.27989837232446807</v>
      </c>
    </row>
    <row r="965" spans="1:4" x14ac:dyDescent="0.15">
      <c r="A965" s="7">
        <v>959</v>
      </c>
      <c r="B965" s="7">
        <v>0</v>
      </c>
      <c r="C965">
        <f t="shared" si="31"/>
        <v>0.75586055390364359</v>
      </c>
      <c r="D965">
        <f t="shared" si="32"/>
        <v>-0.27989837232446807</v>
      </c>
    </row>
    <row r="966" spans="1:4" x14ac:dyDescent="0.15">
      <c r="A966" s="7">
        <v>960</v>
      </c>
      <c r="B966" s="7">
        <v>0</v>
      </c>
      <c r="C966">
        <f t="shared" si="31"/>
        <v>0.75586055390364359</v>
      </c>
      <c r="D966">
        <f t="shared" si="32"/>
        <v>-0.27989837232446807</v>
      </c>
    </row>
    <row r="967" spans="1:4" x14ac:dyDescent="0.15">
      <c r="A967" s="7">
        <v>961</v>
      </c>
      <c r="B967" s="7">
        <v>0</v>
      </c>
      <c r="C967">
        <f t="shared" si="31"/>
        <v>0.75586055390364359</v>
      </c>
      <c r="D967">
        <f t="shared" si="32"/>
        <v>-0.27989837232446807</v>
      </c>
    </row>
    <row r="968" spans="1:4" x14ac:dyDescent="0.15">
      <c r="A968" s="7">
        <v>962</v>
      </c>
      <c r="B968" s="7">
        <v>0</v>
      </c>
      <c r="C968">
        <f t="shared" ref="C968:C1031" si="33">(_xlfn.GAMMA($B$1+B968)/(_xlfn.GAMMA($B$1)*FACT(B968))) * ($B$2/($B$2+$B$4))^$B$1 * (1/($B$2 +$B$4))^B968</f>
        <v>0.75586055390364359</v>
      </c>
      <c r="D968">
        <f t="shared" ref="D968:D1031" si="34">LN(C968)</f>
        <v>-0.27989837232446807</v>
      </c>
    </row>
    <row r="969" spans="1:4" x14ac:dyDescent="0.15">
      <c r="A969" s="7">
        <v>963</v>
      </c>
      <c r="B969" s="7">
        <v>0</v>
      </c>
      <c r="C969">
        <f t="shared" si="33"/>
        <v>0.75586055390364359</v>
      </c>
      <c r="D969">
        <f t="shared" si="34"/>
        <v>-0.27989837232446807</v>
      </c>
    </row>
    <row r="970" spans="1:4" x14ac:dyDescent="0.15">
      <c r="A970" s="7">
        <v>964</v>
      </c>
      <c r="B970" s="7">
        <v>0</v>
      </c>
      <c r="C970">
        <f t="shared" si="33"/>
        <v>0.75586055390364359</v>
      </c>
      <c r="D970">
        <f t="shared" si="34"/>
        <v>-0.27989837232446807</v>
      </c>
    </row>
    <row r="971" spans="1:4" x14ac:dyDescent="0.15">
      <c r="A971" s="7">
        <v>965</v>
      </c>
      <c r="B971" s="7">
        <v>0</v>
      </c>
      <c r="C971">
        <f t="shared" si="33"/>
        <v>0.75586055390364359</v>
      </c>
      <c r="D971">
        <f t="shared" si="34"/>
        <v>-0.27989837232446807</v>
      </c>
    </row>
    <row r="972" spans="1:4" x14ac:dyDescent="0.15">
      <c r="A972" s="7">
        <v>966</v>
      </c>
      <c r="B972" s="7">
        <v>0</v>
      </c>
      <c r="C972">
        <f t="shared" si="33"/>
        <v>0.75586055390364359</v>
      </c>
      <c r="D972">
        <f t="shared" si="34"/>
        <v>-0.27989837232446807</v>
      </c>
    </row>
    <row r="973" spans="1:4" x14ac:dyDescent="0.15">
      <c r="A973" s="7">
        <v>967</v>
      </c>
      <c r="B973" s="7">
        <v>0</v>
      </c>
      <c r="C973">
        <f t="shared" si="33"/>
        <v>0.75586055390364359</v>
      </c>
      <c r="D973">
        <f t="shared" si="34"/>
        <v>-0.27989837232446807</v>
      </c>
    </row>
    <row r="974" spans="1:4" x14ac:dyDescent="0.15">
      <c r="A974" s="7">
        <v>968</v>
      </c>
      <c r="B974" s="7">
        <v>3</v>
      </c>
      <c r="C974">
        <f t="shared" si="33"/>
        <v>2.7467996558433502E-2</v>
      </c>
      <c r="D974">
        <f t="shared" si="34"/>
        <v>-3.594733713517384</v>
      </c>
    </row>
    <row r="975" spans="1:4" x14ac:dyDescent="0.15">
      <c r="A975" s="7">
        <v>969</v>
      </c>
      <c r="B975" s="7">
        <v>0</v>
      </c>
      <c r="C975">
        <f t="shared" si="33"/>
        <v>0.75586055390364359</v>
      </c>
      <c r="D975">
        <f t="shared" si="34"/>
        <v>-0.27989837232446807</v>
      </c>
    </row>
    <row r="976" spans="1:4" x14ac:dyDescent="0.15">
      <c r="A976" s="7">
        <v>970</v>
      </c>
      <c r="B976" s="7">
        <v>0</v>
      </c>
      <c r="C976">
        <f t="shared" si="33"/>
        <v>0.75586055390364359</v>
      </c>
      <c r="D976">
        <f t="shared" si="34"/>
        <v>-0.27989837232446807</v>
      </c>
    </row>
    <row r="977" spans="1:4" x14ac:dyDescent="0.15">
      <c r="A977" s="7">
        <v>971</v>
      </c>
      <c r="B977" s="7">
        <v>0</v>
      </c>
      <c r="C977">
        <f t="shared" si="33"/>
        <v>0.75586055390364359</v>
      </c>
      <c r="D977">
        <f t="shared" si="34"/>
        <v>-0.27989837232446807</v>
      </c>
    </row>
    <row r="978" spans="1:4" x14ac:dyDescent="0.15">
      <c r="A978" s="7">
        <v>972</v>
      </c>
      <c r="B978" s="7">
        <v>0</v>
      </c>
      <c r="C978">
        <f t="shared" si="33"/>
        <v>0.75586055390364359</v>
      </c>
      <c r="D978">
        <f t="shared" si="34"/>
        <v>-0.27989837232446807</v>
      </c>
    </row>
    <row r="979" spans="1:4" x14ac:dyDescent="0.15">
      <c r="A979" s="7">
        <v>973</v>
      </c>
      <c r="B979" s="7">
        <v>0</v>
      </c>
      <c r="C979">
        <f t="shared" si="33"/>
        <v>0.75586055390364359</v>
      </c>
      <c r="D979">
        <f t="shared" si="34"/>
        <v>-0.27989837232446807</v>
      </c>
    </row>
    <row r="980" spans="1:4" x14ac:dyDescent="0.15">
      <c r="A980" s="7">
        <v>974</v>
      </c>
      <c r="B980" s="7">
        <v>0</v>
      </c>
      <c r="C980">
        <f t="shared" si="33"/>
        <v>0.75586055390364359</v>
      </c>
      <c r="D980">
        <f t="shared" si="34"/>
        <v>-0.27989837232446807</v>
      </c>
    </row>
    <row r="981" spans="1:4" x14ac:dyDescent="0.15">
      <c r="A981" s="7">
        <v>975</v>
      </c>
      <c r="B981" s="7">
        <v>0</v>
      </c>
      <c r="C981">
        <f t="shared" si="33"/>
        <v>0.75586055390364359</v>
      </c>
      <c r="D981">
        <f t="shared" si="34"/>
        <v>-0.27989837232446807</v>
      </c>
    </row>
    <row r="982" spans="1:4" x14ac:dyDescent="0.15">
      <c r="A982" s="7">
        <v>976</v>
      </c>
      <c r="B982" s="7">
        <v>2</v>
      </c>
      <c r="C982">
        <f t="shared" si="33"/>
        <v>4.4062133811825943E-2</v>
      </c>
      <c r="D982">
        <f t="shared" si="34"/>
        <v>-3.1221545090977791</v>
      </c>
    </row>
    <row r="983" spans="1:4" x14ac:dyDescent="0.15">
      <c r="A983" s="7">
        <v>977</v>
      </c>
      <c r="B983" s="7">
        <v>0</v>
      </c>
      <c r="C983">
        <f t="shared" si="33"/>
        <v>0.75586055390364359</v>
      </c>
      <c r="D983">
        <f t="shared" si="34"/>
        <v>-0.27989837232446807</v>
      </c>
    </row>
    <row r="984" spans="1:4" x14ac:dyDescent="0.15">
      <c r="A984" s="7">
        <v>978</v>
      </c>
      <c r="B984" s="7">
        <v>0</v>
      </c>
      <c r="C984">
        <f t="shared" si="33"/>
        <v>0.75586055390364359</v>
      </c>
      <c r="D984">
        <f t="shared" si="34"/>
        <v>-0.27989837232446807</v>
      </c>
    </row>
    <row r="985" spans="1:4" x14ac:dyDescent="0.15">
      <c r="A985" s="7">
        <v>979</v>
      </c>
      <c r="B985" s="7">
        <v>0</v>
      </c>
      <c r="C985">
        <f t="shared" si="33"/>
        <v>0.75586055390364359</v>
      </c>
      <c r="D985">
        <f t="shared" si="34"/>
        <v>-0.27989837232446807</v>
      </c>
    </row>
    <row r="986" spans="1:4" x14ac:dyDescent="0.15">
      <c r="A986" s="7">
        <v>980</v>
      </c>
      <c r="B986" s="7">
        <v>1</v>
      </c>
      <c r="C986">
        <f t="shared" si="33"/>
        <v>8.8678581416840763E-2</v>
      </c>
      <c r="D986">
        <f t="shared" si="34"/>
        <v>-2.4227368910146492</v>
      </c>
    </row>
    <row r="987" spans="1:4" x14ac:dyDescent="0.15">
      <c r="A987" s="7">
        <v>981</v>
      </c>
      <c r="B987" s="7">
        <v>0</v>
      </c>
      <c r="C987">
        <f t="shared" si="33"/>
        <v>0.75586055390364359</v>
      </c>
      <c r="D987">
        <f t="shared" si="34"/>
        <v>-0.27989837232446807</v>
      </c>
    </row>
    <row r="988" spans="1:4" x14ac:dyDescent="0.15">
      <c r="A988" s="7">
        <v>982</v>
      </c>
      <c r="B988" s="7">
        <v>0</v>
      </c>
      <c r="C988">
        <f t="shared" si="33"/>
        <v>0.75586055390364359</v>
      </c>
      <c r="D988">
        <f t="shared" si="34"/>
        <v>-0.27989837232446807</v>
      </c>
    </row>
    <row r="989" spans="1:4" x14ac:dyDescent="0.15">
      <c r="A989" s="7">
        <v>983</v>
      </c>
      <c r="B989" s="7">
        <v>1</v>
      </c>
      <c r="C989">
        <f t="shared" si="33"/>
        <v>8.8678581416840763E-2</v>
      </c>
      <c r="D989">
        <f t="shared" si="34"/>
        <v>-2.4227368910146492</v>
      </c>
    </row>
    <row r="990" spans="1:4" x14ac:dyDescent="0.15">
      <c r="A990" s="7">
        <v>984</v>
      </c>
      <c r="B990" s="7">
        <v>0</v>
      </c>
      <c r="C990">
        <f t="shared" si="33"/>
        <v>0.75586055390364359</v>
      </c>
      <c r="D990">
        <f t="shared" si="34"/>
        <v>-0.27989837232446807</v>
      </c>
    </row>
    <row r="991" spans="1:4" x14ac:dyDescent="0.15">
      <c r="A991" s="7">
        <v>985</v>
      </c>
      <c r="B991" s="7">
        <v>0</v>
      </c>
      <c r="C991">
        <f t="shared" si="33"/>
        <v>0.75586055390364359</v>
      </c>
      <c r="D991">
        <f t="shared" si="34"/>
        <v>-0.27989837232446807</v>
      </c>
    </row>
    <row r="992" spans="1:4" x14ac:dyDescent="0.15">
      <c r="A992" s="7">
        <v>986</v>
      </c>
      <c r="B992" s="7">
        <v>0</v>
      </c>
      <c r="C992">
        <f t="shared" si="33"/>
        <v>0.75586055390364359</v>
      </c>
      <c r="D992">
        <f t="shared" si="34"/>
        <v>-0.27989837232446807</v>
      </c>
    </row>
    <row r="993" spans="1:4" x14ac:dyDescent="0.15">
      <c r="A993" s="7">
        <v>987</v>
      </c>
      <c r="B993" s="7">
        <v>5</v>
      </c>
      <c r="C993">
        <f t="shared" si="33"/>
        <v>1.366675533834656E-2</v>
      </c>
      <c r="D993">
        <f t="shared" si="34"/>
        <v>-4.2927890127952875</v>
      </c>
    </row>
    <row r="994" spans="1:4" x14ac:dyDescent="0.15">
      <c r="A994" s="7">
        <v>988</v>
      </c>
      <c r="B994" s="7">
        <v>0</v>
      </c>
      <c r="C994">
        <f t="shared" si="33"/>
        <v>0.75586055390364359</v>
      </c>
      <c r="D994">
        <f t="shared" si="34"/>
        <v>-0.27989837232446807</v>
      </c>
    </row>
    <row r="995" spans="1:4" x14ac:dyDescent="0.15">
      <c r="A995" s="7">
        <v>989</v>
      </c>
      <c r="B995" s="7">
        <v>0</v>
      </c>
      <c r="C995">
        <f t="shared" si="33"/>
        <v>0.75586055390364359</v>
      </c>
      <c r="D995">
        <f t="shared" si="34"/>
        <v>-0.27989837232446807</v>
      </c>
    </row>
    <row r="996" spans="1:4" x14ac:dyDescent="0.15">
      <c r="A996" s="7">
        <v>990</v>
      </c>
      <c r="B996" s="7">
        <v>2</v>
      </c>
      <c r="C996">
        <f t="shared" si="33"/>
        <v>4.4062133811825943E-2</v>
      </c>
      <c r="D996">
        <f t="shared" si="34"/>
        <v>-3.1221545090977791</v>
      </c>
    </row>
    <row r="997" spans="1:4" x14ac:dyDescent="0.15">
      <c r="A997" s="7">
        <v>991</v>
      </c>
      <c r="B997" s="7">
        <v>0</v>
      </c>
      <c r="C997">
        <f t="shared" si="33"/>
        <v>0.75586055390364359</v>
      </c>
      <c r="D997">
        <f t="shared" si="34"/>
        <v>-0.27989837232446807</v>
      </c>
    </row>
    <row r="998" spans="1:4" x14ac:dyDescent="0.15">
      <c r="A998" s="7">
        <v>992</v>
      </c>
      <c r="B998" s="7">
        <v>1</v>
      </c>
      <c r="C998">
        <f t="shared" si="33"/>
        <v>8.8678581416840763E-2</v>
      </c>
      <c r="D998">
        <f t="shared" si="34"/>
        <v>-2.4227368910146492</v>
      </c>
    </row>
    <row r="999" spans="1:4" x14ac:dyDescent="0.15">
      <c r="A999" s="7">
        <v>993</v>
      </c>
      <c r="B999" s="7">
        <v>0</v>
      </c>
      <c r="C999">
        <f t="shared" si="33"/>
        <v>0.75586055390364359</v>
      </c>
      <c r="D999">
        <f t="shared" si="34"/>
        <v>-0.27989837232446807</v>
      </c>
    </row>
    <row r="1000" spans="1:4" x14ac:dyDescent="0.15">
      <c r="A1000" s="7">
        <v>994</v>
      </c>
      <c r="B1000" s="7">
        <v>0</v>
      </c>
      <c r="C1000">
        <f t="shared" si="33"/>
        <v>0.75586055390364359</v>
      </c>
      <c r="D1000">
        <f t="shared" si="34"/>
        <v>-0.27989837232446807</v>
      </c>
    </row>
    <row r="1001" spans="1:4" x14ac:dyDescent="0.15">
      <c r="A1001" s="7">
        <v>995</v>
      </c>
      <c r="B1001" s="7">
        <v>0</v>
      </c>
      <c r="C1001">
        <f t="shared" si="33"/>
        <v>0.75586055390364359</v>
      </c>
      <c r="D1001">
        <f t="shared" si="34"/>
        <v>-0.27989837232446807</v>
      </c>
    </row>
    <row r="1002" spans="1:4" x14ac:dyDescent="0.15">
      <c r="A1002" s="7">
        <v>996</v>
      </c>
      <c r="B1002" s="7">
        <v>34</v>
      </c>
      <c r="C1002">
        <f t="shared" si="33"/>
        <v>5.7250330177576505E-5</v>
      </c>
      <c r="D1002">
        <f t="shared" si="34"/>
        <v>-9.7680771482526438</v>
      </c>
    </row>
    <row r="1003" spans="1:4" x14ac:dyDescent="0.15">
      <c r="A1003" s="7">
        <v>997</v>
      </c>
      <c r="B1003" s="7">
        <v>0</v>
      </c>
      <c r="C1003">
        <f t="shared" si="33"/>
        <v>0.75586055390364359</v>
      </c>
      <c r="D1003">
        <f t="shared" si="34"/>
        <v>-0.27989837232446807</v>
      </c>
    </row>
    <row r="1004" spans="1:4" x14ac:dyDescent="0.15">
      <c r="A1004" s="7">
        <v>998</v>
      </c>
      <c r="B1004" s="7">
        <v>0</v>
      </c>
      <c r="C1004">
        <f t="shared" si="33"/>
        <v>0.75586055390364359</v>
      </c>
      <c r="D1004">
        <f t="shared" si="34"/>
        <v>-0.27989837232446807</v>
      </c>
    </row>
    <row r="1005" spans="1:4" x14ac:dyDescent="0.15">
      <c r="A1005" s="7">
        <v>999</v>
      </c>
      <c r="B1005" s="7">
        <v>0</v>
      </c>
      <c r="C1005">
        <f t="shared" si="33"/>
        <v>0.75586055390364359</v>
      </c>
      <c r="D1005">
        <f t="shared" si="34"/>
        <v>-0.27989837232446807</v>
      </c>
    </row>
    <row r="1006" spans="1:4" x14ac:dyDescent="0.15">
      <c r="A1006" s="7">
        <v>1000</v>
      </c>
      <c r="B1006" s="7">
        <v>1</v>
      </c>
      <c r="C1006">
        <f t="shared" si="33"/>
        <v>8.8678581416840763E-2</v>
      </c>
      <c r="D1006">
        <f t="shared" si="34"/>
        <v>-2.4227368910146492</v>
      </c>
    </row>
    <row r="1007" spans="1:4" x14ac:dyDescent="0.15">
      <c r="A1007" s="7">
        <v>1001</v>
      </c>
      <c r="B1007" s="7">
        <v>0</v>
      </c>
      <c r="C1007">
        <f t="shared" si="33"/>
        <v>0.75586055390364359</v>
      </c>
      <c r="D1007">
        <f t="shared" si="34"/>
        <v>-0.27989837232446807</v>
      </c>
    </row>
    <row r="1008" spans="1:4" x14ac:dyDescent="0.15">
      <c r="A1008" s="7">
        <v>1002</v>
      </c>
      <c r="B1008" s="7">
        <v>0</v>
      </c>
      <c r="C1008">
        <f t="shared" si="33"/>
        <v>0.75586055390364359</v>
      </c>
      <c r="D1008">
        <f t="shared" si="34"/>
        <v>-0.27989837232446807</v>
      </c>
    </row>
    <row r="1009" spans="1:4" x14ac:dyDescent="0.15">
      <c r="A1009" s="7">
        <v>1003</v>
      </c>
      <c r="B1009" s="7">
        <v>0</v>
      </c>
      <c r="C1009">
        <f t="shared" si="33"/>
        <v>0.75586055390364359</v>
      </c>
      <c r="D1009">
        <f t="shared" si="34"/>
        <v>-0.27989837232446807</v>
      </c>
    </row>
    <row r="1010" spans="1:4" x14ac:dyDescent="0.15">
      <c r="A1010" s="7">
        <v>1004</v>
      </c>
      <c r="B1010" s="7">
        <v>0</v>
      </c>
      <c r="C1010">
        <f t="shared" si="33"/>
        <v>0.75586055390364359</v>
      </c>
      <c r="D1010">
        <f t="shared" si="34"/>
        <v>-0.27989837232446807</v>
      </c>
    </row>
    <row r="1011" spans="1:4" x14ac:dyDescent="0.15">
      <c r="A1011" s="7">
        <v>1005</v>
      </c>
      <c r="B1011" s="7">
        <v>4</v>
      </c>
      <c r="C1011">
        <f t="shared" si="33"/>
        <v>1.8860933071470173E-2</v>
      </c>
      <c r="D1011">
        <f t="shared" si="34"/>
        <v>-3.9706625294337847</v>
      </c>
    </row>
    <row r="1012" spans="1:4" x14ac:dyDescent="0.15">
      <c r="A1012" s="7">
        <v>1006</v>
      </c>
      <c r="B1012" s="7">
        <v>2</v>
      </c>
      <c r="C1012">
        <f t="shared" si="33"/>
        <v>4.4062133811825943E-2</v>
      </c>
      <c r="D1012">
        <f t="shared" si="34"/>
        <v>-3.1221545090977791</v>
      </c>
    </row>
    <row r="1013" spans="1:4" x14ac:dyDescent="0.15">
      <c r="A1013" s="7">
        <v>1007</v>
      </c>
      <c r="B1013" s="7">
        <v>0</v>
      </c>
      <c r="C1013">
        <f t="shared" si="33"/>
        <v>0.75586055390364359</v>
      </c>
      <c r="D1013">
        <f t="shared" si="34"/>
        <v>-0.27989837232446807</v>
      </c>
    </row>
    <row r="1014" spans="1:4" x14ac:dyDescent="0.15">
      <c r="A1014" s="7">
        <v>1008</v>
      </c>
      <c r="B1014" s="7">
        <v>2</v>
      </c>
      <c r="C1014">
        <f t="shared" si="33"/>
        <v>4.4062133811825943E-2</v>
      </c>
      <c r="D1014">
        <f t="shared" si="34"/>
        <v>-3.1221545090977791</v>
      </c>
    </row>
    <row r="1015" spans="1:4" x14ac:dyDescent="0.15">
      <c r="A1015" s="7">
        <v>1009</v>
      </c>
      <c r="B1015" s="7">
        <v>0</v>
      </c>
      <c r="C1015">
        <f t="shared" si="33"/>
        <v>0.75586055390364359</v>
      </c>
      <c r="D1015">
        <f t="shared" si="34"/>
        <v>-0.27989837232446807</v>
      </c>
    </row>
    <row r="1016" spans="1:4" x14ac:dyDescent="0.15">
      <c r="A1016" s="7">
        <v>1010</v>
      </c>
      <c r="B1016" s="7">
        <v>0</v>
      </c>
      <c r="C1016">
        <f t="shared" si="33"/>
        <v>0.75586055390364359</v>
      </c>
      <c r="D1016">
        <f t="shared" si="34"/>
        <v>-0.27989837232446807</v>
      </c>
    </row>
    <row r="1017" spans="1:4" x14ac:dyDescent="0.15">
      <c r="A1017" s="7">
        <v>1011</v>
      </c>
      <c r="B1017" s="7">
        <v>0</v>
      </c>
      <c r="C1017">
        <f t="shared" si="33"/>
        <v>0.75586055390364359</v>
      </c>
      <c r="D1017">
        <f t="shared" si="34"/>
        <v>-0.27989837232446807</v>
      </c>
    </row>
    <row r="1018" spans="1:4" x14ac:dyDescent="0.15">
      <c r="A1018" s="7">
        <v>1012</v>
      </c>
      <c r="B1018" s="7">
        <v>0</v>
      </c>
      <c r="C1018">
        <f t="shared" si="33"/>
        <v>0.75586055390364359</v>
      </c>
      <c r="D1018">
        <f t="shared" si="34"/>
        <v>-0.27989837232446807</v>
      </c>
    </row>
    <row r="1019" spans="1:4" x14ac:dyDescent="0.15">
      <c r="A1019" s="7">
        <v>1013</v>
      </c>
      <c r="B1019" s="7">
        <v>0</v>
      </c>
      <c r="C1019">
        <f t="shared" si="33"/>
        <v>0.75586055390364359</v>
      </c>
      <c r="D1019">
        <f t="shared" si="34"/>
        <v>-0.27989837232446807</v>
      </c>
    </row>
    <row r="1020" spans="1:4" x14ac:dyDescent="0.15">
      <c r="A1020" s="7">
        <v>1014</v>
      </c>
      <c r="B1020" s="7">
        <v>0</v>
      </c>
      <c r="C1020">
        <f t="shared" si="33"/>
        <v>0.75586055390364359</v>
      </c>
      <c r="D1020">
        <f t="shared" si="34"/>
        <v>-0.27989837232446807</v>
      </c>
    </row>
    <row r="1021" spans="1:4" x14ac:dyDescent="0.15">
      <c r="A1021" s="7">
        <v>1015</v>
      </c>
      <c r="B1021" s="7">
        <v>0</v>
      </c>
      <c r="C1021">
        <f t="shared" si="33"/>
        <v>0.75586055390364359</v>
      </c>
      <c r="D1021">
        <f t="shared" si="34"/>
        <v>-0.27989837232446807</v>
      </c>
    </row>
    <row r="1022" spans="1:4" x14ac:dyDescent="0.15">
      <c r="A1022" s="7">
        <v>1016</v>
      </c>
      <c r="B1022" s="7">
        <v>0</v>
      </c>
      <c r="C1022">
        <f t="shared" si="33"/>
        <v>0.75586055390364359</v>
      </c>
      <c r="D1022">
        <f t="shared" si="34"/>
        <v>-0.27989837232446807</v>
      </c>
    </row>
    <row r="1023" spans="1:4" x14ac:dyDescent="0.15">
      <c r="A1023" s="7">
        <v>1017</v>
      </c>
      <c r="B1023" s="7">
        <v>0</v>
      </c>
      <c r="C1023">
        <f t="shared" si="33"/>
        <v>0.75586055390364359</v>
      </c>
      <c r="D1023">
        <f t="shared" si="34"/>
        <v>-0.27989837232446807</v>
      </c>
    </row>
    <row r="1024" spans="1:4" x14ac:dyDescent="0.15">
      <c r="A1024" s="7">
        <v>1018</v>
      </c>
      <c r="B1024" s="7">
        <v>0</v>
      </c>
      <c r="C1024">
        <f t="shared" si="33"/>
        <v>0.75586055390364359</v>
      </c>
      <c r="D1024">
        <f t="shared" si="34"/>
        <v>-0.27989837232446807</v>
      </c>
    </row>
    <row r="1025" spans="1:4" x14ac:dyDescent="0.15">
      <c r="A1025" s="7">
        <v>1019</v>
      </c>
      <c r="B1025" s="7">
        <v>0</v>
      </c>
      <c r="C1025">
        <f t="shared" si="33"/>
        <v>0.75586055390364359</v>
      </c>
      <c r="D1025">
        <f t="shared" si="34"/>
        <v>-0.27989837232446807</v>
      </c>
    </row>
    <row r="1026" spans="1:4" x14ac:dyDescent="0.15">
      <c r="A1026" s="7">
        <v>1020</v>
      </c>
      <c r="B1026" s="7">
        <v>0</v>
      </c>
      <c r="C1026">
        <f t="shared" si="33"/>
        <v>0.75586055390364359</v>
      </c>
      <c r="D1026">
        <f t="shared" si="34"/>
        <v>-0.27989837232446807</v>
      </c>
    </row>
    <row r="1027" spans="1:4" x14ac:dyDescent="0.15">
      <c r="A1027" s="7">
        <v>1021</v>
      </c>
      <c r="B1027" s="7">
        <v>1</v>
      </c>
      <c r="C1027">
        <f t="shared" si="33"/>
        <v>8.8678581416840763E-2</v>
      </c>
      <c r="D1027">
        <f t="shared" si="34"/>
        <v>-2.4227368910146492</v>
      </c>
    </row>
    <row r="1028" spans="1:4" x14ac:dyDescent="0.15">
      <c r="A1028" s="7">
        <v>1022</v>
      </c>
      <c r="B1028" s="7">
        <v>1</v>
      </c>
      <c r="C1028">
        <f t="shared" si="33"/>
        <v>8.8678581416840763E-2</v>
      </c>
      <c r="D1028">
        <f t="shared" si="34"/>
        <v>-2.4227368910146492</v>
      </c>
    </row>
    <row r="1029" spans="1:4" x14ac:dyDescent="0.15">
      <c r="A1029" s="7">
        <v>1023</v>
      </c>
      <c r="B1029" s="7">
        <v>20</v>
      </c>
      <c r="C1029">
        <f t="shared" si="33"/>
        <v>5.738901309388422E-4</v>
      </c>
      <c r="D1029">
        <f t="shared" si="34"/>
        <v>-7.4630725894800589</v>
      </c>
    </row>
    <row r="1030" spans="1:4" x14ac:dyDescent="0.15">
      <c r="A1030" s="7">
        <v>1024</v>
      </c>
      <c r="B1030" s="7">
        <v>1</v>
      </c>
      <c r="C1030">
        <f t="shared" si="33"/>
        <v>8.8678581416840763E-2</v>
      </c>
      <c r="D1030">
        <f t="shared" si="34"/>
        <v>-2.4227368910146492</v>
      </c>
    </row>
    <row r="1031" spans="1:4" x14ac:dyDescent="0.15">
      <c r="A1031" s="7">
        <v>1025</v>
      </c>
      <c r="B1031" s="7">
        <v>0</v>
      </c>
      <c r="C1031">
        <f t="shared" si="33"/>
        <v>0.75586055390364359</v>
      </c>
      <c r="D1031">
        <f t="shared" si="34"/>
        <v>-0.27989837232446807</v>
      </c>
    </row>
    <row r="1032" spans="1:4" x14ac:dyDescent="0.15">
      <c r="A1032" s="7">
        <v>1026</v>
      </c>
      <c r="B1032" s="7">
        <v>2</v>
      </c>
      <c r="C1032">
        <f t="shared" ref="C1032:C1095" si="35">(_xlfn.GAMMA($B$1+B1032)/(_xlfn.GAMMA($B$1)*FACT(B1032))) * ($B$2/($B$2+$B$4))^$B$1 * (1/($B$2 +$B$4))^B1032</f>
        <v>4.4062133811825943E-2</v>
      </c>
      <c r="D1032">
        <f t="shared" ref="D1032:D1095" si="36">LN(C1032)</f>
        <v>-3.1221545090977791</v>
      </c>
    </row>
    <row r="1033" spans="1:4" x14ac:dyDescent="0.15">
      <c r="A1033" s="7">
        <v>1027</v>
      </c>
      <c r="B1033" s="7">
        <v>0</v>
      </c>
      <c r="C1033">
        <f t="shared" si="35"/>
        <v>0.75586055390364359</v>
      </c>
      <c r="D1033">
        <f t="shared" si="36"/>
        <v>-0.27989837232446807</v>
      </c>
    </row>
    <row r="1034" spans="1:4" x14ac:dyDescent="0.15">
      <c r="A1034" s="7">
        <v>1028</v>
      </c>
      <c r="B1034" s="7">
        <v>0</v>
      </c>
      <c r="C1034">
        <f t="shared" si="35"/>
        <v>0.75586055390364359</v>
      </c>
      <c r="D1034">
        <f t="shared" si="36"/>
        <v>-0.27989837232446807</v>
      </c>
    </row>
    <row r="1035" spans="1:4" x14ac:dyDescent="0.15">
      <c r="A1035" s="7">
        <v>1029</v>
      </c>
      <c r="B1035" s="7">
        <v>1</v>
      </c>
      <c r="C1035">
        <f t="shared" si="35"/>
        <v>8.8678581416840763E-2</v>
      </c>
      <c r="D1035">
        <f t="shared" si="36"/>
        <v>-2.4227368910146492</v>
      </c>
    </row>
    <row r="1036" spans="1:4" x14ac:dyDescent="0.15">
      <c r="A1036" s="7">
        <v>1030</v>
      </c>
      <c r="B1036" s="7">
        <v>1</v>
      </c>
      <c r="C1036">
        <f t="shared" si="35"/>
        <v>8.8678581416840763E-2</v>
      </c>
      <c r="D1036">
        <f t="shared" si="36"/>
        <v>-2.4227368910146492</v>
      </c>
    </row>
    <row r="1037" spans="1:4" x14ac:dyDescent="0.15">
      <c r="A1037" s="7">
        <v>1031</v>
      </c>
      <c r="B1037" s="7">
        <v>1</v>
      </c>
      <c r="C1037">
        <f t="shared" si="35"/>
        <v>8.8678581416840763E-2</v>
      </c>
      <c r="D1037">
        <f t="shared" si="36"/>
        <v>-2.4227368910146492</v>
      </c>
    </row>
    <row r="1038" spans="1:4" x14ac:dyDescent="0.15">
      <c r="A1038" s="7">
        <v>1032</v>
      </c>
      <c r="B1038" s="7">
        <v>1</v>
      </c>
      <c r="C1038">
        <f t="shared" si="35"/>
        <v>8.8678581416840763E-2</v>
      </c>
      <c r="D1038">
        <f t="shared" si="36"/>
        <v>-2.4227368910146492</v>
      </c>
    </row>
    <row r="1039" spans="1:4" x14ac:dyDescent="0.15">
      <c r="A1039" s="7">
        <v>1033</v>
      </c>
      <c r="B1039" s="7">
        <v>3</v>
      </c>
      <c r="C1039">
        <f t="shared" si="35"/>
        <v>2.7467996558433502E-2</v>
      </c>
      <c r="D1039">
        <f t="shared" si="36"/>
        <v>-3.594733713517384</v>
      </c>
    </row>
    <row r="1040" spans="1:4" x14ac:dyDescent="0.15">
      <c r="A1040" s="7">
        <v>1034</v>
      </c>
      <c r="B1040" s="7">
        <v>4</v>
      </c>
      <c r="C1040">
        <f t="shared" si="35"/>
        <v>1.8860933071470173E-2</v>
      </c>
      <c r="D1040">
        <f t="shared" si="36"/>
        <v>-3.9706625294337847</v>
      </c>
    </row>
    <row r="1041" spans="1:4" x14ac:dyDescent="0.15">
      <c r="A1041" s="7">
        <v>1035</v>
      </c>
      <c r="B1041" s="7">
        <v>0</v>
      </c>
      <c r="C1041">
        <f t="shared" si="35"/>
        <v>0.75586055390364359</v>
      </c>
      <c r="D1041">
        <f t="shared" si="36"/>
        <v>-0.27989837232446807</v>
      </c>
    </row>
    <row r="1042" spans="1:4" x14ac:dyDescent="0.15">
      <c r="A1042" s="7">
        <v>1036</v>
      </c>
      <c r="B1042" s="7">
        <v>0</v>
      </c>
      <c r="C1042">
        <f t="shared" si="35"/>
        <v>0.75586055390364359</v>
      </c>
      <c r="D1042">
        <f t="shared" si="36"/>
        <v>-0.27989837232446807</v>
      </c>
    </row>
    <row r="1043" spans="1:4" x14ac:dyDescent="0.15">
      <c r="A1043" s="7">
        <v>1037</v>
      </c>
      <c r="B1043" s="7">
        <v>0</v>
      </c>
      <c r="C1043">
        <f t="shared" si="35"/>
        <v>0.75586055390364359</v>
      </c>
      <c r="D1043">
        <f t="shared" si="36"/>
        <v>-0.27989837232446807</v>
      </c>
    </row>
    <row r="1044" spans="1:4" x14ac:dyDescent="0.15">
      <c r="A1044" s="7">
        <v>1038</v>
      </c>
      <c r="B1044" s="7">
        <v>0</v>
      </c>
      <c r="C1044">
        <f t="shared" si="35"/>
        <v>0.75586055390364359</v>
      </c>
      <c r="D1044">
        <f t="shared" si="36"/>
        <v>-0.27989837232446807</v>
      </c>
    </row>
    <row r="1045" spans="1:4" x14ac:dyDescent="0.15">
      <c r="A1045" s="7">
        <v>1039</v>
      </c>
      <c r="B1045" s="7">
        <v>0</v>
      </c>
      <c r="C1045">
        <f t="shared" si="35"/>
        <v>0.75586055390364359</v>
      </c>
      <c r="D1045">
        <f t="shared" si="36"/>
        <v>-0.27989837232446807</v>
      </c>
    </row>
    <row r="1046" spans="1:4" x14ac:dyDescent="0.15">
      <c r="A1046" s="7">
        <v>1040</v>
      </c>
      <c r="B1046" s="7">
        <v>0</v>
      </c>
      <c r="C1046">
        <f t="shared" si="35"/>
        <v>0.75586055390364359</v>
      </c>
      <c r="D1046">
        <f t="shared" si="36"/>
        <v>-0.27989837232446807</v>
      </c>
    </row>
    <row r="1047" spans="1:4" x14ac:dyDescent="0.15">
      <c r="A1047" s="7">
        <v>1041</v>
      </c>
      <c r="B1047" s="7">
        <v>0</v>
      </c>
      <c r="C1047">
        <f t="shared" si="35"/>
        <v>0.75586055390364359</v>
      </c>
      <c r="D1047">
        <f t="shared" si="36"/>
        <v>-0.27989837232446807</v>
      </c>
    </row>
    <row r="1048" spans="1:4" x14ac:dyDescent="0.15">
      <c r="A1048" s="7">
        <v>1042</v>
      </c>
      <c r="B1048" s="7">
        <v>0</v>
      </c>
      <c r="C1048">
        <f t="shared" si="35"/>
        <v>0.75586055390364359</v>
      </c>
      <c r="D1048">
        <f t="shared" si="36"/>
        <v>-0.27989837232446807</v>
      </c>
    </row>
    <row r="1049" spans="1:4" x14ac:dyDescent="0.15">
      <c r="A1049" s="7">
        <v>1043</v>
      </c>
      <c r="B1049" s="7">
        <v>0</v>
      </c>
      <c r="C1049">
        <f t="shared" si="35"/>
        <v>0.75586055390364359</v>
      </c>
      <c r="D1049">
        <f t="shared" si="36"/>
        <v>-0.27989837232446807</v>
      </c>
    </row>
    <row r="1050" spans="1:4" x14ac:dyDescent="0.15">
      <c r="A1050" s="7">
        <v>1044</v>
      </c>
      <c r="B1050" s="7">
        <v>5</v>
      </c>
      <c r="C1050">
        <f t="shared" si="35"/>
        <v>1.366675533834656E-2</v>
      </c>
      <c r="D1050">
        <f t="shared" si="36"/>
        <v>-4.2927890127952875</v>
      </c>
    </row>
    <row r="1051" spans="1:4" x14ac:dyDescent="0.15">
      <c r="A1051" s="7">
        <v>1045</v>
      </c>
      <c r="B1051" s="7">
        <v>0</v>
      </c>
      <c r="C1051">
        <f t="shared" si="35"/>
        <v>0.75586055390364359</v>
      </c>
      <c r="D1051">
        <f t="shared" si="36"/>
        <v>-0.27989837232446807</v>
      </c>
    </row>
    <row r="1052" spans="1:4" x14ac:dyDescent="0.15">
      <c r="A1052" s="7">
        <v>1046</v>
      </c>
      <c r="B1052" s="7">
        <v>0</v>
      </c>
      <c r="C1052">
        <f t="shared" si="35"/>
        <v>0.75586055390364359</v>
      </c>
      <c r="D1052">
        <f t="shared" si="36"/>
        <v>-0.27989837232446807</v>
      </c>
    </row>
    <row r="1053" spans="1:4" x14ac:dyDescent="0.15">
      <c r="A1053" s="7">
        <v>1047</v>
      </c>
      <c r="B1053" s="7">
        <v>0</v>
      </c>
      <c r="C1053">
        <f t="shared" si="35"/>
        <v>0.75586055390364359</v>
      </c>
      <c r="D1053">
        <f t="shared" si="36"/>
        <v>-0.27989837232446807</v>
      </c>
    </row>
    <row r="1054" spans="1:4" x14ac:dyDescent="0.15">
      <c r="A1054" s="7">
        <v>1048</v>
      </c>
      <c r="B1054" s="7">
        <v>0</v>
      </c>
      <c r="C1054">
        <f t="shared" si="35"/>
        <v>0.75586055390364359</v>
      </c>
      <c r="D1054">
        <f t="shared" si="36"/>
        <v>-0.27989837232446807</v>
      </c>
    </row>
    <row r="1055" spans="1:4" x14ac:dyDescent="0.15">
      <c r="A1055" s="7">
        <v>1049</v>
      </c>
      <c r="B1055" s="7">
        <v>0</v>
      </c>
      <c r="C1055">
        <f t="shared" si="35"/>
        <v>0.75586055390364359</v>
      </c>
      <c r="D1055">
        <f t="shared" si="36"/>
        <v>-0.27989837232446807</v>
      </c>
    </row>
    <row r="1056" spans="1:4" x14ac:dyDescent="0.15">
      <c r="A1056" s="7">
        <v>1050</v>
      </c>
      <c r="B1056" s="7">
        <v>0</v>
      </c>
      <c r="C1056">
        <f t="shared" si="35"/>
        <v>0.75586055390364359</v>
      </c>
      <c r="D1056">
        <f t="shared" si="36"/>
        <v>-0.27989837232446807</v>
      </c>
    </row>
    <row r="1057" spans="1:4" x14ac:dyDescent="0.15">
      <c r="A1057" s="7">
        <v>1051</v>
      </c>
      <c r="B1057" s="7">
        <v>0</v>
      </c>
      <c r="C1057">
        <f t="shared" si="35"/>
        <v>0.75586055390364359</v>
      </c>
      <c r="D1057">
        <f t="shared" si="36"/>
        <v>-0.27989837232446807</v>
      </c>
    </row>
    <row r="1058" spans="1:4" x14ac:dyDescent="0.15">
      <c r="A1058" s="7">
        <v>1052</v>
      </c>
      <c r="B1058" s="7">
        <v>0</v>
      </c>
      <c r="C1058">
        <f t="shared" si="35"/>
        <v>0.75586055390364359</v>
      </c>
      <c r="D1058">
        <f t="shared" si="36"/>
        <v>-0.27989837232446807</v>
      </c>
    </row>
    <row r="1059" spans="1:4" x14ac:dyDescent="0.15">
      <c r="A1059" s="7">
        <v>1053</v>
      </c>
      <c r="B1059" s="7">
        <v>1</v>
      </c>
      <c r="C1059">
        <f t="shared" si="35"/>
        <v>8.8678581416840763E-2</v>
      </c>
      <c r="D1059">
        <f t="shared" si="36"/>
        <v>-2.4227368910146492</v>
      </c>
    </row>
    <row r="1060" spans="1:4" x14ac:dyDescent="0.15">
      <c r="A1060" s="7">
        <v>1054</v>
      </c>
      <c r="B1060" s="7">
        <v>2</v>
      </c>
      <c r="C1060">
        <f t="shared" si="35"/>
        <v>4.4062133811825943E-2</v>
      </c>
      <c r="D1060">
        <f t="shared" si="36"/>
        <v>-3.1221545090977791</v>
      </c>
    </row>
    <row r="1061" spans="1:4" x14ac:dyDescent="0.15">
      <c r="A1061" s="7">
        <v>1055</v>
      </c>
      <c r="B1061" s="7">
        <v>1</v>
      </c>
      <c r="C1061">
        <f t="shared" si="35"/>
        <v>8.8678581416840763E-2</v>
      </c>
      <c r="D1061">
        <f t="shared" si="36"/>
        <v>-2.4227368910146492</v>
      </c>
    </row>
    <row r="1062" spans="1:4" x14ac:dyDescent="0.15">
      <c r="A1062" s="7">
        <v>1056</v>
      </c>
      <c r="B1062" s="7">
        <v>1</v>
      </c>
      <c r="C1062">
        <f t="shared" si="35"/>
        <v>8.8678581416840763E-2</v>
      </c>
      <c r="D1062">
        <f t="shared" si="36"/>
        <v>-2.4227368910146492</v>
      </c>
    </row>
    <row r="1063" spans="1:4" x14ac:dyDescent="0.15">
      <c r="A1063" s="7">
        <v>1057</v>
      </c>
      <c r="B1063" s="7">
        <v>0</v>
      </c>
      <c r="C1063">
        <f t="shared" si="35"/>
        <v>0.75586055390364359</v>
      </c>
      <c r="D1063">
        <f t="shared" si="36"/>
        <v>-0.27989837232446807</v>
      </c>
    </row>
    <row r="1064" spans="1:4" x14ac:dyDescent="0.15">
      <c r="A1064" s="7">
        <v>1058</v>
      </c>
      <c r="B1064" s="7">
        <v>0</v>
      </c>
      <c r="C1064">
        <f t="shared" si="35"/>
        <v>0.75586055390364359</v>
      </c>
      <c r="D1064">
        <f t="shared" si="36"/>
        <v>-0.27989837232446807</v>
      </c>
    </row>
    <row r="1065" spans="1:4" x14ac:dyDescent="0.15">
      <c r="A1065" s="7">
        <v>1059</v>
      </c>
      <c r="B1065" s="7">
        <v>0</v>
      </c>
      <c r="C1065">
        <f t="shared" si="35"/>
        <v>0.75586055390364359</v>
      </c>
      <c r="D1065">
        <f t="shared" si="36"/>
        <v>-0.27989837232446807</v>
      </c>
    </row>
    <row r="1066" spans="1:4" x14ac:dyDescent="0.15">
      <c r="A1066" s="7">
        <v>1060</v>
      </c>
      <c r="B1066" s="7">
        <v>0</v>
      </c>
      <c r="C1066">
        <f t="shared" si="35"/>
        <v>0.75586055390364359</v>
      </c>
      <c r="D1066">
        <f t="shared" si="36"/>
        <v>-0.27989837232446807</v>
      </c>
    </row>
    <row r="1067" spans="1:4" x14ac:dyDescent="0.15">
      <c r="A1067" s="7">
        <v>1061</v>
      </c>
      <c r="B1067" s="7">
        <v>0</v>
      </c>
      <c r="C1067">
        <f t="shared" si="35"/>
        <v>0.75586055390364359</v>
      </c>
      <c r="D1067">
        <f t="shared" si="36"/>
        <v>-0.27989837232446807</v>
      </c>
    </row>
    <row r="1068" spans="1:4" x14ac:dyDescent="0.15">
      <c r="A1068" s="7">
        <v>1062</v>
      </c>
      <c r="B1068" s="7">
        <v>0</v>
      </c>
      <c r="C1068">
        <f t="shared" si="35"/>
        <v>0.75586055390364359</v>
      </c>
      <c r="D1068">
        <f t="shared" si="36"/>
        <v>-0.27989837232446807</v>
      </c>
    </row>
    <row r="1069" spans="1:4" x14ac:dyDescent="0.15">
      <c r="A1069" s="7">
        <v>1063</v>
      </c>
      <c r="B1069" s="7">
        <v>0</v>
      </c>
      <c r="C1069">
        <f t="shared" si="35"/>
        <v>0.75586055390364359</v>
      </c>
      <c r="D1069">
        <f t="shared" si="36"/>
        <v>-0.27989837232446807</v>
      </c>
    </row>
    <row r="1070" spans="1:4" x14ac:dyDescent="0.15">
      <c r="A1070" s="7">
        <v>1064</v>
      </c>
      <c r="B1070" s="7">
        <v>0</v>
      </c>
      <c r="C1070">
        <f t="shared" si="35"/>
        <v>0.75586055390364359</v>
      </c>
      <c r="D1070">
        <f t="shared" si="36"/>
        <v>-0.27989837232446807</v>
      </c>
    </row>
    <row r="1071" spans="1:4" x14ac:dyDescent="0.15">
      <c r="A1071" s="7">
        <v>1065</v>
      </c>
      <c r="B1071" s="7">
        <v>0</v>
      </c>
      <c r="C1071">
        <f t="shared" si="35"/>
        <v>0.75586055390364359</v>
      </c>
      <c r="D1071">
        <f t="shared" si="36"/>
        <v>-0.27989837232446807</v>
      </c>
    </row>
    <row r="1072" spans="1:4" x14ac:dyDescent="0.15">
      <c r="A1072" s="7">
        <v>1066</v>
      </c>
      <c r="B1072" s="7">
        <v>5</v>
      </c>
      <c r="C1072">
        <f t="shared" si="35"/>
        <v>1.366675533834656E-2</v>
      </c>
      <c r="D1072">
        <f t="shared" si="36"/>
        <v>-4.2927890127952875</v>
      </c>
    </row>
    <row r="1073" spans="1:4" x14ac:dyDescent="0.15">
      <c r="A1073" s="7">
        <v>1067</v>
      </c>
      <c r="B1073" s="7">
        <v>0</v>
      </c>
      <c r="C1073">
        <f t="shared" si="35"/>
        <v>0.75586055390364359</v>
      </c>
      <c r="D1073">
        <f t="shared" si="36"/>
        <v>-0.27989837232446807</v>
      </c>
    </row>
    <row r="1074" spans="1:4" x14ac:dyDescent="0.15">
      <c r="A1074" s="7">
        <v>1068</v>
      </c>
      <c r="B1074" s="7">
        <v>0</v>
      </c>
      <c r="C1074">
        <f t="shared" si="35"/>
        <v>0.75586055390364359</v>
      </c>
      <c r="D1074">
        <f t="shared" si="36"/>
        <v>-0.27989837232446807</v>
      </c>
    </row>
    <row r="1075" spans="1:4" x14ac:dyDescent="0.15">
      <c r="A1075" s="7">
        <v>1069</v>
      </c>
      <c r="B1075" s="7">
        <v>0</v>
      </c>
      <c r="C1075">
        <f t="shared" si="35"/>
        <v>0.75586055390364359</v>
      </c>
      <c r="D1075">
        <f t="shared" si="36"/>
        <v>-0.27989837232446807</v>
      </c>
    </row>
    <row r="1076" spans="1:4" x14ac:dyDescent="0.15">
      <c r="A1076" s="7">
        <v>1070</v>
      </c>
      <c r="B1076" s="7">
        <v>0</v>
      </c>
      <c r="C1076">
        <f t="shared" si="35"/>
        <v>0.75586055390364359</v>
      </c>
      <c r="D1076">
        <f t="shared" si="36"/>
        <v>-0.27989837232446807</v>
      </c>
    </row>
    <row r="1077" spans="1:4" x14ac:dyDescent="0.15">
      <c r="A1077" s="7">
        <v>1071</v>
      </c>
      <c r="B1077" s="7">
        <v>0</v>
      </c>
      <c r="C1077">
        <f t="shared" si="35"/>
        <v>0.75586055390364359</v>
      </c>
      <c r="D1077">
        <f t="shared" si="36"/>
        <v>-0.27989837232446807</v>
      </c>
    </row>
    <row r="1078" spans="1:4" x14ac:dyDescent="0.15">
      <c r="A1078" s="7">
        <v>1072</v>
      </c>
      <c r="B1078" s="7">
        <v>0</v>
      </c>
      <c r="C1078">
        <f t="shared" si="35"/>
        <v>0.75586055390364359</v>
      </c>
      <c r="D1078">
        <f t="shared" si="36"/>
        <v>-0.27989837232446807</v>
      </c>
    </row>
    <row r="1079" spans="1:4" x14ac:dyDescent="0.15">
      <c r="A1079" s="7">
        <v>1073</v>
      </c>
      <c r="B1079" s="7">
        <v>1</v>
      </c>
      <c r="C1079">
        <f t="shared" si="35"/>
        <v>8.8678581416840763E-2</v>
      </c>
      <c r="D1079">
        <f t="shared" si="36"/>
        <v>-2.4227368910146492</v>
      </c>
    </row>
    <row r="1080" spans="1:4" x14ac:dyDescent="0.15">
      <c r="A1080" s="7">
        <v>1074</v>
      </c>
      <c r="B1080" s="7">
        <v>0</v>
      </c>
      <c r="C1080">
        <f t="shared" si="35"/>
        <v>0.75586055390364359</v>
      </c>
      <c r="D1080">
        <f t="shared" si="36"/>
        <v>-0.27989837232446807</v>
      </c>
    </row>
    <row r="1081" spans="1:4" x14ac:dyDescent="0.15">
      <c r="A1081" s="7">
        <v>1075</v>
      </c>
      <c r="B1081" s="7">
        <v>0</v>
      </c>
      <c r="C1081">
        <f t="shared" si="35"/>
        <v>0.75586055390364359</v>
      </c>
      <c r="D1081">
        <f t="shared" si="36"/>
        <v>-0.27989837232446807</v>
      </c>
    </row>
    <row r="1082" spans="1:4" x14ac:dyDescent="0.15">
      <c r="A1082" s="7">
        <v>1076</v>
      </c>
      <c r="B1082" s="7">
        <v>0</v>
      </c>
      <c r="C1082">
        <f t="shared" si="35"/>
        <v>0.75586055390364359</v>
      </c>
      <c r="D1082">
        <f t="shared" si="36"/>
        <v>-0.27989837232446807</v>
      </c>
    </row>
    <row r="1083" spans="1:4" x14ac:dyDescent="0.15">
      <c r="A1083" s="7">
        <v>1077</v>
      </c>
      <c r="B1083" s="7">
        <v>0</v>
      </c>
      <c r="C1083">
        <f t="shared" si="35"/>
        <v>0.75586055390364359</v>
      </c>
      <c r="D1083">
        <f t="shared" si="36"/>
        <v>-0.27989837232446807</v>
      </c>
    </row>
    <row r="1084" spans="1:4" x14ac:dyDescent="0.15">
      <c r="A1084" s="7">
        <v>1078</v>
      </c>
      <c r="B1084" s="7">
        <v>0</v>
      </c>
      <c r="C1084">
        <f t="shared" si="35"/>
        <v>0.75586055390364359</v>
      </c>
      <c r="D1084">
        <f t="shared" si="36"/>
        <v>-0.27989837232446807</v>
      </c>
    </row>
    <row r="1085" spans="1:4" x14ac:dyDescent="0.15">
      <c r="A1085" s="7">
        <v>1079</v>
      </c>
      <c r="B1085" s="7">
        <v>0</v>
      </c>
      <c r="C1085">
        <f t="shared" si="35"/>
        <v>0.75586055390364359</v>
      </c>
      <c r="D1085">
        <f t="shared" si="36"/>
        <v>-0.27989837232446807</v>
      </c>
    </row>
    <row r="1086" spans="1:4" x14ac:dyDescent="0.15">
      <c r="A1086" s="7">
        <v>1080</v>
      </c>
      <c r="B1086" s="7">
        <v>0</v>
      </c>
      <c r="C1086">
        <f t="shared" si="35"/>
        <v>0.75586055390364359</v>
      </c>
      <c r="D1086">
        <f t="shared" si="36"/>
        <v>-0.27989837232446807</v>
      </c>
    </row>
    <row r="1087" spans="1:4" x14ac:dyDescent="0.15">
      <c r="A1087" s="7">
        <v>1081</v>
      </c>
      <c r="B1087" s="7">
        <v>0</v>
      </c>
      <c r="C1087">
        <f t="shared" si="35"/>
        <v>0.75586055390364359</v>
      </c>
      <c r="D1087">
        <f t="shared" si="36"/>
        <v>-0.27989837232446807</v>
      </c>
    </row>
    <row r="1088" spans="1:4" x14ac:dyDescent="0.15">
      <c r="A1088" s="7">
        <v>1082</v>
      </c>
      <c r="B1088" s="7">
        <v>0</v>
      </c>
      <c r="C1088">
        <f t="shared" si="35"/>
        <v>0.75586055390364359</v>
      </c>
      <c r="D1088">
        <f t="shared" si="36"/>
        <v>-0.27989837232446807</v>
      </c>
    </row>
    <row r="1089" spans="1:4" x14ac:dyDescent="0.15">
      <c r="A1089" s="7">
        <v>1083</v>
      </c>
      <c r="B1089" s="7">
        <v>4</v>
      </c>
      <c r="C1089">
        <f t="shared" si="35"/>
        <v>1.8860933071470173E-2</v>
      </c>
      <c r="D1089">
        <f t="shared" si="36"/>
        <v>-3.9706625294337847</v>
      </c>
    </row>
    <row r="1090" spans="1:4" x14ac:dyDescent="0.15">
      <c r="A1090" s="7">
        <v>1084</v>
      </c>
      <c r="B1090" s="7">
        <v>0</v>
      </c>
      <c r="C1090">
        <f t="shared" si="35"/>
        <v>0.75586055390364359</v>
      </c>
      <c r="D1090">
        <f t="shared" si="36"/>
        <v>-0.27989837232446807</v>
      </c>
    </row>
    <row r="1091" spans="1:4" x14ac:dyDescent="0.15">
      <c r="A1091" s="7">
        <v>1085</v>
      </c>
      <c r="B1091" s="7">
        <v>0</v>
      </c>
      <c r="C1091">
        <f t="shared" si="35"/>
        <v>0.75586055390364359</v>
      </c>
      <c r="D1091">
        <f t="shared" si="36"/>
        <v>-0.27989837232446807</v>
      </c>
    </row>
    <row r="1092" spans="1:4" x14ac:dyDescent="0.15">
      <c r="A1092" s="7">
        <v>1086</v>
      </c>
      <c r="B1092" s="7">
        <v>0</v>
      </c>
      <c r="C1092">
        <f t="shared" si="35"/>
        <v>0.75586055390364359</v>
      </c>
      <c r="D1092">
        <f t="shared" si="36"/>
        <v>-0.27989837232446807</v>
      </c>
    </row>
    <row r="1093" spans="1:4" x14ac:dyDescent="0.15">
      <c r="A1093" s="7">
        <v>1087</v>
      </c>
      <c r="B1093" s="7">
        <v>0</v>
      </c>
      <c r="C1093">
        <f t="shared" si="35"/>
        <v>0.75586055390364359</v>
      </c>
      <c r="D1093">
        <f t="shared" si="36"/>
        <v>-0.27989837232446807</v>
      </c>
    </row>
    <row r="1094" spans="1:4" x14ac:dyDescent="0.15">
      <c r="A1094" s="7">
        <v>1088</v>
      </c>
      <c r="B1094" s="7">
        <v>0</v>
      </c>
      <c r="C1094">
        <f t="shared" si="35"/>
        <v>0.75586055390364359</v>
      </c>
      <c r="D1094">
        <f t="shared" si="36"/>
        <v>-0.27989837232446807</v>
      </c>
    </row>
    <row r="1095" spans="1:4" x14ac:dyDescent="0.15">
      <c r="A1095" s="7">
        <v>1089</v>
      </c>
      <c r="B1095" s="7">
        <v>0</v>
      </c>
      <c r="C1095">
        <f t="shared" si="35"/>
        <v>0.75586055390364359</v>
      </c>
      <c r="D1095">
        <f t="shared" si="36"/>
        <v>-0.27989837232446807</v>
      </c>
    </row>
    <row r="1096" spans="1:4" x14ac:dyDescent="0.15">
      <c r="A1096" s="7">
        <v>1090</v>
      </c>
      <c r="B1096" s="7">
        <v>0</v>
      </c>
      <c r="C1096">
        <f t="shared" ref="C1096:C1159" si="37">(_xlfn.GAMMA($B$1+B1096)/(_xlfn.GAMMA($B$1)*FACT(B1096))) * ($B$2/($B$2+$B$4))^$B$1 * (1/($B$2 +$B$4))^B1096</f>
        <v>0.75586055390364359</v>
      </c>
      <c r="D1096">
        <f t="shared" ref="D1096:D1159" si="38">LN(C1096)</f>
        <v>-0.27989837232446807</v>
      </c>
    </row>
    <row r="1097" spans="1:4" x14ac:dyDescent="0.15">
      <c r="A1097" s="7">
        <v>1091</v>
      </c>
      <c r="B1097" s="7">
        <v>0</v>
      </c>
      <c r="C1097">
        <f t="shared" si="37"/>
        <v>0.75586055390364359</v>
      </c>
      <c r="D1097">
        <f t="shared" si="38"/>
        <v>-0.27989837232446807</v>
      </c>
    </row>
    <row r="1098" spans="1:4" x14ac:dyDescent="0.15">
      <c r="A1098" s="7">
        <v>1092</v>
      </c>
      <c r="B1098" s="7">
        <v>0</v>
      </c>
      <c r="C1098">
        <f t="shared" si="37"/>
        <v>0.75586055390364359</v>
      </c>
      <c r="D1098">
        <f t="shared" si="38"/>
        <v>-0.27989837232446807</v>
      </c>
    </row>
    <row r="1099" spans="1:4" x14ac:dyDescent="0.15">
      <c r="A1099" s="7">
        <v>1093</v>
      </c>
      <c r="B1099" s="7">
        <v>0</v>
      </c>
      <c r="C1099">
        <f t="shared" si="37"/>
        <v>0.75586055390364359</v>
      </c>
      <c r="D1099">
        <f t="shared" si="38"/>
        <v>-0.27989837232446807</v>
      </c>
    </row>
    <row r="1100" spans="1:4" x14ac:dyDescent="0.15">
      <c r="A1100" s="7">
        <v>1094</v>
      </c>
      <c r="B1100" s="7">
        <v>0</v>
      </c>
      <c r="C1100">
        <f t="shared" si="37"/>
        <v>0.75586055390364359</v>
      </c>
      <c r="D1100">
        <f t="shared" si="38"/>
        <v>-0.27989837232446807</v>
      </c>
    </row>
    <row r="1101" spans="1:4" x14ac:dyDescent="0.15">
      <c r="A1101" s="7">
        <v>1095</v>
      </c>
      <c r="B1101" s="7">
        <v>0</v>
      </c>
      <c r="C1101">
        <f t="shared" si="37"/>
        <v>0.75586055390364359</v>
      </c>
      <c r="D1101">
        <f t="shared" si="38"/>
        <v>-0.27989837232446807</v>
      </c>
    </row>
    <row r="1102" spans="1:4" x14ac:dyDescent="0.15">
      <c r="A1102" s="7">
        <v>1096</v>
      </c>
      <c r="B1102" s="7">
        <v>0</v>
      </c>
      <c r="C1102">
        <f t="shared" si="37"/>
        <v>0.75586055390364359</v>
      </c>
      <c r="D1102">
        <f t="shared" si="38"/>
        <v>-0.27989837232446807</v>
      </c>
    </row>
    <row r="1103" spans="1:4" x14ac:dyDescent="0.15">
      <c r="A1103" s="7">
        <v>1097</v>
      </c>
      <c r="B1103" s="7">
        <v>1</v>
      </c>
      <c r="C1103">
        <f t="shared" si="37"/>
        <v>8.8678581416840763E-2</v>
      </c>
      <c r="D1103">
        <f t="shared" si="38"/>
        <v>-2.4227368910146492</v>
      </c>
    </row>
    <row r="1104" spans="1:4" x14ac:dyDescent="0.15">
      <c r="A1104" s="7">
        <v>1098</v>
      </c>
      <c r="B1104" s="7">
        <v>0</v>
      </c>
      <c r="C1104">
        <f t="shared" si="37"/>
        <v>0.75586055390364359</v>
      </c>
      <c r="D1104">
        <f t="shared" si="38"/>
        <v>-0.27989837232446807</v>
      </c>
    </row>
    <row r="1105" spans="1:4" x14ac:dyDescent="0.15">
      <c r="A1105" s="7">
        <v>1099</v>
      </c>
      <c r="B1105" s="7">
        <v>4</v>
      </c>
      <c r="C1105">
        <f t="shared" si="37"/>
        <v>1.8860933071470173E-2</v>
      </c>
      <c r="D1105">
        <f t="shared" si="38"/>
        <v>-3.9706625294337847</v>
      </c>
    </row>
    <row r="1106" spans="1:4" x14ac:dyDescent="0.15">
      <c r="A1106" s="7">
        <v>1100</v>
      </c>
      <c r="B1106" s="7">
        <v>0</v>
      </c>
      <c r="C1106">
        <f t="shared" si="37"/>
        <v>0.75586055390364359</v>
      </c>
      <c r="D1106">
        <f t="shared" si="38"/>
        <v>-0.27989837232446807</v>
      </c>
    </row>
    <row r="1107" spans="1:4" x14ac:dyDescent="0.15">
      <c r="A1107" s="7">
        <v>1101</v>
      </c>
      <c r="B1107" s="7">
        <v>0</v>
      </c>
      <c r="C1107">
        <f t="shared" si="37"/>
        <v>0.75586055390364359</v>
      </c>
      <c r="D1107">
        <f t="shared" si="38"/>
        <v>-0.27989837232446807</v>
      </c>
    </row>
    <row r="1108" spans="1:4" x14ac:dyDescent="0.15">
      <c r="A1108" s="7">
        <v>1102</v>
      </c>
      <c r="B1108" s="7">
        <v>5</v>
      </c>
      <c r="C1108">
        <f t="shared" si="37"/>
        <v>1.366675533834656E-2</v>
      </c>
      <c r="D1108">
        <f t="shared" si="38"/>
        <v>-4.2927890127952875</v>
      </c>
    </row>
    <row r="1109" spans="1:4" x14ac:dyDescent="0.15">
      <c r="A1109" s="7">
        <v>1103</v>
      </c>
      <c r="B1109" s="7">
        <v>0</v>
      </c>
      <c r="C1109">
        <f t="shared" si="37"/>
        <v>0.75586055390364359</v>
      </c>
      <c r="D1109">
        <f t="shared" si="38"/>
        <v>-0.27989837232446807</v>
      </c>
    </row>
    <row r="1110" spans="1:4" x14ac:dyDescent="0.15">
      <c r="A1110" s="7">
        <v>1104</v>
      </c>
      <c r="B1110" s="7">
        <v>1</v>
      </c>
      <c r="C1110">
        <f t="shared" si="37"/>
        <v>8.8678581416840763E-2</v>
      </c>
      <c r="D1110">
        <f t="shared" si="38"/>
        <v>-2.4227368910146492</v>
      </c>
    </row>
    <row r="1111" spans="1:4" x14ac:dyDescent="0.15">
      <c r="A1111" s="7">
        <v>1105</v>
      </c>
      <c r="B1111" s="7">
        <v>0</v>
      </c>
      <c r="C1111">
        <f t="shared" si="37"/>
        <v>0.75586055390364359</v>
      </c>
      <c r="D1111">
        <f t="shared" si="38"/>
        <v>-0.27989837232446807</v>
      </c>
    </row>
    <row r="1112" spans="1:4" x14ac:dyDescent="0.15">
      <c r="A1112" s="7">
        <v>1106</v>
      </c>
      <c r="B1112" s="7">
        <v>0</v>
      </c>
      <c r="C1112">
        <f t="shared" si="37"/>
        <v>0.75586055390364359</v>
      </c>
      <c r="D1112">
        <f t="shared" si="38"/>
        <v>-0.27989837232446807</v>
      </c>
    </row>
    <row r="1113" spans="1:4" x14ac:dyDescent="0.15">
      <c r="A1113" s="7">
        <v>1107</v>
      </c>
      <c r="B1113" s="7">
        <v>0</v>
      </c>
      <c r="C1113">
        <f t="shared" si="37"/>
        <v>0.75586055390364359</v>
      </c>
      <c r="D1113">
        <f t="shared" si="38"/>
        <v>-0.27989837232446807</v>
      </c>
    </row>
    <row r="1114" spans="1:4" x14ac:dyDescent="0.15">
      <c r="A1114" s="7">
        <v>1108</v>
      </c>
      <c r="B1114" s="7">
        <v>0</v>
      </c>
      <c r="C1114">
        <f t="shared" si="37"/>
        <v>0.75586055390364359</v>
      </c>
      <c r="D1114">
        <f t="shared" si="38"/>
        <v>-0.27989837232446807</v>
      </c>
    </row>
    <row r="1115" spans="1:4" x14ac:dyDescent="0.15">
      <c r="A1115" s="7">
        <v>1109</v>
      </c>
      <c r="B1115" s="7">
        <v>0</v>
      </c>
      <c r="C1115">
        <f t="shared" si="37"/>
        <v>0.75586055390364359</v>
      </c>
      <c r="D1115">
        <f t="shared" si="38"/>
        <v>-0.27989837232446807</v>
      </c>
    </row>
    <row r="1116" spans="1:4" x14ac:dyDescent="0.15">
      <c r="A1116" s="7">
        <v>1110</v>
      </c>
      <c r="B1116" s="7">
        <v>1</v>
      </c>
      <c r="C1116">
        <f t="shared" si="37"/>
        <v>8.8678581416840763E-2</v>
      </c>
      <c r="D1116">
        <f t="shared" si="38"/>
        <v>-2.4227368910146492</v>
      </c>
    </row>
    <row r="1117" spans="1:4" x14ac:dyDescent="0.15">
      <c r="A1117" s="7">
        <v>1111</v>
      </c>
      <c r="B1117" s="7">
        <v>0</v>
      </c>
      <c r="C1117">
        <f t="shared" si="37"/>
        <v>0.75586055390364359</v>
      </c>
      <c r="D1117">
        <f t="shared" si="38"/>
        <v>-0.27989837232446807</v>
      </c>
    </row>
    <row r="1118" spans="1:4" x14ac:dyDescent="0.15">
      <c r="A1118" s="7">
        <v>1112</v>
      </c>
      <c r="B1118" s="7">
        <v>0</v>
      </c>
      <c r="C1118">
        <f t="shared" si="37"/>
        <v>0.75586055390364359</v>
      </c>
      <c r="D1118">
        <f t="shared" si="38"/>
        <v>-0.27989837232446807</v>
      </c>
    </row>
    <row r="1119" spans="1:4" x14ac:dyDescent="0.15">
      <c r="A1119" s="7">
        <v>1113</v>
      </c>
      <c r="B1119" s="7">
        <v>0</v>
      </c>
      <c r="C1119">
        <f t="shared" si="37"/>
        <v>0.75586055390364359</v>
      </c>
      <c r="D1119">
        <f t="shared" si="38"/>
        <v>-0.27989837232446807</v>
      </c>
    </row>
    <row r="1120" spans="1:4" x14ac:dyDescent="0.15">
      <c r="A1120" s="7">
        <v>1114</v>
      </c>
      <c r="B1120" s="7">
        <v>0</v>
      </c>
      <c r="C1120">
        <f t="shared" si="37"/>
        <v>0.75586055390364359</v>
      </c>
      <c r="D1120">
        <f t="shared" si="38"/>
        <v>-0.27989837232446807</v>
      </c>
    </row>
    <row r="1121" spans="1:4" x14ac:dyDescent="0.15">
      <c r="A1121" s="7">
        <v>1115</v>
      </c>
      <c r="B1121" s="7">
        <v>2</v>
      </c>
      <c r="C1121">
        <f t="shared" si="37"/>
        <v>4.4062133811825943E-2</v>
      </c>
      <c r="D1121">
        <f t="shared" si="38"/>
        <v>-3.1221545090977791</v>
      </c>
    </row>
    <row r="1122" spans="1:4" x14ac:dyDescent="0.15">
      <c r="A1122" s="7">
        <v>1116</v>
      </c>
      <c r="B1122" s="7">
        <v>0</v>
      </c>
      <c r="C1122">
        <f t="shared" si="37"/>
        <v>0.75586055390364359</v>
      </c>
      <c r="D1122">
        <f t="shared" si="38"/>
        <v>-0.27989837232446807</v>
      </c>
    </row>
    <row r="1123" spans="1:4" x14ac:dyDescent="0.15">
      <c r="A1123" s="7">
        <v>1117</v>
      </c>
      <c r="B1123" s="7">
        <v>7</v>
      </c>
      <c r="C1123">
        <f t="shared" si="37"/>
        <v>7.8709438009233242E-3</v>
      </c>
      <c r="D1123">
        <f t="shared" si="38"/>
        <v>-4.8445772998646781</v>
      </c>
    </row>
    <row r="1124" spans="1:4" x14ac:dyDescent="0.15">
      <c r="A1124" s="7">
        <v>1118</v>
      </c>
      <c r="B1124" s="7">
        <v>1</v>
      </c>
      <c r="C1124">
        <f t="shared" si="37"/>
        <v>8.8678581416840763E-2</v>
      </c>
      <c r="D1124">
        <f t="shared" si="38"/>
        <v>-2.4227368910146492</v>
      </c>
    </row>
    <row r="1125" spans="1:4" x14ac:dyDescent="0.15">
      <c r="A1125" s="7">
        <v>1119</v>
      </c>
      <c r="B1125" s="7">
        <v>0</v>
      </c>
      <c r="C1125">
        <f t="shared" si="37"/>
        <v>0.75586055390364359</v>
      </c>
      <c r="D1125">
        <f t="shared" si="38"/>
        <v>-0.27989837232446807</v>
      </c>
    </row>
    <row r="1126" spans="1:4" x14ac:dyDescent="0.15">
      <c r="A1126" s="7">
        <v>1120</v>
      </c>
      <c r="B1126" s="7">
        <v>0</v>
      </c>
      <c r="C1126">
        <f t="shared" si="37"/>
        <v>0.75586055390364359</v>
      </c>
      <c r="D1126">
        <f t="shared" si="38"/>
        <v>-0.27989837232446807</v>
      </c>
    </row>
    <row r="1127" spans="1:4" x14ac:dyDescent="0.15">
      <c r="A1127" s="7">
        <v>1121</v>
      </c>
      <c r="B1127" s="7">
        <v>0</v>
      </c>
      <c r="C1127">
        <f t="shared" si="37"/>
        <v>0.75586055390364359</v>
      </c>
      <c r="D1127">
        <f t="shared" si="38"/>
        <v>-0.27989837232446807</v>
      </c>
    </row>
    <row r="1128" spans="1:4" x14ac:dyDescent="0.15">
      <c r="A1128" s="7">
        <v>1122</v>
      </c>
      <c r="B1128" s="7">
        <v>0</v>
      </c>
      <c r="C1128">
        <f t="shared" si="37"/>
        <v>0.75586055390364359</v>
      </c>
      <c r="D1128">
        <f t="shared" si="38"/>
        <v>-0.27989837232446807</v>
      </c>
    </row>
    <row r="1129" spans="1:4" x14ac:dyDescent="0.15">
      <c r="A1129" s="7">
        <v>1123</v>
      </c>
      <c r="B1129" s="7">
        <v>1</v>
      </c>
      <c r="C1129">
        <f t="shared" si="37"/>
        <v>8.8678581416840763E-2</v>
      </c>
      <c r="D1129">
        <f t="shared" si="38"/>
        <v>-2.4227368910146492</v>
      </c>
    </row>
    <row r="1130" spans="1:4" x14ac:dyDescent="0.15">
      <c r="A1130" s="7">
        <v>1124</v>
      </c>
      <c r="B1130" s="7">
        <v>0</v>
      </c>
      <c r="C1130">
        <f t="shared" si="37"/>
        <v>0.75586055390364359</v>
      </c>
      <c r="D1130">
        <f t="shared" si="38"/>
        <v>-0.27989837232446807</v>
      </c>
    </row>
    <row r="1131" spans="1:4" x14ac:dyDescent="0.15">
      <c r="A1131" s="7">
        <v>1125</v>
      </c>
      <c r="B1131" s="7">
        <v>0</v>
      </c>
      <c r="C1131">
        <f t="shared" si="37"/>
        <v>0.75586055390364359</v>
      </c>
      <c r="D1131">
        <f t="shared" si="38"/>
        <v>-0.27989837232446807</v>
      </c>
    </row>
    <row r="1132" spans="1:4" x14ac:dyDescent="0.15">
      <c r="A1132" s="7">
        <v>1126</v>
      </c>
      <c r="B1132" s="7">
        <v>0</v>
      </c>
      <c r="C1132">
        <f t="shared" si="37"/>
        <v>0.75586055390364359</v>
      </c>
      <c r="D1132">
        <f t="shared" si="38"/>
        <v>-0.27989837232446807</v>
      </c>
    </row>
    <row r="1133" spans="1:4" x14ac:dyDescent="0.15">
      <c r="A1133" s="7">
        <v>1127</v>
      </c>
      <c r="B1133" s="7">
        <v>0</v>
      </c>
      <c r="C1133">
        <f t="shared" si="37"/>
        <v>0.75586055390364359</v>
      </c>
      <c r="D1133">
        <f t="shared" si="38"/>
        <v>-0.27989837232446807</v>
      </c>
    </row>
    <row r="1134" spans="1:4" x14ac:dyDescent="0.15">
      <c r="A1134" s="7">
        <v>1128</v>
      </c>
      <c r="B1134" s="7">
        <v>0</v>
      </c>
      <c r="C1134">
        <f t="shared" si="37"/>
        <v>0.75586055390364359</v>
      </c>
      <c r="D1134">
        <f t="shared" si="38"/>
        <v>-0.27989837232446807</v>
      </c>
    </row>
    <row r="1135" spans="1:4" x14ac:dyDescent="0.15">
      <c r="A1135" s="7">
        <v>1129</v>
      </c>
      <c r="B1135" s="7">
        <v>0</v>
      </c>
      <c r="C1135">
        <f t="shared" si="37"/>
        <v>0.75586055390364359</v>
      </c>
      <c r="D1135">
        <f t="shared" si="38"/>
        <v>-0.27989837232446807</v>
      </c>
    </row>
    <row r="1136" spans="1:4" x14ac:dyDescent="0.15">
      <c r="A1136" s="7">
        <v>1130</v>
      </c>
      <c r="B1136" s="7">
        <v>0</v>
      </c>
      <c r="C1136">
        <f t="shared" si="37"/>
        <v>0.75586055390364359</v>
      </c>
      <c r="D1136">
        <f t="shared" si="38"/>
        <v>-0.27989837232446807</v>
      </c>
    </row>
    <row r="1137" spans="1:4" x14ac:dyDescent="0.15">
      <c r="A1137" s="7">
        <v>1131</v>
      </c>
      <c r="B1137" s="7">
        <v>0</v>
      </c>
      <c r="C1137">
        <f t="shared" si="37"/>
        <v>0.75586055390364359</v>
      </c>
      <c r="D1137">
        <f t="shared" si="38"/>
        <v>-0.27989837232446807</v>
      </c>
    </row>
    <row r="1138" spans="1:4" x14ac:dyDescent="0.15">
      <c r="A1138" s="7">
        <v>1132</v>
      </c>
      <c r="B1138" s="7">
        <v>0</v>
      </c>
      <c r="C1138">
        <f t="shared" si="37"/>
        <v>0.75586055390364359</v>
      </c>
      <c r="D1138">
        <f t="shared" si="38"/>
        <v>-0.27989837232446807</v>
      </c>
    </row>
    <row r="1139" spans="1:4" x14ac:dyDescent="0.15">
      <c r="A1139" s="7">
        <v>1133</v>
      </c>
      <c r="B1139" s="7">
        <v>0</v>
      </c>
      <c r="C1139">
        <f t="shared" si="37"/>
        <v>0.75586055390364359</v>
      </c>
      <c r="D1139">
        <f t="shared" si="38"/>
        <v>-0.27989837232446807</v>
      </c>
    </row>
    <row r="1140" spans="1:4" x14ac:dyDescent="0.15">
      <c r="A1140" s="7">
        <v>1134</v>
      </c>
      <c r="B1140" s="7">
        <v>1</v>
      </c>
      <c r="C1140">
        <f t="shared" si="37"/>
        <v>8.8678581416840763E-2</v>
      </c>
      <c r="D1140">
        <f t="shared" si="38"/>
        <v>-2.4227368910146492</v>
      </c>
    </row>
    <row r="1141" spans="1:4" x14ac:dyDescent="0.15">
      <c r="A1141" s="7">
        <v>1135</v>
      </c>
      <c r="B1141" s="7">
        <v>0</v>
      </c>
      <c r="C1141">
        <f t="shared" si="37"/>
        <v>0.75586055390364359</v>
      </c>
      <c r="D1141">
        <f t="shared" si="38"/>
        <v>-0.27989837232446807</v>
      </c>
    </row>
    <row r="1142" spans="1:4" x14ac:dyDescent="0.15">
      <c r="A1142" s="7">
        <v>1136</v>
      </c>
      <c r="B1142" s="7">
        <v>0</v>
      </c>
      <c r="C1142">
        <f t="shared" si="37"/>
        <v>0.75586055390364359</v>
      </c>
      <c r="D1142">
        <f t="shared" si="38"/>
        <v>-0.27989837232446807</v>
      </c>
    </row>
    <row r="1143" spans="1:4" x14ac:dyDescent="0.15">
      <c r="A1143" s="7">
        <v>1137</v>
      </c>
      <c r="B1143" s="7">
        <v>0</v>
      </c>
      <c r="C1143">
        <f t="shared" si="37"/>
        <v>0.75586055390364359</v>
      </c>
      <c r="D1143">
        <f t="shared" si="38"/>
        <v>-0.27989837232446807</v>
      </c>
    </row>
    <row r="1144" spans="1:4" x14ac:dyDescent="0.15">
      <c r="A1144" s="7">
        <v>1138</v>
      </c>
      <c r="B1144" s="7">
        <v>0</v>
      </c>
      <c r="C1144">
        <f t="shared" si="37"/>
        <v>0.75586055390364359</v>
      </c>
      <c r="D1144">
        <f t="shared" si="38"/>
        <v>-0.27989837232446807</v>
      </c>
    </row>
    <row r="1145" spans="1:4" x14ac:dyDescent="0.15">
      <c r="A1145" s="7">
        <v>1139</v>
      </c>
      <c r="B1145" s="7">
        <v>0</v>
      </c>
      <c r="C1145">
        <f t="shared" si="37"/>
        <v>0.75586055390364359</v>
      </c>
      <c r="D1145">
        <f t="shared" si="38"/>
        <v>-0.27989837232446807</v>
      </c>
    </row>
    <row r="1146" spans="1:4" x14ac:dyDescent="0.15">
      <c r="A1146" s="7">
        <v>1140</v>
      </c>
      <c r="B1146" s="7">
        <v>0</v>
      </c>
      <c r="C1146">
        <f t="shared" si="37"/>
        <v>0.75586055390364359</v>
      </c>
      <c r="D1146">
        <f t="shared" si="38"/>
        <v>-0.27989837232446807</v>
      </c>
    </row>
    <row r="1147" spans="1:4" x14ac:dyDescent="0.15">
      <c r="A1147" s="7">
        <v>1141</v>
      </c>
      <c r="B1147" s="7">
        <v>0</v>
      </c>
      <c r="C1147">
        <f t="shared" si="37"/>
        <v>0.75586055390364359</v>
      </c>
      <c r="D1147">
        <f t="shared" si="38"/>
        <v>-0.27989837232446807</v>
      </c>
    </row>
    <row r="1148" spans="1:4" x14ac:dyDescent="0.15">
      <c r="A1148" s="7">
        <v>1142</v>
      </c>
      <c r="B1148" s="7">
        <v>0</v>
      </c>
      <c r="C1148">
        <f t="shared" si="37"/>
        <v>0.75586055390364359</v>
      </c>
      <c r="D1148">
        <f t="shared" si="38"/>
        <v>-0.27989837232446807</v>
      </c>
    </row>
    <row r="1149" spans="1:4" x14ac:dyDescent="0.15">
      <c r="A1149" s="7">
        <v>1143</v>
      </c>
      <c r="B1149" s="7">
        <v>0</v>
      </c>
      <c r="C1149">
        <f t="shared" si="37"/>
        <v>0.75586055390364359</v>
      </c>
      <c r="D1149">
        <f t="shared" si="38"/>
        <v>-0.27989837232446807</v>
      </c>
    </row>
    <row r="1150" spans="1:4" x14ac:dyDescent="0.15">
      <c r="A1150" s="7">
        <v>1144</v>
      </c>
      <c r="B1150" s="7">
        <v>0</v>
      </c>
      <c r="C1150">
        <f t="shared" si="37"/>
        <v>0.75586055390364359</v>
      </c>
      <c r="D1150">
        <f t="shared" si="38"/>
        <v>-0.27989837232446807</v>
      </c>
    </row>
    <row r="1151" spans="1:4" x14ac:dyDescent="0.15">
      <c r="A1151" s="7">
        <v>1145</v>
      </c>
      <c r="B1151" s="7">
        <v>0</v>
      </c>
      <c r="C1151">
        <f t="shared" si="37"/>
        <v>0.75586055390364359</v>
      </c>
      <c r="D1151">
        <f t="shared" si="38"/>
        <v>-0.27989837232446807</v>
      </c>
    </row>
    <row r="1152" spans="1:4" x14ac:dyDescent="0.15">
      <c r="A1152" s="7">
        <v>1146</v>
      </c>
      <c r="B1152" s="7">
        <v>0</v>
      </c>
      <c r="C1152">
        <f t="shared" si="37"/>
        <v>0.75586055390364359</v>
      </c>
      <c r="D1152">
        <f t="shared" si="38"/>
        <v>-0.27989837232446807</v>
      </c>
    </row>
    <row r="1153" spans="1:4" x14ac:dyDescent="0.15">
      <c r="A1153" s="7">
        <v>1147</v>
      </c>
      <c r="B1153" s="7">
        <v>0</v>
      </c>
      <c r="C1153">
        <f t="shared" si="37"/>
        <v>0.75586055390364359</v>
      </c>
      <c r="D1153">
        <f t="shared" si="38"/>
        <v>-0.27989837232446807</v>
      </c>
    </row>
    <row r="1154" spans="1:4" x14ac:dyDescent="0.15">
      <c r="A1154" s="7">
        <v>1148</v>
      </c>
      <c r="B1154" s="7">
        <v>0</v>
      </c>
      <c r="C1154">
        <f t="shared" si="37"/>
        <v>0.75586055390364359</v>
      </c>
      <c r="D1154">
        <f t="shared" si="38"/>
        <v>-0.27989837232446807</v>
      </c>
    </row>
    <row r="1155" spans="1:4" x14ac:dyDescent="0.15">
      <c r="A1155" s="7">
        <v>1149</v>
      </c>
      <c r="B1155" s="7">
        <v>0</v>
      </c>
      <c r="C1155">
        <f t="shared" si="37"/>
        <v>0.75586055390364359</v>
      </c>
      <c r="D1155">
        <f t="shared" si="38"/>
        <v>-0.27989837232446807</v>
      </c>
    </row>
    <row r="1156" spans="1:4" x14ac:dyDescent="0.15">
      <c r="A1156" s="7">
        <v>1150</v>
      </c>
      <c r="B1156" s="7">
        <v>0</v>
      </c>
      <c r="C1156">
        <f t="shared" si="37"/>
        <v>0.75586055390364359</v>
      </c>
      <c r="D1156">
        <f t="shared" si="38"/>
        <v>-0.27989837232446807</v>
      </c>
    </row>
    <row r="1157" spans="1:4" x14ac:dyDescent="0.15">
      <c r="A1157" s="7">
        <v>1151</v>
      </c>
      <c r="B1157" s="7">
        <v>0</v>
      </c>
      <c r="C1157">
        <f t="shared" si="37"/>
        <v>0.75586055390364359</v>
      </c>
      <c r="D1157">
        <f t="shared" si="38"/>
        <v>-0.27989837232446807</v>
      </c>
    </row>
    <row r="1158" spans="1:4" x14ac:dyDescent="0.15">
      <c r="A1158" s="7">
        <v>1152</v>
      </c>
      <c r="B1158" s="7">
        <v>0</v>
      </c>
      <c r="C1158">
        <f t="shared" si="37"/>
        <v>0.75586055390364359</v>
      </c>
      <c r="D1158">
        <f t="shared" si="38"/>
        <v>-0.27989837232446807</v>
      </c>
    </row>
    <row r="1159" spans="1:4" x14ac:dyDescent="0.15">
      <c r="A1159" s="7">
        <v>1153</v>
      </c>
      <c r="B1159" s="7">
        <v>33</v>
      </c>
      <c r="C1159">
        <f t="shared" si="37"/>
        <v>6.702991670538933E-5</v>
      </c>
      <c r="D1159">
        <f t="shared" si="38"/>
        <v>-9.610371520241916</v>
      </c>
    </row>
    <row r="1160" spans="1:4" x14ac:dyDescent="0.15">
      <c r="A1160" s="7">
        <v>1154</v>
      </c>
      <c r="B1160" s="7">
        <v>0</v>
      </c>
      <c r="C1160">
        <f t="shared" ref="C1160:C1223" si="39">(_xlfn.GAMMA($B$1+B1160)/(_xlfn.GAMMA($B$1)*FACT(B1160))) * ($B$2/($B$2+$B$4))^$B$1 * (1/($B$2 +$B$4))^B1160</f>
        <v>0.75586055390364359</v>
      </c>
      <c r="D1160">
        <f t="shared" ref="D1160:D1223" si="40">LN(C1160)</f>
        <v>-0.27989837232446807</v>
      </c>
    </row>
    <row r="1161" spans="1:4" x14ac:dyDescent="0.15">
      <c r="A1161" s="7">
        <v>1155</v>
      </c>
      <c r="B1161" s="7">
        <v>0</v>
      </c>
      <c r="C1161">
        <f t="shared" si="39"/>
        <v>0.75586055390364359</v>
      </c>
      <c r="D1161">
        <f t="shared" si="40"/>
        <v>-0.27989837232446807</v>
      </c>
    </row>
    <row r="1162" spans="1:4" x14ac:dyDescent="0.15">
      <c r="A1162" s="7">
        <v>1156</v>
      </c>
      <c r="B1162" s="7">
        <v>0</v>
      </c>
      <c r="C1162">
        <f t="shared" si="39"/>
        <v>0.75586055390364359</v>
      </c>
      <c r="D1162">
        <f t="shared" si="40"/>
        <v>-0.27989837232446807</v>
      </c>
    </row>
    <row r="1163" spans="1:4" x14ac:dyDescent="0.15">
      <c r="A1163" s="7">
        <v>1157</v>
      </c>
      <c r="B1163" s="7">
        <v>8</v>
      </c>
      <c r="C1163">
        <f t="shared" si="39"/>
        <v>6.1514536381425521E-3</v>
      </c>
      <c r="D1163">
        <f t="shared" si="40"/>
        <v>-5.0910668611676444</v>
      </c>
    </row>
    <row r="1164" spans="1:4" x14ac:dyDescent="0.15">
      <c r="A1164" s="7">
        <v>1158</v>
      </c>
      <c r="B1164" s="7">
        <v>2</v>
      </c>
      <c r="C1164">
        <f t="shared" si="39"/>
        <v>4.4062133811825943E-2</v>
      </c>
      <c r="D1164">
        <f t="shared" si="40"/>
        <v>-3.1221545090977791</v>
      </c>
    </row>
    <row r="1165" spans="1:4" x14ac:dyDescent="0.15">
      <c r="A1165" s="7">
        <v>1159</v>
      </c>
      <c r="B1165" s="7">
        <v>0</v>
      </c>
      <c r="C1165">
        <f t="shared" si="39"/>
        <v>0.75586055390364359</v>
      </c>
      <c r="D1165">
        <f t="shared" si="40"/>
        <v>-0.27989837232446807</v>
      </c>
    </row>
    <row r="1166" spans="1:4" x14ac:dyDescent="0.15">
      <c r="A1166" s="7">
        <v>1160</v>
      </c>
      <c r="B1166" s="7">
        <v>0</v>
      </c>
      <c r="C1166">
        <f t="shared" si="39"/>
        <v>0.75586055390364359</v>
      </c>
      <c r="D1166">
        <f t="shared" si="40"/>
        <v>-0.27989837232446807</v>
      </c>
    </row>
    <row r="1167" spans="1:4" x14ac:dyDescent="0.15">
      <c r="A1167" s="7">
        <v>1161</v>
      </c>
      <c r="B1167" s="7">
        <v>1</v>
      </c>
      <c r="C1167">
        <f t="shared" si="39"/>
        <v>8.8678581416840763E-2</v>
      </c>
      <c r="D1167">
        <f t="shared" si="40"/>
        <v>-2.4227368910146492</v>
      </c>
    </row>
    <row r="1168" spans="1:4" x14ac:dyDescent="0.15">
      <c r="A1168" s="7">
        <v>1162</v>
      </c>
      <c r="B1168" s="7">
        <v>1</v>
      </c>
      <c r="C1168">
        <f t="shared" si="39"/>
        <v>8.8678581416840763E-2</v>
      </c>
      <c r="D1168">
        <f t="shared" si="40"/>
        <v>-2.4227368910146492</v>
      </c>
    </row>
    <row r="1169" spans="1:4" x14ac:dyDescent="0.15">
      <c r="A1169" s="7">
        <v>1163</v>
      </c>
      <c r="B1169" s="7">
        <v>0</v>
      </c>
      <c r="C1169">
        <f t="shared" si="39"/>
        <v>0.75586055390364359</v>
      </c>
      <c r="D1169">
        <f t="shared" si="40"/>
        <v>-0.27989837232446807</v>
      </c>
    </row>
    <row r="1170" spans="1:4" x14ac:dyDescent="0.15">
      <c r="A1170" s="7">
        <v>1164</v>
      </c>
      <c r="B1170" s="7">
        <v>0</v>
      </c>
      <c r="C1170">
        <f t="shared" si="39"/>
        <v>0.75586055390364359</v>
      </c>
      <c r="D1170">
        <f t="shared" si="40"/>
        <v>-0.27989837232446807</v>
      </c>
    </row>
    <row r="1171" spans="1:4" x14ac:dyDescent="0.15">
      <c r="A1171" s="7">
        <v>1165</v>
      </c>
      <c r="B1171" s="7">
        <v>0</v>
      </c>
      <c r="C1171">
        <f t="shared" si="39"/>
        <v>0.75586055390364359</v>
      </c>
      <c r="D1171">
        <f t="shared" si="40"/>
        <v>-0.27989837232446807</v>
      </c>
    </row>
    <row r="1172" spans="1:4" x14ac:dyDescent="0.15">
      <c r="A1172" s="7">
        <v>1166</v>
      </c>
      <c r="B1172" s="7">
        <v>0</v>
      </c>
      <c r="C1172">
        <f t="shared" si="39"/>
        <v>0.75586055390364359</v>
      </c>
      <c r="D1172">
        <f t="shared" si="40"/>
        <v>-0.27989837232446807</v>
      </c>
    </row>
    <row r="1173" spans="1:4" x14ac:dyDescent="0.15">
      <c r="A1173" s="7">
        <v>1167</v>
      </c>
      <c r="B1173" s="7">
        <v>0</v>
      </c>
      <c r="C1173">
        <f t="shared" si="39"/>
        <v>0.75586055390364359</v>
      </c>
      <c r="D1173">
        <f t="shared" si="40"/>
        <v>-0.27989837232446807</v>
      </c>
    </row>
    <row r="1174" spans="1:4" x14ac:dyDescent="0.15">
      <c r="A1174" s="7">
        <v>1168</v>
      </c>
      <c r="B1174" s="7">
        <v>3</v>
      </c>
      <c r="C1174">
        <f t="shared" si="39"/>
        <v>2.7467996558433502E-2</v>
      </c>
      <c r="D1174">
        <f t="shared" si="40"/>
        <v>-3.594733713517384</v>
      </c>
    </row>
    <row r="1175" spans="1:4" x14ac:dyDescent="0.15">
      <c r="A1175" s="7">
        <v>1169</v>
      </c>
      <c r="B1175" s="7">
        <v>0</v>
      </c>
      <c r="C1175">
        <f t="shared" si="39"/>
        <v>0.75586055390364359</v>
      </c>
      <c r="D1175">
        <f t="shared" si="40"/>
        <v>-0.27989837232446807</v>
      </c>
    </row>
    <row r="1176" spans="1:4" x14ac:dyDescent="0.15">
      <c r="A1176" s="7">
        <v>1170</v>
      </c>
      <c r="B1176" s="7">
        <v>27</v>
      </c>
      <c r="C1176">
        <f t="shared" si="39"/>
        <v>1.759076726402281E-4</v>
      </c>
      <c r="D1176">
        <f t="shared" si="40"/>
        <v>-8.6455512878415952</v>
      </c>
    </row>
    <row r="1177" spans="1:4" x14ac:dyDescent="0.15">
      <c r="A1177" s="7">
        <v>1171</v>
      </c>
      <c r="B1177" s="7">
        <v>4</v>
      </c>
      <c r="C1177">
        <f t="shared" si="39"/>
        <v>1.8860933071470173E-2</v>
      </c>
      <c r="D1177">
        <f t="shared" si="40"/>
        <v>-3.9706625294337847</v>
      </c>
    </row>
    <row r="1178" spans="1:4" x14ac:dyDescent="0.15">
      <c r="A1178" s="7">
        <v>1172</v>
      </c>
      <c r="B1178" s="7">
        <v>2</v>
      </c>
      <c r="C1178">
        <f t="shared" si="39"/>
        <v>4.4062133811825943E-2</v>
      </c>
      <c r="D1178">
        <f t="shared" si="40"/>
        <v>-3.1221545090977791</v>
      </c>
    </row>
    <row r="1179" spans="1:4" x14ac:dyDescent="0.15">
      <c r="A1179" s="7">
        <v>1173</v>
      </c>
      <c r="B1179" s="7">
        <v>2</v>
      </c>
      <c r="C1179">
        <f t="shared" si="39"/>
        <v>4.4062133811825943E-2</v>
      </c>
      <c r="D1179">
        <f t="shared" si="40"/>
        <v>-3.1221545090977791</v>
      </c>
    </row>
    <row r="1180" spans="1:4" x14ac:dyDescent="0.15">
      <c r="A1180" s="7">
        <v>1174</v>
      </c>
      <c r="B1180" s="7">
        <v>0</v>
      </c>
      <c r="C1180">
        <f t="shared" si="39"/>
        <v>0.75586055390364359</v>
      </c>
      <c r="D1180">
        <f t="shared" si="40"/>
        <v>-0.27989837232446807</v>
      </c>
    </row>
    <row r="1181" spans="1:4" x14ac:dyDescent="0.15">
      <c r="A1181" s="7">
        <v>1175</v>
      </c>
      <c r="B1181" s="7">
        <v>0</v>
      </c>
      <c r="C1181">
        <f t="shared" si="39"/>
        <v>0.75586055390364359</v>
      </c>
      <c r="D1181">
        <f t="shared" si="40"/>
        <v>-0.27989837232446807</v>
      </c>
    </row>
    <row r="1182" spans="1:4" x14ac:dyDescent="0.15">
      <c r="A1182" s="7">
        <v>1176</v>
      </c>
      <c r="B1182" s="7">
        <v>1</v>
      </c>
      <c r="C1182">
        <f t="shared" si="39"/>
        <v>8.8678581416840763E-2</v>
      </c>
      <c r="D1182">
        <f t="shared" si="40"/>
        <v>-2.4227368910146492</v>
      </c>
    </row>
    <row r="1183" spans="1:4" x14ac:dyDescent="0.15">
      <c r="A1183" s="7">
        <v>1177</v>
      </c>
      <c r="B1183" s="7">
        <v>0</v>
      </c>
      <c r="C1183">
        <f t="shared" si="39"/>
        <v>0.75586055390364359</v>
      </c>
      <c r="D1183">
        <f t="shared" si="40"/>
        <v>-0.27989837232446807</v>
      </c>
    </row>
    <row r="1184" spans="1:4" x14ac:dyDescent="0.15">
      <c r="A1184" s="7">
        <v>1178</v>
      </c>
      <c r="B1184" s="7">
        <v>0</v>
      </c>
      <c r="C1184">
        <f t="shared" si="39"/>
        <v>0.75586055390364359</v>
      </c>
      <c r="D1184">
        <f t="shared" si="40"/>
        <v>-0.27989837232446807</v>
      </c>
    </row>
    <row r="1185" spans="1:4" x14ac:dyDescent="0.15">
      <c r="A1185" s="7">
        <v>1179</v>
      </c>
      <c r="B1185" s="7">
        <v>0</v>
      </c>
      <c r="C1185">
        <f t="shared" si="39"/>
        <v>0.75586055390364359</v>
      </c>
      <c r="D1185">
        <f t="shared" si="40"/>
        <v>-0.27989837232446807</v>
      </c>
    </row>
    <row r="1186" spans="1:4" x14ac:dyDescent="0.15">
      <c r="A1186" s="7">
        <v>1180</v>
      </c>
      <c r="B1186" s="7">
        <v>0</v>
      </c>
      <c r="C1186">
        <f t="shared" si="39"/>
        <v>0.75586055390364359</v>
      </c>
      <c r="D1186">
        <f t="shared" si="40"/>
        <v>-0.27989837232446807</v>
      </c>
    </row>
    <row r="1187" spans="1:4" x14ac:dyDescent="0.15">
      <c r="A1187" s="7">
        <v>1181</v>
      </c>
      <c r="B1187" s="7">
        <v>0</v>
      </c>
      <c r="C1187">
        <f t="shared" si="39"/>
        <v>0.75586055390364359</v>
      </c>
      <c r="D1187">
        <f t="shared" si="40"/>
        <v>-0.27989837232446807</v>
      </c>
    </row>
    <row r="1188" spans="1:4" x14ac:dyDescent="0.15">
      <c r="A1188" s="7">
        <v>1182</v>
      </c>
      <c r="B1188" s="7">
        <v>0</v>
      </c>
      <c r="C1188">
        <f t="shared" si="39"/>
        <v>0.75586055390364359</v>
      </c>
      <c r="D1188">
        <f t="shared" si="40"/>
        <v>-0.27989837232446807</v>
      </c>
    </row>
    <row r="1189" spans="1:4" x14ac:dyDescent="0.15">
      <c r="A1189" s="7">
        <v>1183</v>
      </c>
      <c r="B1189" s="7">
        <v>0</v>
      </c>
      <c r="C1189">
        <f t="shared" si="39"/>
        <v>0.75586055390364359</v>
      </c>
      <c r="D1189">
        <f t="shared" si="40"/>
        <v>-0.27989837232446807</v>
      </c>
    </row>
    <row r="1190" spans="1:4" x14ac:dyDescent="0.15">
      <c r="A1190" s="7">
        <v>1184</v>
      </c>
      <c r="B1190" s="7">
        <v>0</v>
      </c>
      <c r="C1190">
        <f t="shared" si="39"/>
        <v>0.75586055390364359</v>
      </c>
      <c r="D1190">
        <f t="shared" si="40"/>
        <v>-0.27989837232446807</v>
      </c>
    </row>
    <row r="1191" spans="1:4" x14ac:dyDescent="0.15">
      <c r="A1191" s="7">
        <v>1185</v>
      </c>
      <c r="B1191" s="7">
        <v>0</v>
      </c>
      <c r="C1191">
        <f t="shared" si="39"/>
        <v>0.75586055390364359</v>
      </c>
      <c r="D1191">
        <f t="shared" si="40"/>
        <v>-0.27989837232446807</v>
      </c>
    </row>
    <row r="1192" spans="1:4" x14ac:dyDescent="0.15">
      <c r="A1192" s="7">
        <v>1186</v>
      </c>
      <c r="B1192" s="7">
        <v>0</v>
      </c>
      <c r="C1192">
        <f t="shared" si="39"/>
        <v>0.75586055390364359</v>
      </c>
      <c r="D1192">
        <f t="shared" si="40"/>
        <v>-0.27989837232446807</v>
      </c>
    </row>
    <row r="1193" spans="1:4" x14ac:dyDescent="0.15">
      <c r="A1193" s="7">
        <v>1187</v>
      </c>
      <c r="B1193" s="7">
        <v>0</v>
      </c>
      <c r="C1193">
        <f t="shared" si="39"/>
        <v>0.75586055390364359</v>
      </c>
      <c r="D1193">
        <f t="shared" si="40"/>
        <v>-0.27989837232446807</v>
      </c>
    </row>
    <row r="1194" spans="1:4" x14ac:dyDescent="0.15">
      <c r="A1194" s="7">
        <v>1188</v>
      </c>
      <c r="B1194" s="7">
        <v>1</v>
      </c>
      <c r="C1194">
        <f t="shared" si="39"/>
        <v>8.8678581416840763E-2</v>
      </c>
      <c r="D1194">
        <f t="shared" si="40"/>
        <v>-2.4227368910146492</v>
      </c>
    </row>
    <row r="1195" spans="1:4" x14ac:dyDescent="0.15">
      <c r="A1195" s="7">
        <v>1189</v>
      </c>
      <c r="B1195" s="7">
        <v>0</v>
      </c>
      <c r="C1195">
        <f t="shared" si="39"/>
        <v>0.75586055390364359</v>
      </c>
      <c r="D1195">
        <f t="shared" si="40"/>
        <v>-0.27989837232446807</v>
      </c>
    </row>
    <row r="1196" spans="1:4" x14ac:dyDescent="0.15">
      <c r="A1196" s="7">
        <v>1190</v>
      </c>
      <c r="B1196" s="7">
        <v>6</v>
      </c>
      <c r="C1196">
        <f t="shared" si="39"/>
        <v>1.0248837632111705E-2</v>
      </c>
      <c r="D1196">
        <f t="shared" si="40"/>
        <v>-4.5805909815733834</v>
      </c>
    </row>
    <row r="1197" spans="1:4" x14ac:dyDescent="0.15">
      <c r="A1197" s="7">
        <v>1191</v>
      </c>
      <c r="B1197" s="7">
        <v>0</v>
      </c>
      <c r="C1197">
        <f t="shared" si="39"/>
        <v>0.75586055390364359</v>
      </c>
      <c r="D1197">
        <f t="shared" si="40"/>
        <v>-0.27989837232446807</v>
      </c>
    </row>
    <row r="1198" spans="1:4" x14ac:dyDescent="0.15">
      <c r="A1198" s="7">
        <v>1192</v>
      </c>
      <c r="B1198" s="7">
        <v>1</v>
      </c>
      <c r="C1198">
        <f t="shared" si="39"/>
        <v>8.8678581416840763E-2</v>
      </c>
      <c r="D1198">
        <f t="shared" si="40"/>
        <v>-2.4227368910146492</v>
      </c>
    </row>
    <row r="1199" spans="1:4" x14ac:dyDescent="0.15">
      <c r="A1199" s="7">
        <v>1193</v>
      </c>
      <c r="B1199" s="7">
        <v>0</v>
      </c>
      <c r="C1199">
        <f t="shared" si="39"/>
        <v>0.75586055390364359</v>
      </c>
      <c r="D1199">
        <f t="shared" si="40"/>
        <v>-0.27989837232446807</v>
      </c>
    </row>
    <row r="1200" spans="1:4" x14ac:dyDescent="0.15">
      <c r="A1200" s="7">
        <v>1194</v>
      </c>
      <c r="B1200" s="7">
        <v>0</v>
      </c>
      <c r="C1200">
        <f t="shared" si="39"/>
        <v>0.75586055390364359</v>
      </c>
      <c r="D1200">
        <f t="shared" si="40"/>
        <v>-0.27989837232446807</v>
      </c>
    </row>
    <row r="1201" spans="1:4" x14ac:dyDescent="0.15">
      <c r="A1201" s="7">
        <v>1195</v>
      </c>
      <c r="B1201" s="7">
        <v>0</v>
      </c>
      <c r="C1201">
        <f t="shared" si="39"/>
        <v>0.75586055390364359</v>
      </c>
      <c r="D1201">
        <f t="shared" si="40"/>
        <v>-0.27989837232446807</v>
      </c>
    </row>
    <row r="1202" spans="1:4" x14ac:dyDescent="0.15">
      <c r="A1202" s="7">
        <v>1196</v>
      </c>
      <c r="B1202" s="7">
        <v>0</v>
      </c>
      <c r="C1202">
        <f t="shared" si="39"/>
        <v>0.75586055390364359</v>
      </c>
      <c r="D1202">
        <f t="shared" si="40"/>
        <v>-0.27989837232446807</v>
      </c>
    </row>
    <row r="1203" spans="1:4" x14ac:dyDescent="0.15">
      <c r="A1203" s="7">
        <v>1197</v>
      </c>
      <c r="B1203" s="7">
        <v>0</v>
      </c>
      <c r="C1203">
        <f t="shared" si="39"/>
        <v>0.75586055390364359</v>
      </c>
      <c r="D1203">
        <f t="shared" si="40"/>
        <v>-0.27989837232446807</v>
      </c>
    </row>
    <row r="1204" spans="1:4" x14ac:dyDescent="0.15">
      <c r="A1204" s="7">
        <v>1198</v>
      </c>
      <c r="B1204" s="7">
        <v>0</v>
      </c>
      <c r="C1204">
        <f t="shared" si="39"/>
        <v>0.75586055390364359</v>
      </c>
      <c r="D1204">
        <f t="shared" si="40"/>
        <v>-0.27989837232446807</v>
      </c>
    </row>
    <row r="1205" spans="1:4" x14ac:dyDescent="0.15">
      <c r="A1205" s="7">
        <v>1199</v>
      </c>
      <c r="B1205" s="7">
        <v>1</v>
      </c>
      <c r="C1205">
        <f t="shared" si="39"/>
        <v>8.8678581416840763E-2</v>
      </c>
      <c r="D1205">
        <f t="shared" si="40"/>
        <v>-2.4227368910146492</v>
      </c>
    </row>
    <row r="1206" spans="1:4" x14ac:dyDescent="0.15">
      <c r="A1206" s="7">
        <v>1200</v>
      </c>
      <c r="B1206" s="7">
        <v>0</v>
      </c>
      <c r="C1206">
        <f t="shared" si="39"/>
        <v>0.75586055390364359</v>
      </c>
      <c r="D1206">
        <f t="shared" si="40"/>
        <v>-0.27989837232446807</v>
      </c>
    </row>
    <row r="1207" spans="1:4" x14ac:dyDescent="0.15">
      <c r="A1207" s="7">
        <v>1201</v>
      </c>
      <c r="B1207" s="7">
        <v>0</v>
      </c>
      <c r="C1207">
        <f t="shared" si="39"/>
        <v>0.75586055390364359</v>
      </c>
      <c r="D1207">
        <f t="shared" si="40"/>
        <v>-0.27989837232446807</v>
      </c>
    </row>
    <row r="1208" spans="1:4" x14ac:dyDescent="0.15">
      <c r="A1208" s="7">
        <v>1202</v>
      </c>
      <c r="B1208" s="7">
        <v>0</v>
      </c>
      <c r="C1208">
        <f t="shared" si="39"/>
        <v>0.75586055390364359</v>
      </c>
      <c r="D1208">
        <f t="shared" si="40"/>
        <v>-0.27989837232446807</v>
      </c>
    </row>
    <row r="1209" spans="1:4" x14ac:dyDescent="0.15">
      <c r="A1209" s="7">
        <v>1203</v>
      </c>
      <c r="B1209" s="7">
        <v>0</v>
      </c>
      <c r="C1209">
        <f t="shared" si="39"/>
        <v>0.75586055390364359</v>
      </c>
      <c r="D1209">
        <f t="shared" si="40"/>
        <v>-0.27989837232446807</v>
      </c>
    </row>
    <row r="1210" spans="1:4" x14ac:dyDescent="0.15">
      <c r="A1210" s="7">
        <v>1204</v>
      </c>
      <c r="B1210" s="7">
        <v>2</v>
      </c>
      <c r="C1210">
        <f t="shared" si="39"/>
        <v>4.4062133811825943E-2</v>
      </c>
      <c r="D1210">
        <f t="shared" si="40"/>
        <v>-3.1221545090977791</v>
      </c>
    </row>
    <row r="1211" spans="1:4" x14ac:dyDescent="0.15">
      <c r="A1211" s="7">
        <v>1205</v>
      </c>
      <c r="B1211" s="7">
        <v>0</v>
      </c>
      <c r="C1211">
        <f t="shared" si="39"/>
        <v>0.75586055390364359</v>
      </c>
      <c r="D1211">
        <f t="shared" si="40"/>
        <v>-0.27989837232446807</v>
      </c>
    </row>
    <row r="1212" spans="1:4" x14ac:dyDescent="0.15">
      <c r="A1212" s="7">
        <v>1206</v>
      </c>
      <c r="B1212" s="7">
        <v>0</v>
      </c>
      <c r="C1212">
        <f t="shared" si="39"/>
        <v>0.75586055390364359</v>
      </c>
      <c r="D1212">
        <f t="shared" si="40"/>
        <v>-0.27989837232446807</v>
      </c>
    </row>
    <row r="1213" spans="1:4" x14ac:dyDescent="0.15">
      <c r="A1213" s="7">
        <v>1207</v>
      </c>
      <c r="B1213" s="7">
        <v>0</v>
      </c>
      <c r="C1213">
        <f t="shared" si="39"/>
        <v>0.75586055390364359</v>
      </c>
      <c r="D1213">
        <f t="shared" si="40"/>
        <v>-0.27989837232446807</v>
      </c>
    </row>
    <row r="1214" spans="1:4" x14ac:dyDescent="0.15">
      <c r="A1214" s="7">
        <v>1208</v>
      </c>
      <c r="B1214" s="7">
        <v>0</v>
      </c>
      <c r="C1214">
        <f t="shared" si="39"/>
        <v>0.75586055390364359</v>
      </c>
      <c r="D1214">
        <f t="shared" si="40"/>
        <v>-0.27989837232446807</v>
      </c>
    </row>
    <row r="1215" spans="1:4" x14ac:dyDescent="0.15">
      <c r="A1215" s="7">
        <v>1209</v>
      </c>
      <c r="B1215" s="7">
        <v>0</v>
      </c>
      <c r="C1215">
        <f t="shared" si="39"/>
        <v>0.75586055390364359</v>
      </c>
      <c r="D1215">
        <f t="shared" si="40"/>
        <v>-0.27989837232446807</v>
      </c>
    </row>
    <row r="1216" spans="1:4" x14ac:dyDescent="0.15">
      <c r="A1216" s="7">
        <v>1210</v>
      </c>
      <c r="B1216" s="7">
        <v>1</v>
      </c>
      <c r="C1216">
        <f t="shared" si="39"/>
        <v>8.8678581416840763E-2</v>
      </c>
      <c r="D1216">
        <f t="shared" si="40"/>
        <v>-2.4227368910146492</v>
      </c>
    </row>
    <row r="1217" spans="1:4" x14ac:dyDescent="0.15">
      <c r="A1217" s="7">
        <v>1211</v>
      </c>
      <c r="B1217" s="7">
        <v>1</v>
      </c>
      <c r="C1217">
        <f t="shared" si="39"/>
        <v>8.8678581416840763E-2</v>
      </c>
      <c r="D1217">
        <f t="shared" si="40"/>
        <v>-2.4227368910146492</v>
      </c>
    </row>
    <row r="1218" spans="1:4" x14ac:dyDescent="0.15">
      <c r="A1218" s="7">
        <v>1212</v>
      </c>
      <c r="B1218" s="7">
        <v>0</v>
      </c>
      <c r="C1218">
        <f t="shared" si="39"/>
        <v>0.75586055390364359</v>
      </c>
      <c r="D1218">
        <f t="shared" si="40"/>
        <v>-0.27989837232446807</v>
      </c>
    </row>
    <row r="1219" spans="1:4" x14ac:dyDescent="0.15">
      <c r="A1219" s="7">
        <v>1213</v>
      </c>
      <c r="B1219" s="7">
        <v>1</v>
      </c>
      <c r="C1219">
        <f t="shared" si="39"/>
        <v>8.8678581416840763E-2</v>
      </c>
      <c r="D1219">
        <f t="shared" si="40"/>
        <v>-2.4227368910146492</v>
      </c>
    </row>
    <row r="1220" spans="1:4" x14ac:dyDescent="0.15">
      <c r="A1220" s="7">
        <v>1214</v>
      </c>
      <c r="B1220" s="7">
        <v>0</v>
      </c>
      <c r="C1220">
        <f t="shared" si="39"/>
        <v>0.75586055390364359</v>
      </c>
      <c r="D1220">
        <f t="shared" si="40"/>
        <v>-0.27989837232446807</v>
      </c>
    </row>
    <row r="1221" spans="1:4" x14ac:dyDescent="0.15">
      <c r="A1221" s="7">
        <v>1215</v>
      </c>
      <c r="B1221" s="7">
        <v>0</v>
      </c>
      <c r="C1221">
        <f t="shared" si="39"/>
        <v>0.75586055390364359</v>
      </c>
      <c r="D1221">
        <f t="shared" si="40"/>
        <v>-0.27989837232446807</v>
      </c>
    </row>
    <row r="1222" spans="1:4" x14ac:dyDescent="0.15">
      <c r="A1222" s="7">
        <v>1216</v>
      </c>
      <c r="B1222" s="7">
        <v>0</v>
      </c>
      <c r="C1222">
        <f t="shared" si="39"/>
        <v>0.75586055390364359</v>
      </c>
      <c r="D1222">
        <f t="shared" si="40"/>
        <v>-0.27989837232446807</v>
      </c>
    </row>
    <row r="1223" spans="1:4" x14ac:dyDescent="0.15">
      <c r="A1223" s="7">
        <v>1217</v>
      </c>
      <c r="B1223" s="7">
        <v>0</v>
      </c>
      <c r="C1223">
        <f t="shared" si="39"/>
        <v>0.75586055390364359</v>
      </c>
      <c r="D1223">
        <f t="shared" si="40"/>
        <v>-0.27989837232446807</v>
      </c>
    </row>
    <row r="1224" spans="1:4" x14ac:dyDescent="0.15">
      <c r="A1224" s="7">
        <v>1218</v>
      </c>
      <c r="B1224" s="7">
        <v>0</v>
      </c>
      <c r="C1224">
        <f t="shared" ref="C1224:C1287" si="41">(_xlfn.GAMMA($B$1+B1224)/(_xlfn.GAMMA($B$1)*FACT(B1224))) * ($B$2/($B$2+$B$4))^$B$1 * (1/($B$2 +$B$4))^B1224</f>
        <v>0.75586055390364359</v>
      </c>
      <c r="D1224">
        <f t="shared" ref="D1224:D1287" si="42">LN(C1224)</f>
        <v>-0.27989837232446807</v>
      </c>
    </row>
    <row r="1225" spans="1:4" x14ac:dyDescent="0.15">
      <c r="A1225" s="7">
        <v>1219</v>
      </c>
      <c r="B1225" s="7">
        <v>0</v>
      </c>
      <c r="C1225">
        <f t="shared" si="41"/>
        <v>0.75586055390364359</v>
      </c>
      <c r="D1225">
        <f t="shared" si="42"/>
        <v>-0.27989837232446807</v>
      </c>
    </row>
    <row r="1226" spans="1:4" x14ac:dyDescent="0.15">
      <c r="A1226" s="7">
        <v>1220</v>
      </c>
      <c r="B1226" s="7">
        <v>0</v>
      </c>
      <c r="C1226">
        <f t="shared" si="41"/>
        <v>0.75586055390364359</v>
      </c>
      <c r="D1226">
        <f t="shared" si="42"/>
        <v>-0.27989837232446807</v>
      </c>
    </row>
    <row r="1227" spans="1:4" x14ac:dyDescent="0.15">
      <c r="A1227" s="7">
        <v>1221</v>
      </c>
      <c r="B1227" s="7">
        <v>0</v>
      </c>
      <c r="C1227">
        <f t="shared" si="41"/>
        <v>0.75586055390364359</v>
      </c>
      <c r="D1227">
        <f t="shared" si="42"/>
        <v>-0.27989837232446807</v>
      </c>
    </row>
    <row r="1228" spans="1:4" x14ac:dyDescent="0.15">
      <c r="A1228" s="7">
        <v>1222</v>
      </c>
      <c r="B1228" s="7">
        <v>2</v>
      </c>
      <c r="C1228">
        <f t="shared" si="41"/>
        <v>4.4062133811825943E-2</v>
      </c>
      <c r="D1228">
        <f t="shared" si="42"/>
        <v>-3.1221545090977791</v>
      </c>
    </row>
    <row r="1229" spans="1:4" x14ac:dyDescent="0.15">
      <c r="A1229" s="7">
        <v>1223</v>
      </c>
      <c r="B1229" s="7">
        <v>0</v>
      </c>
      <c r="C1229">
        <f t="shared" si="41"/>
        <v>0.75586055390364359</v>
      </c>
      <c r="D1229">
        <f t="shared" si="42"/>
        <v>-0.27989837232446807</v>
      </c>
    </row>
    <row r="1230" spans="1:4" x14ac:dyDescent="0.15">
      <c r="A1230" s="7">
        <v>1224</v>
      </c>
      <c r="B1230" s="7">
        <v>0</v>
      </c>
      <c r="C1230">
        <f t="shared" si="41"/>
        <v>0.75586055390364359</v>
      </c>
      <c r="D1230">
        <f t="shared" si="42"/>
        <v>-0.27989837232446807</v>
      </c>
    </row>
    <row r="1231" spans="1:4" x14ac:dyDescent="0.15">
      <c r="A1231" s="7">
        <v>1225</v>
      </c>
      <c r="B1231" s="7">
        <v>0</v>
      </c>
      <c r="C1231">
        <f t="shared" si="41"/>
        <v>0.75586055390364359</v>
      </c>
      <c r="D1231">
        <f t="shared" si="42"/>
        <v>-0.27989837232446807</v>
      </c>
    </row>
    <row r="1232" spans="1:4" x14ac:dyDescent="0.15">
      <c r="A1232" s="7">
        <v>1226</v>
      </c>
      <c r="B1232" s="7">
        <v>0</v>
      </c>
      <c r="C1232">
        <f t="shared" si="41"/>
        <v>0.75586055390364359</v>
      </c>
      <c r="D1232">
        <f t="shared" si="42"/>
        <v>-0.27989837232446807</v>
      </c>
    </row>
    <row r="1233" spans="1:4" x14ac:dyDescent="0.15">
      <c r="A1233" s="7">
        <v>1227</v>
      </c>
      <c r="B1233" s="7">
        <v>0</v>
      </c>
      <c r="C1233">
        <f t="shared" si="41"/>
        <v>0.75586055390364359</v>
      </c>
      <c r="D1233">
        <f t="shared" si="42"/>
        <v>-0.27989837232446807</v>
      </c>
    </row>
    <row r="1234" spans="1:4" x14ac:dyDescent="0.15">
      <c r="A1234" s="7">
        <v>1228</v>
      </c>
      <c r="B1234" s="7">
        <v>0</v>
      </c>
      <c r="C1234">
        <f t="shared" si="41"/>
        <v>0.75586055390364359</v>
      </c>
      <c r="D1234">
        <f t="shared" si="42"/>
        <v>-0.27989837232446807</v>
      </c>
    </row>
    <row r="1235" spans="1:4" x14ac:dyDescent="0.15">
      <c r="A1235" s="7">
        <v>1229</v>
      </c>
      <c r="B1235" s="7">
        <v>1</v>
      </c>
      <c r="C1235">
        <f t="shared" si="41"/>
        <v>8.8678581416840763E-2</v>
      </c>
      <c r="D1235">
        <f t="shared" si="42"/>
        <v>-2.4227368910146492</v>
      </c>
    </row>
    <row r="1236" spans="1:4" x14ac:dyDescent="0.15">
      <c r="A1236" s="7">
        <v>1230</v>
      </c>
      <c r="B1236" s="7">
        <v>16</v>
      </c>
      <c r="C1236">
        <f t="shared" si="41"/>
        <v>1.1791864661569508E-3</v>
      </c>
      <c r="D1236">
        <f t="shared" si="42"/>
        <v>-6.7429305137346924</v>
      </c>
    </row>
    <row r="1237" spans="1:4" x14ac:dyDescent="0.15">
      <c r="A1237" s="7">
        <v>1231</v>
      </c>
      <c r="B1237" s="7">
        <v>3</v>
      </c>
      <c r="C1237">
        <f t="shared" si="41"/>
        <v>2.7467996558433502E-2</v>
      </c>
      <c r="D1237">
        <f t="shared" si="42"/>
        <v>-3.594733713517384</v>
      </c>
    </row>
    <row r="1238" spans="1:4" x14ac:dyDescent="0.15">
      <c r="A1238" s="7">
        <v>1232</v>
      </c>
      <c r="B1238" s="7">
        <v>0</v>
      </c>
      <c r="C1238">
        <f t="shared" si="41"/>
        <v>0.75586055390364359</v>
      </c>
      <c r="D1238">
        <f t="shared" si="42"/>
        <v>-0.27989837232446807</v>
      </c>
    </row>
    <row r="1239" spans="1:4" x14ac:dyDescent="0.15">
      <c r="A1239" s="7">
        <v>1233</v>
      </c>
      <c r="B1239" s="7">
        <v>0</v>
      </c>
      <c r="C1239">
        <f t="shared" si="41"/>
        <v>0.75586055390364359</v>
      </c>
      <c r="D1239">
        <f t="shared" si="42"/>
        <v>-0.27989837232446807</v>
      </c>
    </row>
    <row r="1240" spans="1:4" x14ac:dyDescent="0.15">
      <c r="A1240" s="7">
        <v>1234</v>
      </c>
      <c r="B1240" s="7">
        <v>0</v>
      </c>
      <c r="C1240">
        <f t="shared" si="41"/>
        <v>0.75586055390364359</v>
      </c>
      <c r="D1240">
        <f t="shared" si="42"/>
        <v>-0.27989837232446807</v>
      </c>
    </row>
    <row r="1241" spans="1:4" x14ac:dyDescent="0.15">
      <c r="A1241" s="7">
        <v>1235</v>
      </c>
      <c r="B1241" s="7">
        <v>9</v>
      </c>
      <c r="C1241">
        <f t="shared" si="41"/>
        <v>4.8724597930648464E-3</v>
      </c>
      <c r="D1241">
        <f t="shared" si="42"/>
        <v>-5.3241563784247425</v>
      </c>
    </row>
    <row r="1242" spans="1:4" x14ac:dyDescent="0.15">
      <c r="A1242" s="7">
        <v>1236</v>
      </c>
      <c r="B1242" s="7">
        <v>0</v>
      </c>
      <c r="C1242">
        <f t="shared" si="41"/>
        <v>0.75586055390364359</v>
      </c>
      <c r="D1242">
        <f t="shared" si="42"/>
        <v>-0.27989837232446807</v>
      </c>
    </row>
    <row r="1243" spans="1:4" x14ac:dyDescent="0.15">
      <c r="A1243" s="7">
        <v>1237</v>
      </c>
      <c r="B1243" s="7">
        <v>0</v>
      </c>
      <c r="C1243">
        <f t="shared" si="41"/>
        <v>0.75586055390364359</v>
      </c>
      <c r="D1243">
        <f t="shared" si="42"/>
        <v>-0.27989837232446807</v>
      </c>
    </row>
    <row r="1244" spans="1:4" x14ac:dyDescent="0.15">
      <c r="A1244" s="7">
        <v>1238</v>
      </c>
      <c r="B1244" s="7">
        <v>0</v>
      </c>
      <c r="C1244">
        <f t="shared" si="41"/>
        <v>0.75586055390364359</v>
      </c>
      <c r="D1244">
        <f t="shared" si="42"/>
        <v>-0.27989837232446807</v>
      </c>
    </row>
    <row r="1245" spans="1:4" x14ac:dyDescent="0.15">
      <c r="A1245" s="7">
        <v>1239</v>
      </c>
      <c r="B1245" s="7">
        <v>0</v>
      </c>
      <c r="C1245">
        <f t="shared" si="41"/>
        <v>0.75586055390364359</v>
      </c>
      <c r="D1245">
        <f t="shared" si="42"/>
        <v>-0.27989837232446807</v>
      </c>
    </row>
    <row r="1246" spans="1:4" x14ac:dyDescent="0.15">
      <c r="A1246" s="7">
        <v>1240</v>
      </c>
      <c r="B1246" s="7">
        <v>2</v>
      </c>
      <c r="C1246">
        <f t="shared" si="41"/>
        <v>4.4062133811825943E-2</v>
      </c>
      <c r="D1246">
        <f t="shared" si="42"/>
        <v>-3.1221545090977791</v>
      </c>
    </row>
    <row r="1247" spans="1:4" x14ac:dyDescent="0.15">
      <c r="A1247" s="7">
        <v>1241</v>
      </c>
      <c r="B1247" s="7">
        <v>2</v>
      </c>
      <c r="C1247">
        <f t="shared" si="41"/>
        <v>4.4062133811825943E-2</v>
      </c>
      <c r="D1247">
        <f t="shared" si="42"/>
        <v>-3.1221545090977791</v>
      </c>
    </row>
    <row r="1248" spans="1:4" x14ac:dyDescent="0.15">
      <c r="A1248" s="7">
        <v>1242</v>
      </c>
      <c r="B1248" s="7">
        <v>0</v>
      </c>
      <c r="C1248">
        <f t="shared" si="41"/>
        <v>0.75586055390364359</v>
      </c>
      <c r="D1248">
        <f t="shared" si="42"/>
        <v>-0.27989837232446807</v>
      </c>
    </row>
    <row r="1249" spans="1:4" x14ac:dyDescent="0.15">
      <c r="A1249" s="7">
        <v>1243</v>
      </c>
      <c r="B1249" s="7">
        <v>0</v>
      </c>
      <c r="C1249">
        <f t="shared" si="41"/>
        <v>0.75586055390364359</v>
      </c>
      <c r="D1249">
        <f t="shared" si="42"/>
        <v>-0.27989837232446807</v>
      </c>
    </row>
    <row r="1250" spans="1:4" x14ac:dyDescent="0.15">
      <c r="A1250" s="7">
        <v>1244</v>
      </c>
      <c r="B1250" s="7">
        <v>0</v>
      </c>
      <c r="C1250">
        <f t="shared" si="41"/>
        <v>0.75586055390364359</v>
      </c>
      <c r="D1250">
        <f t="shared" si="42"/>
        <v>-0.27989837232446807</v>
      </c>
    </row>
    <row r="1251" spans="1:4" x14ac:dyDescent="0.15">
      <c r="A1251" s="7">
        <v>1245</v>
      </c>
      <c r="B1251" s="7">
        <v>0</v>
      </c>
      <c r="C1251">
        <f t="shared" si="41"/>
        <v>0.75586055390364359</v>
      </c>
      <c r="D1251">
        <f t="shared" si="42"/>
        <v>-0.27989837232446807</v>
      </c>
    </row>
    <row r="1252" spans="1:4" x14ac:dyDescent="0.15">
      <c r="A1252" s="7">
        <v>1246</v>
      </c>
      <c r="B1252" s="7">
        <v>2</v>
      </c>
      <c r="C1252">
        <f t="shared" si="41"/>
        <v>4.4062133811825943E-2</v>
      </c>
      <c r="D1252">
        <f t="shared" si="42"/>
        <v>-3.1221545090977791</v>
      </c>
    </row>
    <row r="1253" spans="1:4" x14ac:dyDescent="0.15">
      <c r="A1253" s="7">
        <v>1247</v>
      </c>
      <c r="B1253" s="7">
        <v>4</v>
      </c>
      <c r="C1253">
        <f t="shared" si="41"/>
        <v>1.8860933071470173E-2</v>
      </c>
      <c r="D1253">
        <f t="shared" si="42"/>
        <v>-3.9706625294337847</v>
      </c>
    </row>
    <row r="1254" spans="1:4" x14ac:dyDescent="0.15">
      <c r="A1254" s="7">
        <v>1248</v>
      </c>
      <c r="B1254" s="7">
        <v>0</v>
      </c>
      <c r="C1254">
        <f t="shared" si="41"/>
        <v>0.75586055390364359</v>
      </c>
      <c r="D1254">
        <f t="shared" si="42"/>
        <v>-0.27989837232446807</v>
      </c>
    </row>
    <row r="1255" spans="1:4" x14ac:dyDescent="0.15">
      <c r="A1255" s="7">
        <v>1249</v>
      </c>
      <c r="B1255" s="7">
        <v>0</v>
      </c>
      <c r="C1255">
        <f t="shared" si="41"/>
        <v>0.75586055390364359</v>
      </c>
      <c r="D1255">
        <f t="shared" si="42"/>
        <v>-0.27989837232446807</v>
      </c>
    </row>
    <row r="1256" spans="1:4" x14ac:dyDescent="0.15">
      <c r="A1256" s="7">
        <v>1250</v>
      </c>
      <c r="B1256" s="7">
        <v>0</v>
      </c>
      <c r="C1256">
        <f t="shared" si="41"/>
        <v>0.75586055390364359</v>
      </c>
      <c r="D1256">
        <f t="shared" si="42"/>
        <v>-0.27989837232446807</v>
      </c>
    </row>
    <row r="1257" spans="1:4" x14ac:dyDescent="0.15">
      <c r="A1257" s="7">
        <v>1251</v>
      </c>
      <c r="B1257" s="7">
        <v>0</v>
      </c>
      <c r="C1257">
        <f t="shared" si="41"/>
        <v>0.75586055390364359</v>
      </c>
      <c r="D1257">
        <f t="shared" si="42"/>
        <v>-0.27989837232446807</v>
      </c>
    </row>
    <row r="1258" spans="1:4" x14ac:dyDescent="0.15">
      <c r="A1258" s="7">
        <v>1252</v>
      </c>
      <c r="B1258" s="7">
        <v>0</v>
      </c>
      <c r="C1258">
        <f t="shared" si="41"/>
        <v>0.75586055390364359</v>
      </c>
      <c r="D1258">
        <f t="shared" si="42"/>
        <v>-0.27989837232446807</v>
      </c>
    </row>
    <row r="1259" spans="1:4" x14ac:dyDescent="0.15">
      <c r="A1259" s="7">
        <v>1253</v>
      </c>
      <c r="B1259" s="7">
        <v>3</v>
      </c>
      <c r="C1259">
        <f t="shared" si="41"/>
        <v>2.7467996558433502E-2</v>
      </c>
      <c r="D1259">
        <f t="shared" si="42"/>
        <v>-3.594733713517384</v>
      </c>
    </row>
    <row r="1260" spans="1:4" x14ac:dyDescent="0.15">
      <c r="A1260" s="7">
        <v>1254</v>
      </c>
      <c r="B1260" s="7">
        <v>0</v>
      </c>
      <c r="C1260">
        <f t="shared" si="41"/>
        <v>0.75586055390364359</v>
      </c>
      <c r="D1260">
        <f t="shared" si="42"/>
        <v>-0.27989837232446807</v>
      </c>
    </row>
    <row r="1261" spans="1:4" x14ac:dyDescent="0.15">
      <c r="A1261" s="7">
        <v>1255</v>
      </c>
      <c r="B1261" s="7">
        <v>0</v>
      </c>
      <c r="C1261">
        <f t="shared" si="41"/>
        <v>0.75586055390364359</v>
      </c>
      <c r="D1261">
        <f t="shared" si="42"/>
        <v>-0.27989837232446807</v>
      </c>
    </row>
    <row r="1262" spans="1:4" x14ac:dyDescent="0.15">
      <c r="A1262" s="7">
        <v>1256</v>
      </c>
      <c r="B1262" s="7">
        <v>0</v>
      </c>
      <c r="C1262">
        <f t="shared" si="41"/>
        <v>0.75586055390364359</v>
      </c>
      <c r="D1262">
        <f t="shared" si="42"/>
        <v>-0.27989837232446807</v>
      </c>
    </row>
    <row r="1263" spans="1:4" x14ac:dyDescent="0.15">
      <c r="A1263" s="7">
        <v>1257</v>
      </c>
      <c r="B1263" s="7">
        <v>0</v>
      </c>
      <c r="C1263">
        <f t="shared" si="41"/>
        <v>0.75586055390364359</v>
      </c>
      <c r="D1263">
        <f t="shared" si="42"/>
        <v>-0.27989837232446807</v>
      </c>
    </row>
    <row r="1264" spans="1:4" x14ac:dyDescent="0.15">
      <c r="A1264" s="7">
        <v>1258</v>
      </c>
      <c r="B1264" s="7">
        <v>0</v>
      </c>
      <c r="C1264">
        <f t="shared" si="41"/>
        <v>0.75586055390364359</v>
      </c>
      <c r="D1264">
        <f t="shared" si="42"/>
        <v>-0.27989837232446807</v>
      </c>
    </row>
    <row r="1265" spans="1:4" x14ac:dyDescent="0.15">
      <c r="A1265" s="7">
        <v>1259</v>
      </c>
      <c r="B1265" s="7">
        <v>0</v>
      </c>
      <c r="C1265">
        <f t="shared" si="41"/>
        <v>0.75586055390364359</v>
      </c>
      <c r="D1265">
        <f t="shared" si="42"/>
        <v>-0.27989837232446807</v>
      </c>
    </row>
    <row r="1266" spans="1:4" x14ac:dyDescent="0.15">
      <c r="A1266" s="7">
        <v>1260</v>
      </c>
      <c r="B1266" s="7">
        <v>1</v>
      </c>
      <c r="C1266">
        <f t="shared" si="41"/>
        <v>8.8678581416840763E-2</v>
      </c>
      <c r="D1266">
        <f t="shared" si="42"/>
        <v>-2.4227368910146492</v>
      </c>
    </row>
    <row r="1267" spans="1:4" x14ac:dyDescent="0.15">
      <c r="A1267" s="7">
        <v>1261</v>
      </c>
      <c r="B1267" s="7">
        <v>0</v>
      </c>
      <c r="C1267">
        <f t="shared" si="41"/>
        <v>0.75586055390364359</v>
      </c>
      <c r="D1267">
        <f t="shared" si="42"/>
        <v>-0.27989837232446807</v>
      </c>
    </row>
    <row r="1268" spans="1:4" x14ac:dyDescent="0.15">
      <c r="A1268" s="7">
        <v>1262</v>
      </c>
      <c r="B1268" s="7">
        <v>0</v>
      </c>
      <c r="C1268">
        <f t="shared" si="41"/>
        <v>0.75586055390364359</v>
      </c>
      <c r="D1268">
        <f t="shared" si="42"/>
        <v>-0.27989837232446807</v>
      </c>
    </row>
    <row r="1269" spans="1:4" x14ac:dyDescent="0.15">
      <c r="A1269" s="7">
        <v>1263</v>
      </c>
      <c r="B1269" s="7">
        <v>0</v>
      </c>
      <c r="C1269">
        <f t="shared" si="41"/>
        <v>0.75586055390364359</v>
      </c>
      <c r="D1269">
        <f t="shared" si="42"/>
        <v>-0.27989837232446807</v>
      </c>
    </row>
    <row r="1270" spans="1:4" x14ac:dyDescent="0.15">
      <c r="A1270" s="7">
        <v>1264</v>
      </c>
      <c r="B1270" s="7">
        <v>2</v>
      </c>
      <c r="C1270">
        <f t="shared" si="41"/>
        <v>4.4062133811825943E-2</v>
      </c>
      <c r="D1270">
        <f t="shared" si="42"/>
        <v>-3.1221545090977791</v>
      </c>
    </row>
    <row r="1271" spans="1:4" x14ac:dyDescent="0.15">
      <c r="A1271" s="7">
        <v>1265</v>
      </c>
      <c r="B1271" s="7">
        <v>0</v>
      </c>
      <c r="C1271">
        <f t="shared" si="41"/>
        <v>0.75586055390364359</v>
      </c>
      <c r="D1271">
        <f t="shared" si="42"/>
        <v>-0.27989837232446807</v>
      </c>
    </row>
    <row r="1272" spans="1:4" x14ac:dyDescent="0.15">
      <c r="A1272" s="7">
        <v>1266</v>
      </c>
      <c r="B1272" s="7">
        <v>1</v>
      </c>
      <c r="C1272">
        <f t="shared" si="41"/>
        <v>8.8678581416840763E-2</v>
      </c>
      <c r="D1272">
        <f t="shared" si="42"/>
        <v>-2.4227368910146492</v>
      </c>
    </row>
    <row r="1273" spans="1:4" x14ac:dyDescent="0.15">
      <c r="A1273" s="7">
        <v>1267</v>
      </c>
      <c r="B1273" s="7">
        <v>0</v>
      </c>
      <c r="C1273">
        <f t="shared" si="41"/>
        <v>0.75586055390364359</v>
      </c>
      <c r="D1273">
        <f t="shared" si="42"/>
        <v>-0.27989837232446807</v>
      </c>
    </row>
    <row r="1274" spans="1:4" x14ac:dyDescent="0.15">
      <c r="A1274" s="7">
        <v>1268</v>
      </c>
      <c r="B1274" s="7">
        <v>0</v>
      </c>
      <c r="C1274">
        <f t="shared" si="41"/>
        <v>0.75586055390364359</v>
      </c>
      <c r="D1274">
        <f t="shared" si="42"/>
        <v>-0.27989837232446807</v>
      </c>
    </row>
    <row r="1275" spans="1:4" x14ac:dyDescent="0.15">
      <c r="A1275" s="7">
        <v>1269</v>
      </c>
      <c r="B1275" s="7">
        <v>3</v>
      </c>
      <c r="C1275">
        <f t="shared" si="41"/>
        <v>2.7467996558433502E-2</v>
      </c>
      <c r="D1275">
        <f t="shared" si="42"/>
        <v>-3.594733713517384</v>
      </c>
    </row>
    <row r="1276" spans="1:4" x14ac:dyDescent="0.15">
      <c r="A1276" s="7">
        <v>1270</v>
      </c>
      <c r="B1276" s="7">
        <v>0</v>
      </c>
      <c r="C1276">
        <f t="shared" si="41"/>
        <v>0.75586055390364359</v>
      </c>
      <c r="D1276">
        <f t="shared" si="42"/>
        <v>-0.27989837232446807</v>
      </c>
    </row>
    <row r="1277" spans="1:4" x14ac:dyDescent="0.15">
      <c r="A1277" s="7">
        <v>1271</v>
      </c>
      <c r="B1277" s="7">
        <v>0</v>
      </c>
      <c r="C1277">
        <f t="shared" si="41"/>
        <v>0.75586055390364359</v>
      </c>
      <c r="D1277">
        <f t="shared" si="42"/>
        <v>-0.27989837232446807</v>
      </c>
    </row>
    <row r="1278" spans="1:4" x14ac:dyDescent="0.15">
      <c r="A1278" s="7">
        <v>1272</v>
      </c>
      <c r="B1278" s="7">
        <v>3</v>
      </c>
      <c r="C1278">
        <f t="shared" si="41"/>
        <v>2.7467996558433502E-2</v>
      </c>
      <c r="D1278">
        <f t="shared" si="42"/>
        <v>-3.594733713517384</v>
      </c>
    </row>
    <row r="1279" spans="1:4" x14ac:dyDescent="0.15">
      <c r="A1279" s="7">
        <v>1273</v>
      </c>
      <c r="B1279" s="7">
        <v>0</v>
      </c>
      <c r="C1279">
        <f t="shared" si="41"/>
        <v>0.75586055390364359</v>
      </c>
      <c r="D1279">
        <f t="shared" si="42"/>
        <v>-0.27989837232446807</v>
      </c>
    </row>
    <row r="1280" spans="1:4" x14ac:dyDescent="0.15">
      <c r="A1280" s="7">
        <v>1274</v>
      </c>
      <c r="B1280" s="7">
        <v>0</v>
      </c>
      <c r="C1280">
        <f t="shared" si="41"/>
        <v>0.75586055390364359</v>
      </c>
      <c r="D1280">
        <f t="shared" si="42"/>
        <v>-0.27989837232446807</v>
      </c>
    </row>
    <row r="1281" spans="1:4" x14ac:dyDescent="0.15">
      <c r="A1281" s="7">
        <v>1275</v>
      </c>
      <c r="B1281" s="7">
        <v>0</v>
      </c>
      <c r="C1281">
        <f t="shared" si="41"/>
        <v>0.75586055390364359</v>
      </c>
      <c r="D1281">
        <f t="shared" si="42"/>
        <v>-0.27989837232446807</v>
      </c>
    </row>
    <row r="1282" spans="1:4" x14ac:dyDescent="0.15">
      <c r="A1282" s="7">
        <v>1276</v>
      </c>
      <c r="B1282" s="7">
        <v>0</v>
      </c>
      <c r="C1282">
        <f t="shared" si="41"/>
        <v>0.75586055390364359</v>
      </c>
      <c r="D1282">
        <f t="shared" si="42"/>
        <v>-0.27989837232446807</v>
      </c>
    </row>
    <row r="1283" spans="1:4" x14ac:dyDescent="0.15">
      <c r="A1283" s="7">
        <v>1277</v>
      </c>
      <c r="B1283" s="7">
        <v>0</v>
      </c>
      <c r="C1283">
        <f t="shared" si="41"/>
        <v>0.75586055390364359</v>
      </c>
      <c r="D1283">
        <f t="shared" si="42"/>
        <v>-0.27989837232446807</v>
      </c>
    </row>
    <row r="1284" spans="1:4" x14ac:dyDescent="0.15">
      <c r="A1284" s="7">
        <v>1278</v>
      </c>
      <c r="B1284" s="7">
        <v>1</v>
      </c>
      <c r="C1284">
        <f t="shared" si="41"/>
        <v>8.8678581416840763E-2</v>
      </c>
      <c r="D1284">
        <f t="shared" si="42"/>
        <v>-2.4227368910146492</v>
      </c>
    </row>
    <row r="1285" spans="1:4" x14ac:dyDescent="0.15">
      <c r="A1285" s="7">
        <v>1279</v>
      </c>
      <c r="B1285" s="7">
        <v>0</v>
      </c>
      <c r="C1285">
        <f t="shared" si="41"/>
        <v>0.75586055390364359</v>
      </c>
      <c r="D1285">
        <f t="shared" si="42"/>
        <v>-0.27989837232446807</v>
      </c>
    </row>
    <row r="1286" spans="1:4" x14ac:dyDescent="0.15">
      <c r="A1286" s="7">
        <v>1280</v>
      </c>
      <c r="B1286" s="7">
        <v>6</v>
      </c>
      <c r="C1286">
        <f t="shared" si="41"/>
        <v>1.0248837632111705E-2</v>
      </c>
      <c r="D1286">
        <f t="shared" si="42"/>
        <v>-4.5805909815733834</v>
      </c>
    </row>
    <row r="1287" spans="1:4" x14ac:dyDescent="0.15">
      <c r="A1287" s="7">
        <v>1281</v>
      </c>
      <c r="B1287" s="7">
        <v>0</v>
      </c>
      <c r="C1287">
        <f t="shared" si="41"/>
        <v>0.75586055390364359</v>
      </c>
      <c r="D1287">
        <f t="shared" si="42"/>
        <v>-0.27989837232446807</v>
      </c>
    </row>
    <row r="1288" spans="1:4" x14ac:dyDescent="0.15">
      <c r="A1288" s="7">
        <v>1282</v>
      </c>
      <c r="B1288" s="7">
        <v>0</v>
      </c>
      <c r="C1288">
        <f t="shared" ref="C1288:C1351" si="43">(_xlfn.GAMMA($B$1+B1288)/(_xlfn.GAMMA($B$1)*FACT(B1288))) * ($B$2/($B$2+$B$4))^$B$1 * (1/($B$2 +$B$4))^B1288</f>
        <v>0.75586055390364359</v>
      </c>
      <c r="D1288">
        <f t="shared" ref="D1288:D1351" si="44">LN(C1288)</f>
        <v>-0.27989837232446807</v>
      </c>
    </row>
    <row r="1289" spans="1:4" x14ac:dyDescent="0.15">
      <c r="A1289" s="7">
        <v>1283</v>
      </c>
      <c r="B1289" s="7">
        <v>42</v>
      </c>
      <c r="C1289">
        <f t="shared" si="43"/>
        <v>1.6602118984474933E-5</v>
      </c>
      <c r="D1289">
        <f t="shared" si="44"/>
        <v>-11.005980221081137</v>
      </c>
    </row>
    <row r="1290" spans="1:4" x14ac:dyDescent="0.15">
      <c r="A1290" s="7">
        <v>1284</v>
      </c>
      <c r="B1290" s="7">
        <v>0</v>
      </c>
      <c r="C1290">
        <f t="shared" si="43"/>
        <v>0.75586055390364359</v>
      </c>
      <c r="D1290">
        <f t="shared" si="44"/>
        <v>-0.27989837232446807</v>
      </c>
    </row>
    <row r="1291" spans="1:4" x14ac:dyDescent="0.15">
      <c r="A1291" s="7">
        <v>1285</v>
      </c>
      <c r="B1291" s="7">
        <v>0</v>
      </c>
      <c r="C1291">
        <f t="shared" si="43"/>
        <v>0.75586055390364359</v>
      </c>
      <c r="D1291">
        <f t="shared" si="44"/>
        <v>-0.27989837232446807</v>
      </c>
    </row>
    <row r="1292" spans="1:4" x14ac:dyDescent="0.15">
      <c r="A1292" s="7">
        <v>1286</v>
      </c>
      <c r="B1292" s="7">
        <v>0</v>
      </c>
      <c r="C1292">
        <f t="shared" si="43"/>
        <v>0.75586055390364359</v>
      </c>
      <c r="D1292">
        <f t="shared" si="44"/>
        <v>-0.27989837232446807</v>
      </c>
    </row>
    <row r="1293" spans="1:4" x14ac:dyDescent="0.15">
      <c r="A1293" s="7">
        <v>1287</v>
      </c>
      <c r="B1293" s="7">
        <v>0</v>
      </c>
      <c r="C1293">
        <f t="shared" si="43"/>
        <v>0.75586055390364359</v>
      </c>
      <c r="D1293">
        <f t="shared" si="44"/>
        <v>-0.27989837232446807</v>
      </c>
    </row>
    <row r="1294" spans="1:4" x14ac:dyDescent="0.15">
      <c r="A1294" s="7">
        <v>1288</v>
      </c>
      <c r="B1294" s="7">
        <v>0</v>
      </c>
      <c r="C1294">
        <f t="shared" si="43"/>
        <v>0.75586055390364359</v>
      </c>
      <c r="D1294">
        <f t="shared" si="44"/>
        <v>-0.27989837232446807</v>
      </c>
    </row>
    <row r="1295" spans="1:4" x14ac:dyDescent="0.15">
      <c r="A1295" s="7">
        <v>1289</v>
      </c>
      <c r="B1295" s="7">
        <v>0</v>
      </c>
      <c r="C1295">
        <f t="shared" si="43"/>
        <v>0.75586055390364359</v>
      </c>
      <c r="D1295">
        <f t="shared" si="44"/>
        <v>-0.27989837232446807</v>
      </c>
    </row>
    <row r="1296" spans="1:4" x14ac:dyDescent="0.15">
      <c r="A1296" s="7">
        <v>1290</v>
      </c>
      <c r="B1296" s="7">
        <v>0</v>
      </c>
      <c r="C1296">
        <f t="shared" si="43"/>
        <v>0.75586055390364359</v>
      </c>
      <c r="D1296">
        <f t="shared" si="44"/>
        <v>-0.27989837232446807</v>
      </c>
    </row>
    <row r="1297" spans="1:4" x14ac:dyDescent="0.15">
      <c r="A1297" s="7">
        <v>1291</v>
      </c>
      <c r="B1297" s="7">
        <v>1</v>
      </c>
      <c r="C1297">
        <f t="shared" si="43"/>
        <v>8.8678581416840763E-2</v>
      </c>
      <c r="D1297">
        <f t="shared" si="44"/>
        <v>-2.4227368910146492</v>
      </c>
    </row>
    <row r="1298" spans="1:4" x14ac:dyDescent="0.15">
      <c r="A1298" s="7">
        <v>1292</v>
      </c>
      <c r="B1298" s="7">
        <v>0</v>
      </c>
      <c r="C1298">
        <f t="shared" si="43"/>
        <v>0.75586055390364359</v>
      </c>
      <c r="D1298">
        <f t="shared" si="44"/>
        <v>-0.27989837232446807</v>
      </c>
    </row>
    <row r="1299" spans="1:4" x14ac:dyDescent="0.15">
      <c r="A1299" s="7">
        <v>1293</v>
      </c>
      <c r="B1299" s="7">
        <v>0</v>
      </c>
      <c r="C1299">
        <f t="shared" si="43"/>
        <v>0.75586055390364359</v>
      </c>
      <c r="D1299">
        <f t="shared" si="44"/>
        <v>-0.27989837232446807</v>
      </c>
    </row>
    <row r="1300" spans="1:4" x14ac:dyDescent="0.15">
      <c r="A1300" s="7">
        <v>1294</v>
      </c>
      <c r="B1300" s="7">
        <v>0</v>
      </c>
      <c r="C1300">
        <f t="shared" si="43"/>
        <v>0.75586055390364359</v>
      </c>
      <c r="D1300">
        <f t="shared" si="44"/>
        <v>-0.27989837232446807</v>
      </c>
    </row>
    <row r="1301" spans="1:4" x14ac:dyDescent="0.15">
      <c r="A1301" s="7">
        <v>1295</v>
      </c>
      <c r="B1301" s="7">
        <v>2</v>
      </c>
      <c r="C1301">
        <f t="shared" si="43"/>
        <v>4.4062133811825943E-2</v>
      </c>
      <c r="D1301">
        <f t="shared" si="44"/>
        <v>-3.1221545090977791</v>
      </c>
    </row>
    <row r="1302" spans="1:4" x14ac:dyDescent="0.15">
      <c r="A1302" s="7">
        <v>1296</v>
      </c>
      <c r="B1302" s="7">
        <v>0</v>
      </c>
      <c r="C1302">
        <f t="shared" si="43"/>
        <v>0.75586055390364359</v>
      </c>
      <c r="D1302">
        <f t="shared" si="44"/>
        <v>-0.27989837232446807</v>
      </c>
    </row>
    <row r="1303" spans="1:4" x14ac:dyDescent="0.15">
      <c r="A1303" s="7">
        <v>1297</v>
      </c>
      <c r="B1303" s="7">
        <v>0</v>
      </c>
      <c r="C1303">
        <f t="shared" si="43"/>
        <v>0.75586055390364359</v>
      </c>
      <c r="D1303">
        <f t="shared" si="44"/>
        <v>-0.27989837232446807</v>
      </c>
    </row>
    <row r="1304" spans="1:4" x14ac:dyDescent="0.15">
      <c r="A1304" s="7">
        <v>1298</v>
      </c>
      <c r="B1304" s="7">
        <v>0</v>
      </c>
      <c r="C1304">
        <f t="shared" si="43"/>
        <v>0.75586055390364359</v>
      </c>
      <c r="D1304">
        <f t="shared" si="44"/>
        <v>-0.27989837232446807</v>
      </c>
    </row>
    <row r="1305" spans="1:4" x14ac:dyDescent="0.15">
      <c r="A1305" s="7">
        <v>1299</v>
      </c>
      <c r="B1305" s="7">
        <v>0</v>
      </c>
      <c r="C1305">
        <f t="shared" si="43"/>
        <v>0.75586055390364359</v>
      </c>
      <c r="D1305">
        <f t="shared" si="44"/>
        <v>-0.27989837232446807</v>
      </c>
    </row>
    <row r="1306" spans="1:4" x14ac:dyDescent="0.15">
      <c r="A1306" s="7">
        <v>1300</v>
      </c>
      <c r="B1306" s="7">
        <v>0</v>
      </c>
      <c r="C1306">
        <f t="shared" si="43"/>
        <v>0.75586055390364359</v>
      </c>
      <c r="D1306">
        <f t="shared" si="44"/>
        <v>-0.27989837232446807</v>
      </c>
    </row>
    <row r="1307" spans="1:4" x14ac:dyDescent="0.15">
      <c r="A1307" s="7">
        <v>1301</v>
      </c>
      <c r="B1307" s="7">
        <v>0</v>
      </c>
      <c r="C1307">
        <f t="shared" si="43"/>
        <v>0.75586055390364359</v>
      </c>
      <c r="D1307">
        <f t="shared" si="44"/>
        <v>-0.27989837232446807</v>
      </c>
    </row>
    <row r="1308" spans="1:4" x14ac:dyDescent="0.15">
      <c r="A1308" s="7">
        <v>1302</v>
      </c>
      <c r="B1308" s="7">
        <v>0</v>
      </c>
      <c r="C1308">
        <f t="shared" si="43"/>
        <v>0.75586055390364359</v>
      </c>
      <c r="D1308">
        <f t="shared" si="44"/>
        <v>-0.27989837232446807</v>
      </c>
    </row>
    <row r="1309" spans="1:4" x14ac:dyDescent="0.15">
      <c r="A1309" s="7">
        <v>1303</v>
      </c>
      <c r="B1309" s="7">
        <v>0</v>
      </c>
      <c r="C1309">
        <f t="shared" si="43"/>
        <v>0.75586055390364359</v>
      </c>
      <c r="D1309">
        <f t="shared" si="44"/>
        <v>-0.27989837232446807</v>
      </c>
    </row>
    <row r="1310" spans="1:4" x14ac:dyDescent="0.15">
      <c r="A1310" s="7">
        <v>1304</v>
      </c>
      <c r="B1310" s="7">
        <v>0</v>
      </c>
      <c r="C1310">
        <f t="shared" si="43"/>
        <v>0.75586055390364359</v>
      </c>
      <c r="D1310">
        <f t="shared" si="44"/>
        <v>-0.27989837232446807</v>
      </c>
    </row>
    <row r="1311" spans="1:4" x14ac:dyDescent="0.15">
      <c r="A1311" s="7">
        <v>1305</v>
      </c>
      <c r="B1311" s="7">
        <v>0</v>
      </c>
      <c r="C1311">
        <f t="shared" si="43"/>
        <v>0.75586055390364359</v>
      </c>
      <c r="D1311">
        <f t="shared" si="44"/>
        <v>-0.27989837232446807</v>
      </c>
    </row>
    <row r="1312" spans="1:4" x14ac:dyDescent="0.15">
      <c r="A1312" s="7">
        <v>1306</v>
      </c>
      <c r="B1312" s="7">
        <v>0</v>
      </c>
      <c r="C1312">
        <f t="shared" si="43"/>
        <v>0.75586055390364359</v>
      </c>
      <c r="D1312">
        <f t="shared" si="44"/>
        <v>-0.27989837232446807</v>
      </c>
    </row>
    <row r="1313" spans="1:4" x14ac:dyDescent="0.15">
      <c r="A1313" s="7">
        <v>1307</v>
      </c>
      <c r="B1313" s="7">
        <v>0</v>
      </c>
      <c r="C1313">
        <f t="shared" si="43"/>
        <v>0.75586055390364359</v>
      </c>
      <c r="D1313">
        <f t="shared" si="44"/>
        <v>-0.27989837232446807</v>
      </c>
    </row>
    <row r="1314" spans="1:4" x14ac:dyDescent="0.15">
      <c r="A1314" s="7">
        <v>1308</v>
      </c>
      <c r="B1314" s="7">
        <v>0</v>
      </c>
      <c r="C1314">
        <f t="shared" si="43"/>
        <v>0.75586055390364359</v>
      </c>
      <c r="D1314">
        <f t="shared" si="44"/>
        <v>-0.27989837232446807</v>
      </c>
    </row>
    <row r="1315" spans="1:4" x14ac:dyDescent="0.15">
      <c r="A1315" s="7">
        <v>1309</v>
      </c>
      <c r="B1315" s="7">
        <v>0</v>
      </c>
      <c r="C1315">
        <f t="shared" si="43"/>
        <v>0.75586055390364359</v>
      </c>
      <c r="D1315">
        <f t="shared" si="44"/>
        <v>-0.27989837232446807</v>
      </c>
    </row>
    <row r="1316" spans="1:4" x14ac:dyDescent="0.15">
      <c r="A1316" s="7">
        <v>1310</v>
      </c>
      <c r="B1316" s="7">
        <v>0</v>
      </c>
      <c r="C1316">
        <f t="shared" si="43"/>
        <v>0.75586055390364359</v>
      </c>
      <c r="D1316">
        <f t="shared" si="44"/>
        <v>-0.27989837232446807</v>
      </c>
    </row>
    <row r="1317" spans="1:4" x14ac:dyDescent="0.15">
      <c r="A1317" s="7">
        <v>1311</v>
      </c>
      <c r="B1317" s="7">
        <v>0</v>
      </c>
      <c r="C1317">
        <f t="shared" si="43"/>
        <v>0.75586055390364359</v>
      </c>
      <c r="D1317">
        <f t="shared" si="44"/>
        <v>-0.27989837232446807</v>
      </c>
    </row>
    <row r="1318" spans="1:4" x14ac:dyDescent="0.15">
      <c r="A1318" s="7">
        <v>1312</v>
      </c>
      <c r="B1318" s="7">
        <v>7</v>
      </c>
      <c r="C1318">
        <f t="shared" si="43"/>
        <v>7.8709438009233242E-3</v>
      </c>
      <c r="D1318">
        <f t="shared" si="44"/>
        <v>-4.8445772998646781</v>
      </c>
    </row>
    <row r="1319" spans="1:4" x14ac:dyDescent="0.15">
      <c r="A1319" s="7">
        <v>1313</v>
      </c>
      <c r="B1319" s="7">
        <v>0</v>
      </c>
      <c r="C1319">
        <f t="shared" si="43"/>
        <v>0.75586055390364359</v>
      </c>
      <c r="D1319">
        <f t="shared" si="44"/>
        <v>-0.27989837232446807</v>
      </c>
    </row>
    <row r="1320" spans="1:4" x14ac:dyDescent="0.15">
      <c r="A1320" s="7">
        <v>1314</v>
      </c>
      <c r="B1320" s="7">
        <v>0</v>
      </c>
      <c r="C1320">
        <f t="shared" si="43"/>
        <v>0.75586055390364359</v>
      </c>
      <c r="D1320">
        <f t="shared" si="44"/>
        <v>-0.27989837232446807</v>
      </c>
    </row>
    <row r="1321" spans="1:4" x14ac:dyDescent="0.15">
      <c r="A1321" s="7">
        <v>1315</v>
      </c>
      <c r="B1321" s="7">
        <v>1</v>
      </c>
      <c r="C1321">
        <f t="shared" si="43"/>
        <v>8.8678581416840763E-2</v>
      </c>
      <c r="D1321">
        <f t="shared" si="44"/>
        <v>-2.4227368910146492</v>
      </c>
    </row>
    <row r="1322" spans="1:4" x14ac:dyDescent="0.15">
      <c r="A1322" s="7">
        <v>1316</v>
      </c>
      <c r="B1322" s="7">
        <v>0</v>
      </c>
      <c r="C1322">
        <f t="shared" si="43"/>
        <v>0.75586055390364359</v>
      </c>
      <c r="D1322">
        <f t="shared" si="44"/>
        <v>-0.27989837232446807</v>
      </c>
    </row>
    <row r="1323" spans="1:4" x14ac:dyDescent="0.15">
      <c r="A1323" s="7">
        <v>1317</v>
      </c>
      <c r="B1323" s="7">
        <v>0</v>
      </c>
      <c r="C1323">
        <f t="shared" si="43"/>
        <v>0.75586055390364359</v>
      </c>
      <c r="D1323">
        <f t="shared" si="44"/>
        <v>-0.27989837232446807</v>
      </c>
    </row>
    <row r="1324" spans="1:4" x14ac:dyDescent="0.15">
      <c r="A1324" s="7">
        <v>1318</v>
      </c>
      <c r="B1324" s="7">
        <v>0</v>
      </c>
      <c r="C1324">
        <f t="shared" si="43"/>
        <v>0.75586055390364359</v>
      </c>
      <c r="D1324">
        <f t="shared" si="44"/>
        <v>-0.27989837232446807</v>
      </c>
    </row>
    <row r="1325" spans="1:4" x14ac:dyDescent="0.15">
      <c r="A1325" s="7">
        <v>1319</v>
      </c>
      <c r="B1325" s="7">
        <v>0</v>
      </c>
      <c r="C1325">
        <f t="shared" si="43"/>
        <v>0.75586055390364359</v>
      </c>
      <c r="D1325">
        <f t="shared" si="44"/>
        <v>-0.27989837232446807</v>
      </c>
    </row>
    <row r="1326" spans="1:4" x14ac:dyDescent="0.15">
      <c r="A1326" s="7">
        <v>1320</v>
      </c>
      <c r="B1326" s="7">
        <v>2</v>
      </c>
      <c r="C1326">
        <f t="shared" si="43"/>
        <v>4.4062133811825943E-2</v>
      </c>
      <c r="D1326">
        <f t="shared" si="44"/>
        <v>-3.1221545090977791</v>
      </c>
    </row>
    <row r="1327" spans="1:4" x14ac:dyDescent="0.15">
      <c r="A1327" s="7">
        <v>1321</v>
      </c>
      <c r="B1327" s="7">
        <v>0</v>
      </c>
      <c r="C1327">
        <f t="shared" si="43"/>
        <v>0.75586055390364359</v>
      </c>
      <c r="D1327">
        <f t="shared" si="44"/>
        <v>-0.27989837232446807</v>
      </c>
    </row>
    <row r="1328" spans="1:4" x14ac:dyDescent="0.15">
      <c r="A1328" s="7">
        <v>1322</v>
      </c>
      <c r="B1328" s="7">
        <v>0</v>
      </c>
      <c r="C1328">
        <f t="shared" si="43"/>
        <v>0.75586055390364359</v>
      </c>
      <c r="D1328">
        <f t="shared" si="44"/>
        <v>-0.27989837232446807</v>
      </c>
    </row>
    <row r="1329" spans="1:4" x14ac:dyDescent="0.15">
      <c r="A1329" s="7">
        <v>1323</v>
      </c>
      <c r="B1329" s="7">
        <v>0</v>
      </c>
      <c r="C1329">
        <f t="shared" si="43"/>
        <v>0.75586055390364359</v>
      </c>
      <c r="D1329">
        <f t="shared" si="44"/>
        <v>-0.27989837232446807</v>
      </c>
    </row>
    <row r="1330" spans="1:4" x14ac:dyDescent="0.15">
      <c r="A1330" s="7">
        <v>1324</v>
      </c>
      <c r="B1330" s="7">
        <v>0</v>
      </c>
      <c r="C1330">
        <f t="shared" si="43"/>
        <v>0.75586055390364359</v>
      </c>
      <c r="D1330">
        <f t="shared" si="44"/>
        <v>-0.27989837232446807</v>
      </c>
    </row>
    <row r="1331" spans="1:4" x14ac:dyDescent="0.15">
      <c r="A1331" s="7">
        <v>1325</v>
      </c>
      <c r="B1331" s="7">
        <v>0</v>
      </c>
      <c r="C1331">
        <f t="shared" si="43"/>
        <v>0.75586055390364359</v>
      </c>
      <c r="D1331">
        <f t="shared" si="44"/>
        <v>-0.27989837232446807</v>
      </c>
    </row>
    <row r="1332" spans="1:4" x14ac:dyDescent="0.15">
      <c r="A1332" s="7">
        <v>1326</v>
      </c>
      <c r="B1332" s="7">
        <v>0</v>
      </c>
      <c r="C1332">
        <f t="shared" si="43"/>
        <v>0.75586055390364359</v>
      </c>
      <c r="D1332">
        <f t="shared" si="44"/>
        <v>-0.27989837232446807</v>
      </c>
    </row>
    <row r="1333" spans="1:4" x14ac:dyDescent="0.15">
      <c r="A1333" s="7">
        <v>1327</v>
      </c>
      <c r="B1333" s="7">
        <v>0</v>
      </c>
      <c r="C1333">
        <f t="shared" si="43"/>
        <v>0.75586055390364359</v>
      </c>
      <c r="D1333">
        <f t="shared" si="44"/>
        <v>-0.27989837232446807</v>
      </c>
    </row>
    <row r="1334" spans="1:4" x14ac:dyDescent="0.15">
      <c r="A1334" s="7">
        <v>1328</v>
      </c>
      <c r="B1334" s="7">
        <v>0</v>
      </c>
      <c r="C1334">
        <f t="shared" si="43"/>
        <v>0.75586055390364359</v>
      </c>
      <c r="D1334">
        <f t="shared" si="44"/>
        <v>-0.27989837232446807</v>
      </c>
    </row>
    <row r="1335" spans="1:4" x14ac:dyDescent="0.15">
      <c r="A1335" s="7">
        <v>1329</v>
      </c>
      <c r="B1335" s="7">
        <v>2</v>
      </c>
      <c r="C1335">
        <f t="shared" si="43"/>
        <v>4.4062133811825943E-2</v>
      </c>
      <c r="D1335">
        <f t="shared" si="44"/>
        <v>-3.1221545090977791</v>
      </c>
    </row>
    <row r="1336" spans="1:4" x14ac:dyDescent="0.15">
      <c r="A1336" s="7">
        <v>1330</v>
      </c>
      <c r="B1336" s="7">
        <v>0</v>
      </c>
      <c r="C1336">
        <f t="shared" si="43"/>
        <v>0.75586055390364359</v>
      </c>
      <c r="D1336">
        <f t="shared" si="44"/>
        <v>-0.27989837232446807</v>
      </c>
    </row>
    <row r="1337" spans="1:4" x14ac:dyDescent="0.15">
      <c r="A1337" s="7">
        <v>1331</v>
      </c>
      <c r="B1337" s="7">
        <v>1</v>
      </c>
      <c r="C1337">
        <f t="shared" si="43"/>
        <v>8.8678581416840763E-2</v>
      </c>
      <c r="D1337">
        <f t="shared" si="44"/>
        <v>-2.4227368910146492</v>
      </c>
    </row>
    <row r="1338" spans="1:4" x14ac:dyDescent="0.15">
      <c r="A1338" s="7">
        <v>1332</v>
      </c>
      <c r="B1338" s="7">
        <v>0</v>
      </c>
      <c r="C1338">
        <f t="shared" si="43"/>
        <v>0.75586055390364359</v>
      </c>
      <c r="D1338">
        <f t="shared" si="44"/>
        <v>-0.27989837232446807</v>
      </c>
    </row>
    <row r="1339" spans="1:4" x14ac:dyDescent="0.15">
      <c r="A1339" s="7">
        <v>1333</v>
      </c>
      <c r="B1339" s="7">
        <v>5</v>
      </c>
      <c r="C1339">
        <f t="shared" si="43"/>
        <v>1.366675533834656E-2</v>
      </c>
      <c r="D1339">
        <f t="shared" si="44"/>
        <v>-4.2927890127952875</v>
      </c>
    </row>
    <row r="1340" spans="1:4" x14ac:dyDescent="0.15">
      <c r="A1340" s="7">
        <v>1334</v>
      </c>
      <c r="B1340" s="7">
        <v>0</v>
      </c>
      <c r="C1340">
        <f t="shared" si="43"/>
        <v>0.75586055390364359</v>
      </c>
      <c r="D1340">
        <f t="shared" si="44"/>
        <v>-0.27989837232446807</v>
      </c>
    </row>
    <row r="1341" spans="1:4" x14ac:dyDescent="0.15">
      <c r="A1341" s="7">
        <v>1335</v>
      </c>
      <c r="B1341" s="7">
        <v>0</v>
      </c>
      <c r="C1341">
        <f t="shared" si="43"/>
        <v>0.75586055390364359</v>
      </c>
      <c r="D1341">
        <f t="shared" si="44"/>
        <v>-0.27989837232446807</v>
      </c>
    </row>
    <row r="1342" spans="1:4" x14ac:dyDescent="0.15">
      <c r="A1342" s="7">
        <v>1336</v>
      </c>
      <c r="B1342" s="7">
        <v>0</v>
      </c>
      <c r="C1342">
        <f t="shared" si="43"/>
        <v>0.75586055390364359</v>
      </c>
      <c r="D1342">
        <f t="shared" si="44"/>
        <v>-0.27989837232446807</v>
      </c>
    </row>
    <row r="1343" spans="1:4" x14ac:dyDescent="0.15">
      <c r="A1343" s="7">
        <v>1337</v>
      </c>
      <c r="B1343" s="7">
        <v>1</v>
      </c>
      <c r="C1343">
        <f t="shared" si="43"/>
        <v>8.8678581416840763E-2</v>
      </c>
      <c r="D1343">
        <f t="shared" si="44"/>
        <v>-2.4227368910146492</v>
      </c>
    </row>
    <row r="1344" spans="1:4" x14ac:dyDescent="0.15">
      <c r="A1344" s="7">
        <v>1338</v>
      </c>
      <c r="B1344" s="7">
        <v>5</v>
      </c>
      <c r="C1344">
        <f t="shared" si="43"/>
        <v>1.366675533834656E-2</v>
      </c>
      <c r="D1344">
        <f t="shared" si="44"/>
        <v>-4.2927890127952875</v>
      </c>
    </row>
    <row r="1345" spans="1:4" x14ac:dyDescent="0.15">
      <c r="A1345" s="7">
        <v>1339</v>
      </c>
      <c r="B1345" s="7">
        <v>1</v>
      </c>
      <c r="C1345">
        <f t="shared" si="43"/>
        <v>8.8678581416840763E-2</v>
      </c>
      <c r="D1345">
        <f t="shared" si="44"/>
        <v>-2.4227368910146492</v>
      </c>
    </row>
    <row r="1346" spans="1:4" x14ac:dyDescent="0.15">
      <c r="A1346" s="7">
        <v>1340</v>
      </c>
      <c r="B1346" s="7">
        <v>0</v>
      </c>
      <c r="C1346">
        <f t="shared" si="43"/>
        <v>0.75586055390364359</v>
      </c>
      <c r="D1346">
        <f t="shared" si="44"/>
        <v>-0.27989837232446807</v>
      </c>
    </row>
    <row r="1347" spans="1:4" x14ac:dyDescent="0.15">
      <c r="A1347" s="7">
        <v>1341</v>
      </c>
      <c r="B1347" s="7">
        <v>0</v>
      </c>
      <c r="C1347">
        <f t="shared" si="43"/>
        <v>0.75586055390364359</v>
      </c>
      <c r="D1347">
        <f t="shared" si="44"/>
        <v>-0.27989837232446807</v>
      </c>
    </row>
    <row r="1348" spans="1:4" x14ac:dyDescent="0.15">
      <c r="A1348" s="7">
        <v>1342</v>
      </c>
      <c r="B1348" s="7">
        <v>0</v>
      </c>
      <c r="C1348">
        <f t="shared" si="43"/>
        <v>0.75586055390364359</v>
      </c>
      <c r="D1348">
        <f t="shared" si="44"/>
        <v>-0.27989837232446807</v>
      </c>
    </row>
    <row r="1349" spans="1:4" x14ac:dyDescent="0.15">
      <c r="A1349" s="7">
        <v>1343</v>
      </c>
      <c r="B1349" s="7">
        <v>2</v>
      </c>
      <c r="C1349">
        <f t="shared" si="43"/>
        <v>4.4062133811825943E-2</v>
      </c>
      <c r="D1349">
        <f t="shared" si="44"/>
        <v>-3.1221545090977791</v>
      </c>
    </row>
    <row r="1350" spans="1:4" x14ac:dyDescent="0.15">
      <c r="A1350" s="7">
        <v>1344</v>
      </c>
      <c r="B1350" s="7">
        <v>0</v>
      </c>
      <c r="C1350">
        <f t="shared" si="43"/>
        <v>0.75586055390364359</v>
      </c>
      <c r="D1350">
        <f t="shared" si="44"/>
        <v>-0.27989837232446807</v>
      </c>
    </row>
    <row r="1351" spans="1:4" x14ac:dyDescent="0.15">
      <c r="A1351" s="7">
        <v>1345</v>
      </c>
      <c r="B1351" s="7">
        <v>0</v>
      </c>
      <c r="C1351">
        <f t="shared" si="43"/>
        <v>0.75586055390364359</v>
      </c>
      <c r="D1351">
        <f t="shared" si="44"/>
        <v>-0.27989837232446807</v>
      </c>
    </row>
    <row r="1352" spans="1:4" x14ac:dyDescent="0.15">
      <c r="A1352" s="7">
        <v>1346</v>
      </c>
      <c r="B1352" s="7">
        <v>0</v>
      </c>
      <c r="C1352">
        <f t="shared" ref="C1352:C1415" si="45">(_xlfn.GAMMA($B$1+B1352)/(_xlfn.GAMMA($B$1)*FACT(B1352))) * ($B$2/($B$2+$B$4))^$B$1 * (1/($B$2 +$B$4))^B1352</f>
        <v>0.75586055390364359</v>
      </c>
      <c r="D1352">
        <f t="shared" ref="D1352:D1415" si="46">LN(C1352)</f>
        <v>-0.27989837232446807</v>
      </c>
    </row>
    <row r="1353" spans="1:4" x14ac:dyDescent="0.15">
      <c r="A1353" s="7">
        <v>1347</v>
      </c>
      <c r="B1353" s="7">
        <v>8</v>
      </c>
      <c r="C1353">
        <f t="shared" si="45"/>
        <v>6.1514536381425521E-3</v>
      </c>
      <c r="D1353">
        <f t="shared" si="46"/>
        <v>-5.0910668611676444</v>
      </c>
    </row>
    <row r="1354" spans="1:4" x14ac:dyDescent="0.15">
      <c r="A1354" s="7">
        <v>1348</v>
      </c>
      <c r="B1354" s="7">
        <v>0</v>
      </c>
      <c r="C1354">
        <f t="shared" si="45"/>
        <v>0.75586055390364359</v>
      </c>
      <c r="D1354">
        <f t="shared" si="46"/>
        <v>-0.27989837232446807</v>
      </c>
    </row>
    <row r="1355" spans="1:4" x14ac:dyDescent="0.15">
      <c r="A1355" s="7">
        <v>1349</v>
      </c>
      <c r="B1355" s="7">
        <v>0</v>
      </c>
      <c r="C1355">
        <f t="shared" si="45"/>
        <v>0.75586055390364359</v>
      </c>
      <c r="D1355">
        <f t="shared" si="46"/>
        <v>-0.27989837232446807</v>
      </c>
    </row>
    <row r="1356" spans="1:4" x14ac:dyDescent="0.15">
      <c r="A1356" s="7">
        <v>1350</v>
      </c>
      <c r="B1356" s="7">
        <v>7</v>
      </c>
      <c r="C1356">
        <f t="shared" si="45"/>
        <v>7.8709438009233242E-3</v>
      </c>
      <c r="D1356">
        <f t="shared" si="46"/>
        <v>-4.8445772998646781</v>
      </c>
    </row>
    <row r="1357" spans="1:4" x14ac:dyDescent="0.15">
      <c r="A1357" s="7">
        <v>1351</v>
      </c>
      <c r="B1357" s="7">
        <v>0</v>
      </c>
      <c r="C1357">
        <f t="shared" si="45"/>
        <v>0.75586055390364359</v>
      </c>
      <c r="D1357">
        <f t="shared" si="46"/>
        <v>-0.27989837232446807</v>
      </c>
    </row>
    <row r="1358" spans="1:4" x14ac:dyDescent="0.15">
      <c r="A1358" s="7">
        <v>1352</v>
      </c>
      <c r="B1358" s="7">
        <v>0</v>
      </c>
      <c r="C1358">
        <f t="shared" si="45"/>
        <v>0.75586055390364359</v>
      </c>
      <c r="D1358">
        <f t="shared" si="46"/>
        <v>-0.27989837232446807</v>
      </c>
    </row>
    <row r="1359" spans="1:4" x14ac:dyDescent="0.15">
      <c r="A1359" s="7">
        <v>1353</v>
      </c>
      <c r="B1359" s="7">
        <v>0</v>
      </c>
      <c r="C1359">
        <f t="shared" si="45"/>
        <v>0.75586055390364359</v>
      </c>
      <c r="D1359">
        <f t="shared" si="46"/>
        <v>-0.27989837232446807</v>
      </c>
    </row>
    <row r="1360" spans="1:4" x14ac:dyDescent="0.15">
      <c r="A1360" s="7">
        <v>1354</v>
      </c>
      <c r="B1360" s="7">
        <v>0</v>
      </c>
      <c r="C1360">
        <f t="shared" si="45"/>
        <v>0.75586055390364359</v>
      </c>
      <c r="D1360">
        <f t="shared" si="46"/>
        <v>-0.27989837232446807</v>
      </c>
    </row>
    <row r="1361" spans="1:4" x14ac:dyDescent="0.15">
      <c r="A1361" s="7">
        <v>1355</v>
      </c>
      <c r="B1361" s="7">
        <v>0</v>
      </c>
      <c r="C1361">
        <f t="shared" si="45"/>
        <v>0.75586055390364359</v>
      </c>
      <c r="D1361">
        <f t="shared" si="46"/>
        <v>-0.27989837232446807</v>
      </c>
    </row>
    <row r="1362" spans="1:4" x14ac:dyDescent="0.15">
      <c r="A1362" s="7">
        <v>1356</v>
      </c>
      <c r="B1362" s="7">
        <v>0</v>
      </c>
      <c r="C1362">
        <f t="shared" si="45"/>
        <v>0.75586055390364359</v>
      </c>
      <c r="D1362">
        <f t="shared" si="46"/>
        <v>-0.27989837232446807</v>
      </c>
    </row>
    <row r="1363" spans="1:4" x14ac:dyDescent="0.15">
      <c r="A1363" s="7">
        <v>1357</v>
      </c>
      <c r="B1363" s="7">
        <v>0</v>
      </c>
      <c r="C1363">
        <f t="shared" si="45"/>
        <v>0.75586055390364359</v>
      </c>
      <c r="D1363">
        <f t="shared" si="46"/>
        <v>-0.27989837232446807</v>
      </c>
    </row>
    <row r="1364" spans="1:4" x14ac:dyDescent="0.15">
      <c r="A1364" s="7">
        <v>1358</v>
      </c>
      <c r="B1364" s="7">
        <v>0</v>
      </c>
      <c r="C1364">
        <f t="shared" si="45"/>
        <v>0.75586055390364359</v>
      </c>
      <c r="D1364">
        <f t="shared" si="46"/>
        <v>-0.27989837232446807</v>
      </c>
    </row>
    <row r="1365" spans="1:4" x14ac:dyDescent="0.15">
      <c r="A1365" s="7">
        <v>1359</v>
      </c>
      <c r="B1365" s="7">
        <v>0</v>
      </c>
      <c r="C1365">
        <f t="shared" si="45"/>
        <v>0.75586055390364359</v>
      </c>
      <c r="D1365">
        <f t="shared" si="46"/>
        <v>-0.27989837232446807</v>
      </c>
    </row>
    <row r="1366" spans="1:4" x14ac:dyDescent="0.15">
      <c r="A1366" s="7">
        <v>1360</v>
      </c>
      <c r="B1366" s="7">
        <v>0</v>
      </c>
      <c r="C1366">
        <f t="shared" si="45"/>
        <v>0.75586055390364359</v>
      </c>
      <c r="D1366">
        <f t="shared" si="46"/>
        <v>-0.27989837232446807</v>
      </c>
    </row>
    <row r="1367" spans="1:4" x14ac:dyDescent="0.15">
      <c r="A1367" s="7">
        <v>1361</v>
      </c>
      <c r="B1367" s="7">
        <v>0</v>
      </c>
      <c r="C1367">
        <f t="shared" si="45"/>
        <v>0.75586055390364359</v>
      </c>
      <c r="D1367">
        <f t="shared" si="46"/>
        <v>-0.27989837232446807</v>
      </c>
    </row>
    <row r="1368" spans="1:4" x14ac:dyDescent="0.15">
      <c r="A1368" s="7">
        <v>1362</v>
      </c>
      <c r="B1368" s="7">
        <v>0</v>
      </c>
      <c r="C1368">
        <f t="shared" si="45"/>
        <v>0.75586055390364359</v>
      </c>
      <c r="D1368">
        <f t="shared" si="46"/>
        <v>-0.27989837232446807</v>
      </c>
    </row>
    <row r="1369" spans="1:4" x14ac:dyDescent="0.15">
      <c r="A1369" s="7">
        <v>1363</v>
      </c>
      <c r="B1369" s="7">
        <v>36</v>
      </c>
      <c r="C1369">
        <f t="shared" si="45"/>
        <v>4.1855363371945697E-5</v>
      </c>
      <c r="D1369">
        <f t="shared" si="46"/>
        <v>-10.081290612204462</v>
      </c>
    </row>
    <row r="1370" spans="1:4" x14ac:dyDescent="0.15">
      <c r="A1370" s="7">
        <v>1364</v>
      </c>
      <c r="B1370" s="7">
        <v>11</v>
      </c>
      <c r="C1370">
        <f t="shared" si="45"/>
        <v>3.1493246274866328E-3</v>
      </c>
      <c r="D1370">
        <f t="shared" si="46"/>
        <v>-5.7605672531049104</v>
      </c>
    </row>
    <row r="1371" spans="1:4" x14ac:dyDescent="0.15">
      <c r="A1371" s="7">
        <v>1365</v>
      </c>
      <c r="B1371" s="7">
        <v>0</v>
      </c>
      <c r="C1371">
        <f t="shared" si="45"/>
        <v>0.75586055390364359</v>
      </c>
      <c r="D1371">
        <f t="shared" si="46"/>
        <v>-0.27989837232446807</v>
      </c>
    </row>
    <row r="1372" spans="1:4" x14ac:dyDescent="0.15">
      <c r="A1372" s="7">
        <v>1366</v>
      </c>
      <c r="B1372" s="7">
        <v>1</v>
      </c>
      <c r="C1372">
        <f t="shared" si="45"/>
        <v>8.8678581416840763E-2</v>
      </c>
      <c r="D1372">
        <f t="shared" si="46"/>
        <v>-2.4227368910146492</v>
      </c>
    </row>
    <row r="1373" spans="1:4" x14ac:dyDescent="0.15">
      <c r="A1373" s="7">
        <v>1367</v>
      </c>
      <c r="B1373" s="7">
        <v>0</v>
      </c>
      <c r="C1373">
        <f t="shared" si="45"/>
        <v>0.75586055390364359</v>
      </c>
      <c r="D1373">
        <f t="shared" si="46"/>
        <v>-0.27989837232446807</v>
      </c>
    </row>
    <row r="1374" spans="1:4" x14ac:dyDescent="0.15">
      <c r="A1374" s="7">
        <v>1368</v>
      </c>
      <c r="B1374" s="7">
        <v>1</v>
      </c>
      <c r="C1374">
        <f t="shared" si="45"/>
        <v>8.8678581416840763E-2</v>
      </c>
      <c r="D1374">
        <f t="shared" si="46"/>
        <v>-2.4227368910146492</v>
      </c>
    </row>
    <row r="1375" spans="1:4" x14ac:dyDescent="0.15">
      <c r="A1375" s="7">
        <v>1369</v>
      </c>
      <c r="B1375" s="7">
        <v>0</v>
      </c>
      <c r="C1375">
        <f t="shared" si="45"/>
        <v>0.75586055390364359</v>
      </c>
      <c r="D1375">
        <f t="shared" si="46"/>
        <v>-0.27989837232446807</v>
      </c>
    </row>
    <row r="1376" spans="1:4" x14ac:dyDescent="0.15">
      <c r="A1376" s="7">
        <v>1370</v>
      </c>
      <c r="B1376" s="7">
        <v>0</v>
      </c>
      <c r="C1376">
        <f t="shared" si="45"/>
        <v>0.75586055390364359</v>
      </c>
      <c r="D1376">
        <f t="shared" si="46"/>
        <v>-0.27989837232446807</v>
      </c>
    </row>
    <row r="1377" spans="1:4" x14ac:dyDescent="0.15">
      <c r="A1377" s="7">
        <v>1371</v>
      </c>
      <c r="B1377" s="7">
        <v>0</v>
      </c>
      <c r="C1377">
        <f t="shared" si="45"/>
        <v>0.75586055390364359</v>
      </c>
      <c r="D1377">
        <f t="shared" si="46"/>
        <v>-0.27989837232446807</v>
      </c>
    </row>
    <row r="1378" spans="1:4" x14ac:dyDescent="0.15">
      <c r="A1378" s="7">
        <v>1372</v>
      </c>
      <c r="B1378" s="7">
        <v>0</v>
      </c>
      <c r="C1378">
        <f t="shared" si="45"/>
        <v>0.75586055390364359</v>
      </c>
      <c r="D1378">
        <f t="shared" si="46"/>
        <v>-0.27989837232446807</v>
      </c>
    </row>
    <row r="1379" spans="1:4" x14ac:dyDescent="0.15">
      <c r="A1379" s="7">
        <v>1373</v>
      </c>
      <c r="B1379" s="7">
        <v>1</v>
      </c>
      <c r="C1379">
        <f t="shared" si="45"/>
        <v>8.8678581416840763E-2</v>
      </c>
      <c r="D1379">
        <f t="shared" si="46"/>
        <v>-2.4227368910146492</v>
      </c>
    </row>
    <row r="1380" spans="1:4" x14ac:dyDescent="0.15">
      <c r="A1380" s="7">
        <v>1374</v>
      </c>
      <c r="B1380" s="7">
        <v>1</v>
      </c>
      <c r="C1380">
        <f t="shared" si="45"/>
        <v>8.8678581416840763E-2</v>
      </c>
      <c r="D1380">
        <f t="shared" si="46"/>
        <v>-2.4227368910146492</v>
      </c>
    </row>
    <row r="1381" spans="1:4" x14ac:dyDescent="0.15">
      <c r="A1381" s="7">
        <v>1375</v>
      </c>
      <c r="B1381" s="7">
        <v>2</v>
      </c>
      <c r="C1381">
        <f t="shared" si="45"/>
        <v>4.4062133811825943E-2</v>
      </c>
      <c r="D1381">
        <f t="shared" si="46"/>
        <v>-3.1221545090977791</v>
      </c>
    </row>
    <row r="1382" spans="1:4" x14ac:dyDescent="0.15">
      <c r="A1382" s="7">
        <v>1376</v>
      </c>
      <c r="B1382" s="7">
        <v>0</v>
      </c>
      <c r="C1382">
        <f t="shared" si="45"/>
        <v>0.75586055390364359</v>
      </c>
      <c r="D1382">
        <f t="shared" si="46"/>
        <v>-0.27989837232446807</v>
      </c>
    </row>
    <row r="1383" spans="1:4" x14ac:dyDescent="0.15">
      <c r="A1383" s="7">
        <v>1377</v>
      </c>
      <c r="B1383" s="7">
        <v>0</v>
      </c>
      <c r="C1383">
        <f t="shared" si="45"/>
        <v>0.75586055390364359</v>
      </c>
      <c r="D1383">
        <f t="shared" si="46"/>
        <v>-0.27989837232446807</v>
      </c>
    </row>
    <row r="1384" spans="1:4" x14ac:dyDescent="0.15">
      <c r="A1384" s="7">
        <v>1378</v>
      </c>
      <c r="B1384" s="7">
        <v>0</v>
      </c>
      <c r="C1384">
        <f t="shared" si="45"/>
        <v>0.75586055390364359</v>
      </c>
      <c r="D1384">
        <f t="shared" si="46"/>
        <v>-0.27989837232446807</v>
      </c>
    </row>
    <row r="1385" spans="1:4" x14ac:dyDescent="0.15">
      <c r="A1385" s="7">
        <v>1379</v>
      </c>
      <c r="B1385" s="7">
        <v>0</v>
      </c>
      <c r="C1385">
        <f t="shared" si="45"/>
        <v>0.75586055390364359</v>
      </c>
      <c r="D1385">
        <f t="shared" si="46"/>
        <v>-0.27989837232446807</v>
      </c>
    </row>
    <row r="1386" spans="1:4" x14ac:dyDescent="0.15">
      <c r="A1386" s="7">
        <v>1380</v>
      </c>
      <c r="B1386" s="7">
        <v>0</v>
      </c>
      <c r="C1386">
        <f t="shared" si="45"/>
        <v>0.75586055390364359</v>
      </c>
      <c r="D1386">
        <f t="shared" si="46"/>
        <v>-0.27989837232446807</v>
      </c>
    </row>
    <row r="1387" spans="1:4" x14ac:dyDescent="0.15">
      <c r="A1387" s="7">
        <v>1381</v>
      </c>
      <c r="B1387" s="7">
        <v>0</v>
      </c>
      <c r="C1387">
        <f t="shared" si="45"/>
        <v>0.75586055390364359</v>
      </c>
      <c r="D1387">
        <f t="shared" si="46"/>
        <v>-0.27989837232446807</v>
      </c>
    </row>
    <row r="1388" spans="1:4" x14ac:dyDescent="0.15">
      <c r="A1388" s="7">
        <v>1382</v>
      </c>
      <c r="B1388" s="7">
        <v>5</v>
      </c>
      <c r="C1388">
        <f t="shared" si="45"/>
        <v>1.366675533834656E-2</v>
      </c>
      <c r="D1388">
        <f t="shared" si="46"/>
        <v>-4.2927890127952875</v>
      </c>
    </row>
    <row r="1389" spans="1:4" x14ac:dyDescent="0.15">
      <c r="A1389" s="7">
        <v>1383</v>
      </c>
      <c r="B1389" s="7">
        <v>0</v>
      </c>
      <c r="C1389">
        <f t="shared" si="45"/>
        <v>0.75586055390364359</v>
      </c>
      <c r="D1389">
        <f t="shared" si="46"/>
        <v>-0.27989837232446807</v>
      </c>
    </row>
    <row r="1390" spans="1:4" x14ac:dyDescent="0.15">
      <c r="A1390" s="7">
        <v>1384</v>
      </c>
      <c r="B1390" s="7">
        <v>0</v>
      </c>
      <c r="C1390">
        <f t="shared" si="45"/>
        <v>0.75586055390364359</v>
      </c>
      <c r="D1390">
        <f t="shared" si="46"/>
        <v>-0.27989837232446807</v>
      </c>
    </row>
    <row r="1391" spans="1:4" x14ac:dyDescent="0.15">
      <c r="A1391" s="7">
        <v>1385</v>
      </c>
      <c r="B1391" s="7">
        <v>1</v>
      </c>
      <c r="C1391">
        <f t="shared" si="45"/>
        <v>8.8678581416840763E-2</v>
      </c>
      <c r="D1391">
        <f t="shared" si="46"/>
        <v>-2.4227368910146492</v>
      </c>
    </row>
    <row r="1392" spans="1:4" x14ac:dyDescent="0.15">
      <c r="A1392" s="7">
        <v>1386</v>
      </c>
      <c r="B1392" s="7">
        <v>0</v>
      </c>
      <c r="C1392">
        <f t="shared" si="45"/>
        <v>0.75586055390364359</v>
      </c>
      <c r="D1392">
        <f t="shared" si="46"/>
        <v>-0.27989837232446807</v>
      </c>
    </row>
    <row r="1393" spans="1:4" x14ac:dyDescent="0.15">
      <c r="A1393" s="7">
        <v>1387</v>
      </c>
      <c r="B1393" s="7">
        <v>0</v>
      </c>
      <c r="C1393">
        <f t="shared" si="45"/>
        <v>0.75586055390364359</v>
      </c>
      <c r="D1393">
        <f t="shared" si="46"/>
        <v>-0.27989837232446807</v>
      </c>
    </row>
    <row r="1394" spans="1:4" x14ac:dyDescent="0.15">
      <c r="A1394" s="7">
        <v>1388</v>
      </c>
      <c r="B1394" s="7">
        <v>1</v>
      </c>
      <c r="C1394">
        <f t="shared" si="45"/>
        <v>8.8678581416840763E-2</v>
      </c>
      <c r="D1394">
        <f t="shared" si="46"/>
        <v>-2.4227368910146492</v>
      </c>
    </row>
    <row r="1395" spans="1:4" x14ac:dyDescent="0.15">
      <c r="A1395" s="7">
        <v>1389</v>
      </c>
      <c r="B1395" s="7">
        <v>9</v>
      </c>
      <c r="C1395">
        <f t="shared" si="45"/>
        <v>4.8724597930648464E-3</v>
      </c>
      <c r="D1395">
        <f t="shared" si="46"/>
        <v>-5.3241563784247425</v>
      </c>
    </row>
    <row r="1396" spans="1:4" x14ac:dyDescent="0.15">
      <c r="A1396" s="7">
        <v>1390</v>
      </c>
      <c r="B1396" s="7">
        <v>0</v>
      </c>
      <c r="C1396">
        <f t="shared" si="45"/>
        <v>0.75586055390364359</v>
      </c>
      <c r="D1396">
        <f t="shared" si="46"/>
        <v>-0.27989837232446807</v>
      </c>
    </row>
    <row r="1397" spans="1:4" x14ac:dyDescent="0.15">
      <c r="A1397" s="7">
        <v>1391</v>
      </c>
      <c r="B1397" s="7">
        <v>0</v>
      </c>
      <c r="C1397">
        <f t="shared" si="45"/>
        <v>0.75586055390364359</v>
      </c>
      <c r="D1397">
        <f t="shared" si="46"/>
        <v>-0.27989837232446807</v>
      </c>
    </row>
    <row r="1398" spans="1:4" x14ac:dyDescent="0.15">
      <c r="A1398" s="7">
        <v>1392</v>
      </c>
      <c r="B1398" s="7">
        <v>0</v>
      </c>
      <c r="C1398">
        <f t="shared" si="45"/>
        <v>0.75586055390364359</v>
      </c>
      <c r="D1398">
        <f t="shared" si="46"/>
        <v>-0.27989837232446807</v>
      </c>
    </row>
    <row r="1399" spans="1:4" x14ac:dyDescent="0.15">
      <c r="A1399" s="7">
        <v>1393</v>
      </c>
      <c r="B1399" s="7">
        <v>0</v>
      </c>
      <c r="C1399">
        <f t="shared" si="45"/>
        <v>0.75586055390364359</v>
      </c>
      <c r="D1399">
        <f t="shared" si="46"/>
        <v>-0.27989837232446807</v>
      </c>
    </row>
    <row r="1400" spans="1:4" x14ac:dyDescent="0.15">
      <c r="A1400" s="7">
        <v>1394</v>
      </c>
      <c r="B1400" s="7">
        <v>0</v>
      </c>
      <c r="C1400">
        <f t="shared" si="45"/>
        <v>0.75586055390364359</v>
      </c>
      <c r="D1400">
        <f t="shared" si="46"/>
        <v>-0.27989837232446807</v>
      </c>
    </row>
    <row r="1401" spans="1:4" x14ac:dyDescent="0.15">
      <c r="A1401" s="7">
        <v>1395</v>
      </c>
      <c r="B1401" s="7">
        <v>8</v>
      </c>
      <c r="C1401">
        <f t="shared" si="45"/>
        <v>6.1514536381425521E-3</v>
      </c>
      <c r="D1401">
        <f t="shared" si="46"/>
        <v>-5.0910668611676444</v>
      </c>
    </row>
    <row r="1402" spans="1:4" x14ac:dyDescent="0.15">
      <c r="A1402" s="7">
        <v>1396</v>
      </c>
      <c r="B1402" s="7">
        <v>0</v>
      </c>
      <c r="C1402">
        <f t="shared" si="45"/>
        <v>0.75586055390364359</v>
      </c>
      <c r="D1402">
        <f t="shared" si="46"/>
        <v>-0.27989837232446807</v>
      </c>
    </row>
    <row r="1403" spans="1:4" x14ac:dyDescent="0.15">
      <c r="A1403" s="7">
        <v>1397</v>
      </c>
      <c r="B1403" s="7">
        <v>1</v>
      </c>
      <c r="C1403">
        <f t="shared" si="45"/>
        <v>8.8678581416840763E-2</v>
      </c>
      <c r="D1403">
        <f t="shared" si="46"/>
        <v>-2.4227368910146492</v>
      </c>
    </row>
    <row r="1404" spans="1:4" x14ac:dyDescent="0.15">
      <c r="A1404" s="7">
        <v>1398</v>
      </c>
      <c r="B1404" s="7">
        <v>0</v>
      </c>
      <c r="C1404">
        <f t="shared" si="45"/>
        <v>0.75586055390364359</v>
      </c>
      <c r="D1404">
        <f t="shared" si="46"/>
        <v>-0.27989837232446807</v>
      </c>
    </row>
    <row r="1405" spans="1:4" x14ac:dyDescent="0.15">
      <c r="A1405" s="7">
        <v>1399</v>
      </c>
      <c r="B1405" s="7">
        <v>2</v>
      </c>
      <c r="C1405">
        <f t="shared" si="45"/>
        <v>4.4062133811825943E-2</v>
      </c>
      <c r="D1405">
        <f t="shared" si="46"/>
        <v>-3.1221545090977791</v>
      </c>
    </row>
    <row r="1406" spans="1:4" x14ac:dyDescent="0.15">
      <c r="A1406" s="7">
        <v>1400</v>
      </c>
      <c r="B1406" s="7">
        <v>0</v>
      </c>
      <c r="C1406">
        <f t="shared" si="45"/>
        <v>0.75586055390364359</v>
      </c>
      <c r="D1406">
        <f t="shared" si="46"/>
        <v>-0.27989837232446807</v>
      </c>
    </row>
    <row r="1407" spans="1:4" x14ac:dyDescent="0.15">
      <c r="A1407" s="7">
        <v>1401</v>
      </c>
      <c r="B1407" s="7">
        <v>22</v>
      </c>
      <c r="C1407">
        <f t="shared" si="45"/>
        <v>4.0599912821353689E-4</v>
      </c>
      <c r="D1407">
        <f t="shared" si="46"/>
        <v>-7.809159545622145</v>
      </c>
    </row>
    <row r="1408" spans="1:4" x14ac:dyDescent="0.15">
      <c r="A1408" s="7">
        <v>1402</v>
      </c>
      <c r="B1408" s="7">
        <v>0</v>
      </c>
      <c r="C1408">
        <f t="shared" si="45"/>
        <v>0.75586055390364359</v>
      </c>
      <c r="D1408">
        <f t="shared" si="46"/>
        <v>-0.27989837232446807</v>
      </c>
    </row>
    <row r="1409" spans="1:4" x14ac:dyDescent="0.15">
      <c r="A1409" s="7">
        <v>1403</v>
      </c>
      <c r="B1409" s="7">
        <v>0</v>
      </c>
      <c r="C1409">
        <f t="shared" si="45"/>
        <v>0.75586055390364359</v>
      </c>
      <c r="D1409">
        <f t="shared" si="46"/>
        <v>-0.27989837232446807</v>
      </c>
    </row>
    <row r="1410" spans="1:4" x14ac:dyDescent="0.15">
      <c r="A1410" s="7">
        <v>1404</v>
      </c>
      <c r="B1410" s="7">
        <v>0</v>
      </c>
      <c r="C1410">
        <f t="shared" si="45"/>
        <v>0.75586055390364359</v>
      </c>
      <c r="D1410">
        <f t="shared" si="46"/>
        <v>-0.27989837232446807</v>
      </c>
    </row>
    <row r="1411" spans="1:4" x14ac:dyDescent="0.15">
      <c r="A1411" s="7">
        <v>1405</v>
      </c>
      <c r="B1411" s="7">
        <v>0</v>
      </c>
      <c r="C1411">
        <f t="shared" si="45"/>
        <v>0.75586055390364359</v>
      </c>
      <c r="D1411">
        <f t="shared" si="46"/>
        <v>-0.27989837232446807</v>
      </c>
    </row>
    <row r="1412" spans="1:4" x14ac:dyDescent="0.15">
      <c r="A1412" s="7">
        <v>1406</v>
      </c>
      <c r="B1412" s="7">
        <v>0</v>
      </c>
      <c r="C1412">
        <f t="shared" si="45"/>
        <v>0.75586055390364359</v>
      </c>
      <c r="D1412">
        <f t="shared" si="46"/>
        <v>-0.27989837232446807</v>
      </c>
    </row>
    <row r="1413" spans="1:4" x14ac:dyDescent="0.15">
      <c r="A1413" s="7">
        <v>1407</v>
      </c>
      <c r="B1413" s="7">
        <v>0</v>
      </c>
      <c r="C1413">
        <f t="shared" si="45"/>
        <v>0.75586055390364359</v>
      </c>
      <c r="D1413">
        <f t="shared" si="46"/>
        <v>-0.27989837232446807</v>
      </c>
    </row>
    <row r="1414" spans="1:4" x14ac:dyDescent="0.15">
      <c r="A1414" s="7">
        <v>1408</v>
      </c>
      <c r="B1414" s="7">
        <v>0</v>
      </c>
      <c r="C1414">
        <f t="shared" si="45"/>
        <v>0.75586055390364359</v>
      </c>
      <c r="D1414">
        <f t="shared" si="46"/>
        <v>-0.27989837232446807</v>
      </c>
    </row>
    <row r="1415" spans="1:4" x14ac:dyDescent="0.15">
      <c r="A1415" s="7">
        <v>1409</v>
      </c>
      <c r="B1415" s="7">
        <v>0</v>
      </c>
      <c r="C1415">
        <f t="shared" si="45"/>
        <v>0.75586055390364359</v>
      </c>
      <c r="D1415">
        <f t="shared" si="46"/>
        <v>-0.27989837232446807</v>
      </c>
    </row>
    <row r="1416" spans="1:4" x14ac:dyDescent="0.15">
      <c r="A1416" s="7">
        <v>1410</v>
      </c>
      <c r="B1416" s="7">
        <v>0</v>
      </c>
      <c r="C1416">
        <f t="shared" ref="C1416:C1479" si="47">(_xlfn.GAMMA($B$1+B1416)/(_xlfn.GAMMA($B$1)*FACT(B1416))) * ($B$2/($B$2+$B$4))^$B$1 * (1/($B$2 +$B$4))^B1416</f>
        <v>0.75586055390364359</v>
      </c>
      <c r="D1416">
        <f t="shared" ref="D1416:D1479" si="48">LN(C1416)</f>
        <v>-0.27989837232446807</v>
      </c>
    </row>
    <row r="1417" spans="1:4" x14ac:dyDescent="0.15">
      <c r="A1417" s="7">
        <v>1411</v>
      </c>
      <c r="B1417" s="7">
        <v>0</v>
      </c>
      <c r="C1417">
        <f t="shared" si="47"/>
        <v>0.75586055390364359</v>
      </c>
      <c r="D1417">
        <f t="shared" si="48"/>
        <v>-0.27989837232446807</v>
      </c>
    </row>
    <row r="1418" spans="1:4" x14ac:dyDescent="0.15">
      <c r="A1418" s="7">
        <v>1412</v>
      </c>
      <c r="B1418" s="7">
        <v>0</v>
      </c>
      <c r="C1418">
        <f t="shared" si="47"/>
        <v>0.75586055390364359</v>
      </c>
      <c r="D1418">
        <f t="shared" si="48"/>
        <v>-0.27989837232446807</v>
      </c>
    </row>
    <row r="1419" spans="1:4" x14ac:dyDescent="0.15">
      <c r="A1419" s="7">
        <v>1413</v>
      </c>
      <c r="B1419" s="7">
        <v>0</v>
      </c>
      <c r="C1419">
        <f t="shared" si="47"/>
        <v>0.75586055390364359</v>
      </c>
      <c r="D1419">
        <f t="shared" si="48"/>
        <v>-0.27989837232446807</v>
      </c>
    </row>
    <row r="1420" spans="1:4" x14ac:dyDescent="0.15">
      <c r="A1420" s="7">
        <v>1414</v>
      </c>
      <c r="B1420" s="7">
        <v>2</v>
      </c>
      <c r="C1420">
        <f t="shared" si="47"/>
        <v>4.4062133811825943E-2</v>
      </c>
      <c r="D1420">
        <f t="shared" si="48"/>
        <v>-3.1221545090977791</v>
      </c>
    </row>
    <row r="1421" spans="1:4" x14ac:dyDescent="0.15">
      <c r="A1421" s="7">
        <v>1415</v>
      </c>
      <c r="B1421" s="7">
        <v>1</v>
      </c>
      <c r="C1421">
        <f t="shared" si="47"/>
        <v>8.8678581416840763E-2</v>
      </c>
      <c r="D1421">
        <f t="shared" si="48"/>
        <v>-2.4227368910146492</v>
      </c>
    </row>
    <row r="1422" spans="1:4" x14ac:dyDescent="0.15">
      <c r="A1422" s="7">
        <v>1416</v>
      </c>
      <c r="B1422" s="7">
        <v>1</v>
      </c>
      <c r="C1422">
        <f t="shared" si="47"/>
        <v>8.8678581416840763E-2</v>
      </c>
      <c r="D1422">
        <f t="shared" si="48"/>
        <v>-2.4227368910146492</v>
      </c>
    </row>
    <row r="1423" spans="1:4" x14ac:dyDescent="0.15">
      <c r="A1423" s="7">
        <v>1417</v>
      </c>
      <c r="B1423" s="7">
        <v>0</v>
      </c>
      <c r="C1423">
        <f t="shared" si="47"/>
        <v>0.75586055390364359</v>
      </c>
      <c r="D1423">
        <f t="shared" si="48"/>
        <v>-0.27989837232446807</v>
      </c>
    </row>
    <row r="1424" spans="1:4" x14ac:dyDescent="0.15">
      <c r="A1424" s="7">
        <v>1418</v>
      </c>
      <c r="B1424" s="7">
        <v>0</v>
      </c>
      <c r="C1424">
        <f t="shared" si="47"/>
        <v>0.75586055390364359</v>
      </c>
      <c r="D1424">
        <f t="shared" si="48"/>
        <v>-0.27989837232446807</v>
      </c>
    </row>
    <row r="1425" spans="1:4" x14ac:dyDescent="0.15">
      <c r="A1425" s="7">
        <v>1419</v>
      </c>
      <c r="B1425" s="7">
        <v>0</v>
      </c>
      <c r="C1425">
        <f t="shared" si="47"/>
        <v>0.75586055390364359</v>
      </c>
      <c r="D1425">
        <f t="shared" si="48"/>
        <v>-0.27989837232446807</v>
      </c>
    </row>
    <row r="1426" spans="1:4" x14ac:dyDescent="0.15">
      <c r="A1426" s="7">
        <v>1420</v>
      </c>
      <c r="B1426" s="7">
        <v>0</v>
      </c>
      <c r="C1426">
        <f t="shared" si="47"/>
        <v>0.75586055390364359</v>
      </c>
      <c r="D1426">
        <f t="shared" si="48"/>
        <v>-0.27989837232446807</v>
      </c>
    </row>
    <row r="1427" spans="1:4" x14ac:dyDescent="0.15">
      <c r="A1427" s="7">
        <v>1421</v>
      </c>
      <c r="B1427" s="7">
        <v>1</v>
      </c>
      <c r="C1427">
        <f t="shared" si="47"/>
        <v>8.8678581416840763E-2</v>
      </c>
      <c r="D1427">
        <f t="shared" si="48"/>
        <v>-2.4227368910146492</v>
      </c>
    </row>
    <row r="1428" spans="1:4" x14ac:dyDescent="0.15">
      <c r="A1428" s="7">
        <v>1422</v>
      </c>
      <c r="B1428" s="7">
        <v>5</v>
      </c>
      <c r="C1428">
        <f t="shared" si="47"/>
        <v>1.366675533834656E-2</v>
      </c>
      <c r="D1428">
        <f t="shared" si="48"/>
        <v>-4.2927890127952875</v>
      </c>
    </row>
    <row r="1429" spans="1:4" x14ac:dyDescent="0.15">
      <c r="A1429" s="7">
        <v>1423</v>
      </c>
      <c r="B1429" s="7">
        <v>0</v>
      </c>
      <c r="C1429">
        <f t="shared" si="47"/>
        <v>0.75586055390364359</v>
      </c>
      <c r="D1429">
        <f t="shared" si="48"/>
        <v>-0.27989837232446807</v>
      </c>
    </row>
    <row r="1430" spans="1:4" x14ac:dyDescent="0.15">
      <c r="A1430" s="7">
        <v>1424</v>
      </c>
      <c r="B1430" s="7">
        <v>0</v>
      </c>
      <c r="C1430">
        <f t="shared" si="47"/>
        <v>0.75586055390364359</v>
      </c>
      <c r="D1430">
        <f t="shared" si="48"/>
        <v>-0.27989837232446807</v>
      </c>
    </row>
    <row r="1431" spans="1:4" x14ac:dyDescent="0.15">
      <c r="A1431" s="7">
        <v>1425</v>
      </c>
      <c r="B1431" s="7">
        <v>0</v>
      </c>
      <c r="C1431">
        <f t="shared" si="47"/>
        <v>0.75586055390364359</v>
      </c>
      <c r="D1431">
        <f t="shared" si="48"/>
        <v>-0.27989837232446807</v>
      </c>
    </row>
    <row r="1432" spans="1:4" x14ac:dyDescent="0.15">
      <c r="A1432" s="7">
        <v>1426</v>
      </c>
      <c r="B1432" s="7">
        <v>0</v>
      </c>
      <c r="C1432">
        <f t="shared" si="47"/>
        <v>0.75586055390364359</v>
      </c>
      <c r="D1432">
        <f t="shared" si="48"/>
        <v>-0.27989837232446807</v>
      </c>
    </row>
    <row r="1433" spans="1:4" x14ac:dyDescent="0.15">
      <c r="A1433" s="7">
        <v>1427</v>
      </c>
      <c r="B1433" s="7">
        <v>0</v>
      </c>
      <c r="C1433">
        <f t="shared" si="47"/>
        <v>0.75586055390364359</v>
      </c>
      <c r="D1433">
        <f t="shared" si="48"/>
        <v>-0.27989837232446807</v>
      </c>
    </row>
    <row r="1434" spans="1:4" x14ac:dyDescent="0.15">
      <c r="A1434" s="7">
        <v>1428</v>
      </c>
      <c r="B1434" s="7">
        <v>0</v>
      </c>
      <c r="C1434">
        <f t="shared" si="47"/>
        <v>0.75586055390364359</v>
      </c>
      <c r="D1434">
        <f t="shared" si="48"/>
        <v>-0.27989837232446807</v>
      </c>
    </row>
    <row r="1435" spans="1:4" x14ac:dyDescent="0.15">
      <c r="A1435" s="7">
        <v>1429</v>
      </c>
      <c r="B1435" s="7">
        <v>0</v>
      </c>
      <c r="C1435">
        <f t="shared" si="47"/>
        <v>0.75586055390364359</v>
      </c>
      <c r="D1435">
        <f t="shared" si="48"/>
        <v>-0.27989837232446807</v>
      </c>
    </row>
    <row r="1436" spans="1:4" x14ac:dyDescent="0.15">
      <c r="A1436" s="7">
        <v>1430</v>
      </c>
      <c r="B1436" s="7">
        <v>0</v>
      </c>
      <c r="C1436">
        <f t="shared" si="47"/>
        <v>0.75586055390364359</v>
      </c>
      <c r="D1436">
        <f t="shared" si="48"/>
        <v>-0.27989837232446807</v>
      </c>
    </row>
    <row r="1437" spans="1:4" x14ac:dyDescent="0.15">
      <c r="A1437" s="7">
        <v>1431</v>
      </c>
      <c r="B1437" s="7">
        <v>0</v>
      </c>
      <c r="C1437">
        <f t="shared" si="47"/>
        <v>0.75586055390364359</v>
      </c>
      <c r="D1437">
        <f t="shared" si="48"/>
        <v>-0.27989837232446807</v>
      </c>
    </row>
    <row r="1438" spans="1:4" x14ac:dyDescent="0.15">
      <c r="A1438" s="7">
        <v>1432</v>
      </c>
      <c r="B1438" s="7">
        <v>0</v>
      </c>
      <c r="C1438">
        <f t="shared" si="47"/>
        <v>0.75586055390364359</v>
      </c>
      <c r="D1438">
        <f t="shared" si="48"/>
        <v>-0.27989837232446807</v>
      </c>
    </row>
    <row r="1439" spans="1:4" x14ac:dyDescent="0.15">
      <c r="A1439" s="7">
        <v>1433</v>
      </c>
      <c r="B1439" s="7">
        <v>3</v>
      </c>
      <c r="C1439">
        <f t="shared" si="47"/>
        <v>2.7467996558433502E-2</v>
      </c>
      <c r="D1439">
        <f t="shared" si="48"/>
        <v>-3.594733713517384</v>
      </c>
    </row>
    <row r="1440" spans="1:4" x14ac:dyDescent="0.15">
      <c r="A1440" s="7">
        <v>1434</v>
      </c>
      <c r="B1440" s="7">
        <v>1</v>
      </c>
      <c r="C1440">
        <f t="shared" si="47"/>
        <v>8.8678581416840763E-2</v>
      </c>
      <c r="D1440">
        <f t="shared" si="48"/>
        <v>-2.4227368910146492</v>
      </c>
    </row>
    <row r="1441" spans="1:4" x14ac:dyDescent="0.15">
      <c r="A1441" s="7">
        <v>1435</v>
      </c>
      <c r="B1441" s="7">
        <v>0</v>
      </c>
      <c r="C1441">
        <f t="shared" si="47"/>
        <v>0.75586055390364359</v>
      </c>
      <c r="D1441">
        <f t="shared" si="48"/>
        <v>-0.27989837232446807</v>
      </c>
    </row>
    <row r="1442" spans="1:4" x14ac:dyDescent="0.15">
      <c r="A1442" s="7">
        <v>1436</v>
      </c>
      <c r="B1442" s="7">
        <v>0</v>
      </c>
      <c r="C1442">
        <f t="shared" si="47"/>
        <v>0.75586055390364359</v>
      </c>
      <c r="D1442">
        <f t="shared" si="48"/>
        <v>-0.27989837232446807</v>
      </c>
    </row>
    <row r="1443" spans="1:4" x14ac:dyDescent="0.15">
      <c r="A1443" s="7">
        <v>1437</v>
      </c>
      <c r="B1443" s="7">
        <v>0</v>
      </c>
      <c r="C1443">
        <f t="shared" si="47"/>
        <v>0.75586055390364359</v>
      </c>
      <c r="D1443">
        <f t="shared" si="48"/>
        <v>-0.27989837232446807</v>
      </c>
    </row>
    <row r="1444" spans="1:4" x14ac:dyDescent="0.15">
      <c r="A1444" s="7">
        <v>1438</v>
      </c>
      <c r="B1444" s="7">
        <v>0</v>
      </c>
      <c r="C1444">
        <f t="shared" si="47"/>
        <v>0.75586055390364359</v>
      </c>
      <c r="D1444">
        <f t="shared" si="48"/>
        <v>-0.27989837232446807</v>
      </c>
    </row>
    <row r="1445" spans="1:4" x14ac:dyDescent="0.15">
      <c r="A1445" s="7">
        <v>1439</v>
      </c>
      <c r="B1445" s="7">
        <v>0</v>
      </c>
      <c r="C1445">
        <f t="shared" si="47"/>
        <v>0.75586055390364359</v>
      </c>
      <c r="D1445">
        <f t="shared" si="48"/>
        <v>-0.27989837232446807</v>
      </c>
    </row>
    <row r="1446" spans="1:4" x14ac:dyDescent="0.15">
      <c r="A1446" s="7">
        <v>1440</v>
      </c>
      <c r="B1446" s="7">
        <v>3</v>
      </c>
      <c r="C1446">
        <f t="shared" si="47"/>
        <v>2.7467996558433502E-2</v>
      </c>
      <c r="D1446">
        <f t="shared" si="48"/>
        <v>-3.594733713517384</v>
      </c>
    </row>
    <row r="1447" spans="1:4" x14ac:dyDescent="0.15">
      <c r="A1447" s="7">
        <v>1441</v>
      </c>
      <c r="B1447" s="7">
        <v>3</v>
      </c>
      <c r="C1447">
        <f t="shared" si="47"/>
        <v>2.7467996558433502E-2</v>
      </c>
      <c r="D1447">
        <f t="shared" si="48"/>
        <v>-3.594733713517384</v>
      </c>
    </row>
    <row r="1448" spans="1:4" x14ac:dyDescent="0.15">
      <c r="A1448" s="7">
        <v>1442</v>
      </c>
      <c r="B1448" s="7">
        <v>2</v>
      </c>
      <c r="C1448">
        <f t="shared" si="47"/>
        <v>4.4062133811825943E-2</v>
      </c>
      <c r="D1448">
        <f t="shared" si="48"/>
        <v>-3.1221545090977791</v>
      </c>
    </row>
    <row r="1449" spans="1:4" x14ac:dyDescent="0.15">
      <c r="A1449" s="7">
        <v>1443</v>
      </c>
      <c r="B1449" s="7">
        <v>0</v>
      </c>
      <c r="C1449">
        <f t="shared" si="47"/>
        <v>0.75586055390364359</v>
      </c>
      <c r="D1449">
        <f t="shared" si="48"/>
        <v>-0.27989837232446807</v>
      </c>
    </row>
    <row r="1450" spans="1:4" x14ac:dyDescent="0.15">
      <c r="A1450" s="7">
        <v>1444</v>
      </c>
      <c r="B1450" s="7">
        <v>3</v>
      </c>
      <c r="C1450">
        <f t="shared" si="47"/>
        <v>2.7467996558433502E-2</v>
      </c>
      <c r="D1450">
        <f t="shared" si="48"/>
        <v>-3.594733713517384</v>
      </c>
    </row>
    <row r="1451" spans="1:4" x14ac:dyDescent="0.15">
      <c r="A1451" s="7">
        <v>1445</v>
      </c>
      <c r="B1451" s="7">
        <v>0</v>
      </c>
      <c r="C1451">
        <f t="shared" si="47"/>
        <v>0.75586055390364359</v>
      </c>
      <c r="D1451">
        <f t="shared" si="48"/>
        <v>-0.27989837232446807</v>
      </c>
    </row>
    <row r="1452" spans="1:4" x14ac:dyDescent="0.15">
      <c r="A1452" s="7">
        <v>1446</v>
      </c>
      <c r="B1452" s="7">
        <v>0</v>
      </c>
      <c r="C1452">
        <f t="shared" si="47"/>
        <v>0.75586055390364359</v>
      </c>
      <c r="D1452">
        <f t="shared" si="48"/>
        <v>-0.27989837232446807</v>
      </c>
    </row>
    <row r="1453" spans="1:4" x14ac:dyDescent="0.15">
      <c r="A1453" s="7">
        <v>1447</v>
      </c>
      <c r="B1453" s="7">
        <v>0</v>
      </c>
      <c r="C1453">
        <f t="shared" si="47"/>
        <v>0.75586055390364359</v>
      </c>
      <c r="D1453">
        <f t="shared" si="48"/>
        <v>-0.27989837232446807</v>
      </c>
    </row>
    <row r="1454" spans="1:4" x14ac:dyDescent="0.15">
      <c r="A1454" s="7">
        <v>1448</v>
      </c>
      <c r="B1454" s="7">
        <v>2</v>
      </c>
      <c r="C1454">
        <f t="shared" si="47"/>
        <v>4.4062133811825943E-2</v>
      </c>
      <c r="D1454">
        <f t="shared" si="48"/>
        <v>-3.1221545090977791</v>
      </c>
    </row>
    <row r="1455" spans="1:4" x14ac:dyDescent="0.15">
      <c r="A1455" s="7">
        <v>1449</v>
      </c>
      <c r="B1455" s="7">
        <v>0</v>
      </c>
      <c r="C1455">
        <f t="shared" si="47"/>
        <v>0.75586055390364359</v>
      </c>
      <c r="D1455">
        <f t="shared" si="48"/>
        <v>-0.27989837232446807</v>
      </c>
    </row>
    <row r="1456" spans="1:4" x14ac:dyDescent="0.15">
      <c r="A1456" s="7">
        <v>1450</v>
      </c>
      <c r="B1456" s="7">
        <v>0</v>
      </c>
      <c r="C1456">
        <f t="shared" si="47"/>
        <v>0.75586055390364359</v>
      </c>
      <c r="D1456">
        <f t="shared" si="48"/>
        <v>-0.27989837232446807</v>
      </c>
    </row>
    <row r="1457" spans="1:4" x14ac:dyDescent="0.15">
      <c r="A1457" s="7">
        <v>1451</v>
      </c>
      <c r="B1457" s="7">
        <v>0</v>
      </c>
      <c r="C1457">
        <f t="shared" si="47"/>
        <v>0.75586055390364359</v>
      </c>
      <c r="D1457">
        <f t="shared" si="48"/>
        <v>-0.27989837232446807</v>
      </c>
    </row>
    <row r="1458" spans="1:4" x14ac:dyDescent="0.15">
      <c r="A1458" s="7">
        <v>1452</v>
      </c>
      <c r="B1458" s="7">
        <v>0</v>
      </c>
      <c r="C1458">
        <f t="shared" si="47"/>
        <v>0.75586055390364359</v>
      </c>
      <c r="D1458">
        <f t="shared" si="48"/>
        <v>-0.27989837232446807</v>
      </c>
    </row>
    <row r="1459" spans="1:4" x14ac:dyDescent="0.15">
      <c r="A1459" s="7">
        <v>1453</v>
      </c>
      <c r="B1459" s="7">
        <v>1</v>
      </c>
      <c r="C1459">
        <f t="shared" si="47"/>
        <v>8.8678581416840763E-2</v>
      </c>
      <c r="D1459">
        <f t="shared" si="48"/>
        <v>-2.4227368910146492</v>
      </c>
    </row>
    <row r="1460" spans="1:4" x14ac:dyDescent="0.15">
      <c r="A1460" s="7">
        <v>1454</v>
      </c>
      <c r="B1460" s="7">
        <v>0</v>
      </c>
      <c r="C1460">
        <f t="shared" si="47"/>
        <v>0.75586055390364359</v>
      </c>
      <c r="D1460">
        <f t="shared" si="48"/>
        <v>-0.27989837232446807</v>
      </c>
    </row>
    <row r="1461" spans="1:4" x14ac:dyDescent="0.15">
      <c r="A1461" s="7">
        <v>1455</v>
      </c>
      <c r="B1461" s="7">
        <v>0</v>
      </c>
      <c r="C1461">
        <f t="shared" si="47"/>
        <v>0.75586055390364359</v>
      </c>
      <c r="D1461">
        <f t="shared" si="48"/>
        <v>-0.27989837232446807</v>
      </c>
    </row>
    <row r="1462" spans="1:4" x14ac:dyDescent="0.15">
      <c r="A1462" s="7">
        <v>1456</v>
      </c>
      <c r="B1462" s="7">
        <v>0</v>
      </c>
      <c r="C1462">
        <f t="shared" si="47"/>
        <v>0.75586055390364359</v>
      </c>
      <c r="D1462">
        <f t="shared" si="48"/>
        <v>-0.27989837232446807</v>
      </c>
    </row>
    <row r="1463" spans="1:4" x14ac:dyDescent="0.15">
      <c r="A1463" s="7">
        <v>1457</v>
      </c>
      <c r="B1463" s="7">
        <v>7</v>
      </c>
      <c r="C1463">
        <f t="shared" si="47"/>
        <v>7.8709438009233242E-3</v>
      </c>
      <c r="D1463">
        <f t="shared" si="48"/>
        <v>-4.8445772998646781</v>
      </c>
    </row>
    <row r="1464" spans="1:4" x14ac:dyDescent="0.15">
      <c r="A1464" s="7">
        <v>1458</v>
      </c>
      <c r="B1464" s="7">
        <v>0</v>
      </c>
      <c r="C1464">
        <f t="shared" si="47"/>
        <v>0.75586055390364359</v>
      </c>
      <c r="D1464">
        <f t="shared" si="48"/>
        <v>-0.27989837232446807</v>
      </c>
    </row>
    <row r="1465" spans="1:4" x14ac:dyDescent="0.15">
      <c r="A1465" s="7">
        <v>1459</v>
      </c>
      <c r="B1465" s="7">
        <v>0</v>
      </c>
      <c r="C1465">
        <f t="shared" si="47"/>
        <v>0.75586055390364359</v>
      </c>
      <c r="D1465">
        <f t="shared" si="48"/>
        <v>-0.27989837232446807</v>
      </c>
    </row>
    <row r="1466" spans="1:4" x14ac:dyDescent="0.15">
      <c r="A1466" s="7">
        <v>1460</v>
      </c>
      <c r="B1466" s="7">
        <v>0</v>
      </c>
      <c r="C1466">
        <f t="shared" si="47"/>
        <v>0.75586055390364359</v>
      </c>
      <c r="D1466">
        <f t="shared" si="48"/>
        <v>-0.27989837232446807</v>
      </c>
    </row>
    <row r="1467" spans="1:4" x14ac:dyDescent="0.15">
      <c r="A1467" s="7">
        <v>1461</v>
      </c>
      <c r="B1467" s="7">
        <v>0</v>
      </c>
      <c r="C1467">
        <f t="shared" si="47"/>
        <v>0.75586055390364359</v>
      </c>
      <c r="D1467">
        <f t="shared" si="48"/>
        <v>-0.27989837232446807</v>
      </c>
    </row>
    <row r="1468" spans="1:4" x14ac:dyDescent="0.15">
      <c r="A1468" s="7">
        <v>1462</v>
      </c>
      <c r="B1468" s="7">
        <v>0</v>
      </c>
      <c r="C1468">
        <f t="shared" si="47"/>
        <v>0.75586055390364359</v>
      </c>
      <c r="D1468">
        <f t="shared" si="48"/>
        <v>-0.27989837232446807</v>
      </c>
    </row>
    <row r="1469" spans="1:4" x14ac:dyDescent="0.15">
      <c r="A1469" s="7">
        <v>1463</v>
      </c>
      <c r="B1469" s="7">
        <v>0</v>
      </c>
      <c r="C1469">
        <f t="shared" si="47"/>
        <v>0.75586055390364359</v>
      </c>
      <c r="D1469">
        <f t="shared" si="48"/>
        <v>-0.27989837232446807</v>
      </c>
    </row>
    <row r="1470" spans="1:4" x14ac:dyDescent="0.15">
      <c r="A1470" s="7">
        <v>1464</v>
      </c>
      <c r="B1470" s="7">
        <v>0</v>
      </c>
      <c r="C1470">
        <f t="shared" si="47"/>
        <v>0.75586055390364359</v>
      </c>
      <c r="D1470">
        <f t="shared" si="48"/>
        <v>-0.27989837232446807</v>
      </c>
    </row>
    <row r="1471" spans="1:4" x14ac:dyDescent="0.15">
      <c r="A1471" s="7">
        <v>1465</v>
      </c>
      <c r="B1471" s="7">
        <v>1</v>
      </c>
      <c r="C1471">
        <f t="shared" si="47"/>
        <v>8.8678581416840763E-2</v>
      </c>
      <c r="D1471">
        <f t="shared" si="48"/>
        <v>-2.4227368910146492</v>
      </c>
    </row>
    <row r="1472" spans="1:4" x14ac:dyDescent="0.15">
      <c r="A1472" s="7">
        <v>1466</v>
      </c>
      <c r="B1472" s="7">
        <v>0</v>
      </c>
      <c r="C1472">
        <f t="shared" si="47"/>
        <v>0.75586055390364359</v>
      </c>
      <c r="D1472">
        <f t="shared" si="48"/>
        <v>-0.27989837232446807</v>
      </c>
    </row>
    <row r="1473" spans="1:4" x14ac:dyDescent="0.15">
      <c r="A1473" s="7">
        <v>1467</v>
      </c>
      <c r="B1473" s="7">
        <v>3</v>
      </c>
      <c r="C1473">
        <f t="shared" si="47"/>
        <v>2.7467996558433502E-2</v>
      </c>
      <c r="D1473">
        <f t="shared" si="48"/>
        <v>-3.594733713517384</v>
      </c>
    </row>
    <row r="1474" spans="1:4" x14ac:dyDescent="0.15">
      <c r="A1474" s="7">
        <v>1468</v>
      </c>
      <c r="B1474" s="7">
        <v>0</v>
      </c>
      <c r="C1474">
        <f t="shared" si="47"/>
        <v>0.75586055390364359</v>
      </c>
      <c r="D1474">
        <f t="shared" si="48"/>
        <v>-0.27989837232446807</v>
      </c>
    </row>
    <row r="1475" spans="1:4" x14ac:dyDescent="0.15">
      <c r="A1475" s="7">
        <v>1469</v>
      </c>
      <c r="B1475" s="7">
        <v>1</v>
      </c>
      <c r="C1475">
        <f t="shared" si="47"/>
        <v>8.8678581416840763E-2</v>
      </c>
      <c r="D1475">
        <f t="shared" si="48"/>
        <v>-2.4227368910146492</v>
      </c>
    </row>
    <row r="1476" spans="1:4" x14ac:dyDescent="0.15">
      <c r="A1476" s="7">
        <v>1470</v>
      </c>
      <c r="B1476" s="7">
        <v>0</v>
      </c>
      <c r="C1476">
        <f t="shared" si="47"/>
        <v>0.75586055390364359</v>
      </c>
      <c r="D1476">
        <f t="shared" si="48"/>
        <v>-0.27989837232446807</v>
      </c>
    </row>
    <row r="1477" spans="1:4" x14ac:dyDescent="0.15">
      <c r="A1477" s="7">
        <v>1471</v>
      </c>
      <c r="B1477" s="7">
        <v>0</v>
      </c>
      <c r="C1477">
        <f t="shared" si="47"/>
        <v>0.75586055390364359</v>
      </c>
      <c r="D1477">
        <f t="shared" si="48"/>
        <v>-0.27989837232446807</v>
      </c>
    </row>
    <row r="1478" spans="1:4" x14ac:dyDescent="0.15">
      <c r="A1478" s="7">
        <v>1472</v>
      </c>
      <c r="B1478" s="7">
        <v>0</v>
      </c>
      <c r="C1478">
        <f t="shared" si="47"/>
        <v>0.75586055390364359</v>
      </c>
      <c r="D1478">
        <f t="shared" si="48"/>
        <v>-0.27989837232446807</v>
      </c>
    </row>
    <row r="1479" spans="1:4" x14ac:dyDescent="0.15">
      <c r="A1479" s="7">
        <v>1473</v>
      </c>
      <c r="B1479" s="7">
        <v>0</v>
      </c>
      <c r="C1479">
        <f t="shared" si="47"/>
        <v>0.75586055390364359</v>
      </c>
      <c r="D1479">
        <f t="shared" si="48"/>
        <v>-0.27989837232446807</v>
      </c>
    </row>
    <row r="1480" spans="1:4" x14ac:dyDescent="0.15">
      <c r="A1480" s="7">
        <v>1474</v>
      </c>
      <c r="B1480" s="7">
        <v>0</v>
      </c>
      <c r="C1480">
        <f t="shared" ref="C1480:C1543" si="49">(_xlfn.GAMMA($B$1+B1480)/(_xlfn.GAMMA($B$1)*FACT(B1480))) * ($B$2/($B$2+$B$4))^$B$1 * (1/($B$2 +$B$4))^B1480</f>
        <v>0.75586055390364359</v>
      </c>
      <c r="D1480">
        <f t="shared" ref="D1480:D1543" si="50">LN(C1480)</f>
        <v>-0.27989837232446807</v>
      </c>
    </row>
    <row r="1481" spans="1:4" x14ac:dyDescent="0.15">
      <c r="A1481" s="7">
        <v>1475</v>
      </c>
      <c r="B1481" s="7">
        <v>0</v>
      </c>
      <c r="C1481">
        <f t="shared" si="49"/>
        <v>0.75586055390364359</v>
      </c>
      <c r="D1481">
        <f t="shared" si="50"/>
        <v>-0.27989837232446807</v>
      </c>
    </row>
    <row r="1482" spans="1:4" x14ac:dyDescent="0.15">
      <c r="A1482" s="7">
        <v>1476</v>
      </c>
      <c r="B1482" s="7">
        <v>0</v>
      </c>
      <c r="C1482">
        <f t="shared" si="49"/>
        <v>0.75586055390364359</v>
      </c>
      <c r="D1482">
        <f t="shared" si="50"/>
        <v>-0.27989837232446807</v>
      </c>
    </row>
    <row r="1483" spans="1:4" x14ac:dyDescent="0.15">
      <c r="A1483" s="7">
        <v>1477</v>
      </c>
      <c r="B1483" s="7">
        <v>0</v>
      </c>
      <c r="C1483">
        <f t="shared" si="49"/>
        <v>0.75586055390364359</v>
      </c>
      <c r="D1483">
        <f t="shared" si="50"/>
        <v>-0.27989837232446807</v>
      </c>
    </row>
    <row r="1484" spans="1:4" x14ac:dyDescent="0.15">
      <c r="A1484" s="7">
        <v>1478</v>
      </c>
      <c r="B1484" s="7">
        <v>0</v>
      </c>
      <c r="C1484">
        <f t="shared" si="49"/>
        <v>0.75586055390364359</v>
      </c>
      <c r="D1484">
        <f t="shared" si="50"/>
        <v>-0.27989837232446807</v>
      </c>
    </row>
    <row r="1485" spans="1:4" x14ac:dyDescent="0.15">
      <c r="A1485" s="7">
        <v>1479</v>
      </c>
      <c r="B1485" s="7">
        <v>3</v>
      </c>
      <c r="C1485">
        <f t="shared" si="49"/>
        <v>2.7467996558433502E-2</v>
      </c>
      <c r="D1485">
        <f t="shared" si="50"/>
        <v>-3.594733713517384</v>
      </c>
    </row>
    <row r="1486" spans="1:4" x14ac:dyDescent="0.15">
      <c r="A1486" s="7">
        <v>1480</v>
      </c>
      <c r="B1486" s="7">
        <v>3</v>
      </c>
      <c r="C1486">
        <f t="shared" si="49"/>
        <v>2.7467996558433502E-2</v>
      </c>
      <c r="D1486">
        <f t="shared" si="50"/>
        <v>-3.594733713517384</v>
      </c>
    </row>
    <row r="1487" spans="1:4" x14ac:dyDescent="0.15">
      <c r="A1487" s="7">
        <v>1481</v>
      </c>
      <c r="B1487" s="7">
        <v>0</v>
      </c>
      <c r="C1487">
        <f t="shared" si="49"/>
        <v>0.75586055390364359</v>
      </c>
      <c r="D1487">
        <f t="shared" si="50"/>
        <v>-0.27989837232446807</v>
      </c>
    </row>
    <row r="1488" spans="1:4" x14ac:dyDescent="0.15">
      <c r="A1488" s="7">
        <v>1482</v>
      </c>
      <c r="B1488" s="7">
        <v>0</v>
      </c>
      <c r="C1488">
        <f t="shared" si="49"/>
        <v>0.75586055390364359</v>
      </c>
      <c r="D1488">
        <f t="shared" si="50"/>
        <v>-0.27989837232446807</v>
      </c>
    </row>
    <row r="1489" spans="1:4" x14ac:dyDescent="0.15">
      <c r="A1489" s="7">
        <v>1483</v>
      </c>
      <c r="B1489" s="7">
        <v>1</v>
      </c>
      <c r="C1489">
        <f t="shared" si="49"/>
        <v>8.8678581416840763E-2</v>
      </c>
      <c r="D1489">
        <f t="shared" si="50"/>
        <v>-2.4227368910146492</v>
      </c>
    </row>
    <row r="1490" spans="1:4" x14ac:dyDescent="0.15">
      <c r="A1490" s="7">
        <v>1484</v>
      </c>
      <c r="B1490" s="7">
        <v>4</v>
      </c>
      <c r="C1490">
        <f t="shared" si="49"/>
        <v>1.8860933071470173E-2</v>
      </c>
      <c r="D1490">
        <f t="shared" si="50"/>
        <v>-3.9706625294337847</v>
      </c>
    </row>
    <row r="1491" spans="1:4" x14ac:dyDescent="0.15">
      <c r="A1491" s="7">
        <v>1485</v>
      </c>
      <c r="B1491" s="7">
        <v>3</v>
      </c>
      <c r="C1491">
        <f t="shared" si="49"/>
        <v>2.7467996558433502E-2</v>
      </c>
      <c r="D1491">
        <f t="shared" si="50"/>
        <v>-3.594733713517384</v>
      </c>
    </row>
    <row r="1492" spans="1:4" x14ac:dyDescent="0.15">
      <c r="A1492" s="7">
        <v>1486</v>
      </c>
      <c r="B1492" s="7">
        <v>0</v>
      </c>
      <c r="C1492">
        <f t="shared" si="49"/>
        <v>0.75586055390364359</v>
      </c>
      <c r="D1492">
        <f t="shared" si="50"/>
        <v>-0.27989837232446807</v>
      </c>
    </row>
    <row r="1493" spans="1:4" x14ac:dyDescent="0.15">
      <c r="A1493" s="7">
        <v>1487</v>
      </c>
      <c r="B1493" s="7">
        <v>0</v>
      </c>
      <c r="C1493">
        <f t="shared" si="49"/>
        <v>0.75586055390364359</v>
      </c>
      <c r="D1493">
        <f t="shared" si="50"/>
        <v>-0.27989837232446807</v>
      </c>
    </row>
    <row r="1494" spans="1:4" x14ac:dyDescent="0.15">
      <c r="A1494" s="7">
        <v>1488</v>
      </c>
      <c r="B1494" s="7">
        <v>0</v>
      </c>
      <c r="C1494">
        <f t="shared" si="49"/>
        <v>0.75586055390364359</v>
      </c>
      <c r="D1494">
        <f t="shared" si="50"/>
        <v>-0.27989837232446807</v>
      </c>
    </row>
    <row r="1495" spans="1:4" x14ac:dyDescent="0.15">
      <c r="A1495" s="7">
        <v>1489</v>
      </c>
      <c r="B1495" s="7">
        <v>2</v>
      </c>
      <c r="C1495">
        <f t="shared" si="49"/>
        <v>4.4062133811825943E-2</v>
      </c>
      <c r="D1495">
        <f t="shared" si="50"/>
        <v>-3.1221545090977791</v>
      </c>
    </row>
    <row r="1496" spans="1:4" x14ac:dyDescent="0.15">
      <c r="A1496" s="7">
        <v>1490</v>
      </c>
      <c r="B1496" s="7">
        <v>1</v>
      </c>
      <c r="C1496">
        <f t="shared" si="49"/>
        <v>8.8678581416840763E-2</v>
      </c>
      <c r="D1496">
        <f t="shared" si="50"/>
        <v>-2.4227368910146492</v>
      </c>
    </row>
    <row r="1497" spans="1:4" x14ac:dyDescent="0.15">
      <c r="A1497" s="7">
        <v>1491</v>
      </c>
      <c r="B1497" s="7">
        <v>0</v>
      </c>
      <c r="C1497">
        <f t="shared" si="49"/>
        <v>0.75586055390364359</v>
      </c>
      <c r="D1497">
        <f t="shared" si="50"/>
        <v>-0.27989837232446807</v>
      </c>
    </row>
    <row r="1498" spans="1:4" x14ac:dyDescent="0.15">
      <c r="A1498" s="7">
        <v>1492</v>
      </c>
      <c r="B1498" s="7">
        <v>1</v>
      </c>
      <c r="C1498">
        <f t="shared" si="49"/>
        <v>8.8678581416840763E-2</v>
      </c>
      <c r="D1498">
        <f t="shared" si="50"/>
        <v>-2.4227368910146492</v>
      </c>
    </row>
    <row r="1499" spans="1:4" x14ac:dyDescent="0.15">
      <c r="A1499" s="7">
        <v>1493</v>
      </c>
      <c r="B1499" s="7">
        <v>0</v>
      </c>
      <c r="C1499">
        <f t="shared" si="49"/>
        <v>0.75586055390364359</v>
      </c>
      <c r="D1499">
        <f t="shared" si="50"/>
        <v>-0.27989837232446807</v>
      </c>
    </row>
    <row r="1500" spans="1:4" x14ac:dyDescent="0.15">
      <c r="A1500" s="7">
        <v>1494</v>
      </c>
      <c r="B1500" s="7">
        <v>0</v>
      </c>
      <c r="C1500">
        <f t="shared" si="49"/>
        <v>0.75586055390364359</v>
      </c>
      <c r="D1500">
        <f t="shared" si="50"/>
        <v>-0.27989837232446807</v>
      </c>
    </row>
    <row r="1501" spans="1:4" x14ac:dyDescent="0.15">
      <c r="A1501" s="7">
        <v>1495</v>
      </c>
      <c r="B1501" s="7">
        <v>0</v>
      </c>
      <c r="C1501">
        <f t="shared" si="49"/>
        <v>0.75586055390364359</v>
      </c>
      <c r="D1501">
        <f t="shared" si="50"/>
        <v>-0.27989837232446807</v>
      </c>
    </row>
    <row r="1502" spans="1:4" x14ac:dyDescent="0.15">
      <c r="A1502" s="7">
        <v>1496</v>
      </c>
      <c r="B1502" s="7">
        <v>1</v>
      </c>
      <c r="C1502">
        <f t="shared" si="49"/>
        <v>8.8678581416840763E-2</v>
      </c>
      <c r="D1502">
        <f t="shared" si="50"/>
        <v>-2.4227368910146492</v>
      </c>
    </row>
    <row r="1503" spans="1:4" x14ac:dyDescent="0.15">
      <c r="A1503" s="7">
        <v>1497</v>
      </c>
      <c r="B1503" s="7">
        <v>1</v>
      </c>
      <c r="C1503">
        <f t="shared" si="49"/>
        <v>8.8678581416840763E-2</v>
      </c>
      <c r="D1503">
        <f t="shared" si="50"/>
        <v>-2.4227368910146492</v>
      </c>
    </row>
    <row r="1504" spans="1:4" x14ac:dyDescent="0.15">
      <c r="A1504" s="7">
        <v>1498</v>
      </c>
      <c r="B1504" s="7">
        <v>0</v>
      </c>
      <c r="C1504">
        <f t="shared" si="49"/>
        <v>0.75586055390364359</v>
      </c>
      <c r="D1504">
        <f t="shared" si="50"/>
        <v>-0.27989837232446807</v>
      </c>
    </row>
    <row r="1505" spans="1:4" x14ac:dyDescent="0.15">
      <c r="A1505" s="7">
        <v>1499</v>
      </c>
      <c r="B1505" s="7">
        <v>0</v>
      </c>
      <c r="C1505">
        <f t="shared" si="49"/>
        <v>0.75586055390364359</v>
      </c>
      <c r="D1505">
        <f t="shared" si="50"/>
        <v>-0.27989837232446807</v>
      </c>
    </row>
    <row r="1506" spans="1:4" x14ac:dyDescent="0.15">
      <c r="A1506" s="7">
        <v>1500</v>
      </c>
      <c r="B1506" s="7">
        <v>0</v>
      </c>
      <c r="C1506">
        <f t="shared" si="49"/>
        <v>0.75586055390364359</v>
      </c>
      <c r="D1506">
        <f t="shared" si="50"/>
        <v>-0.27989837232446807</v>
      </c>
    </row>
    <row r="1507" spans="1:4" x14ac:dyDescent="0.15">
      <c r="A1507" s="7">
        <v>1501</v>
      </c>
      <c r="B1507" s="7">
        <v>0</v>
      </c>
      <c r="C1507">
        <f t="shared" si="49"/>
        <v>0.75586055390364359</v>
      </c>
      <c r="D1507">
        <f t="shared" si="50"/>
        <v>-0.27989837232446807</v>
      </c>
    </row>
    <row r="1508" spans="1:4" x14ac:dyDescent="0.15">
      <c r="A1508" s="7">
        <v>1502</v>
      </c>
      <c r="B1508" s="7">
        <v>0</v>
      </c>
      <c r="C1508">
        <f t="shared" si="49"/>
        <v>0.75586055390364359</v>
      </c>
      <c r="D1508">
        <f t="shared" si="50"/>
        <v>-0.27989837232446807</v>
      </c>
    </row>
    <row r="1509" spans="1:4" x14ac:dyDescent="0.15">
      <c r="A1509" s="7">
        <v>1503</v>
      </c>
      <c r="B1509" s="7">
        <v>0</v>
      </c>
      <c r="C1509">
        <f t="shared" si="49"/>
        <v>0.75586055390364359</v>
      </c>
      <c r="D1509">
        <f t="shared" si="50"/>
        <v>-0.27989837232446807</v>
      </c>
    </row>
    <row r="1510" spans="1:4" x14ac:dyDescent="0.15">
      <c r="A1510" s="7">
        <v>1504</v>
      </c>
      <c r="B1510" s="7">
        <v>0</v>
      </c>
      <c r="C1510">
        <f t="shared" si="49"/>
        <v>0.75586055390364359</v>
      </c>
      <c r="D1510">
        <f t="shared" si="50"/>
        <v>-0.27989837232446807</v>
      </c>
    </row>
    <row r="1511" spans="1:4" x14ac:dyDescent="0.15">
      <c r="A1511" s="7">
        <v>1505</v>
      </c>
      <c r="B1511" s="7">
        <v>3</v>
      </c>
      <c r="C1511">
        <f t="shared" si="49"/>
        <v>2.7467996558433502E-2</v>
      </c>
      <c r="D1511">
        <f t="shared" si="50"/>
        <v>-3.594733713517384</v>
      </c>
    </row>
    <row r="1512" spans="1:4" x14ac:dyDescent="0.15">
      <c r="A1512" s="7">
        <v>1506</v>
      </c>
      <c r="B1512" s="7">
        <v>0</v>
      </c>
      <c r="C1512">
        <f t="shared" si="49"/>
        <v>0.75586055390364359</v>
      </c>
      <c r="D1512">
        <f t="shared" si="50"/>
        <v>-0.27989837232446807</v>
      </c>
    </row>
    <row r="1513" spans="1:4" x14ac:dyDescent="0.15">
      <c r="A1513" s="7">
        <v>1507</v>
      </c>
      <c r="B1513" s="7">
        <v>0</v>
      </c>
      <c r="C1513">
        <f t="shared" si="49"/>
        <v>0.75586055390364359</v>
      </c>
      <c r="D1513">
        <f t="shared" si="50"/>
        <v>-0.27989837232446807</v>
      </c>
    </row>
    <row r="1514" spans="1:4" x14ac:dyDescent="0.15">
      <c r="A1514" s="7">
        <v>1508</v>
      </c>
      <c r="B1514" s="7">
        <v>0</v>
      </c>
      <c r="C1514">
        <f t="shared" si="49"/>
        <v>0.75586055390364359</v>
      </c>
      <c r="D1514">
        <f t="shared" si="50"/>
        <v>-0.27989837232446807</v>
      </c>
    </row>
    <row r="1515" spans="1:4" x14ac:dyDescent="0.15">
      <c r="A1515" s="7">
        <v>1509</v>
      </c>
      <c r="B1515" s="7">
        <v>2</v>
      </c>
      <c r="C1515">
        <f t="shared" si="49"/>
        <v>4.4062133811825943E-2</v>
      </c>
      <c r="D1515">
        <f t="shared" si="50"/>
        <v>-3.1221545090977791</v>
      </c>
    </row>
    <row r="1516" spans="1:4" x14ac:dyDescent="0.15">
      <c r="A1516" s="7">
        <v>1510</v>
      </c>
      <c r="B1516" s="7">
        <v>0</v>
      </c>
      <c r="C1516">
        <f t="shared" si="49"/>
        <v>0.75586055390364359</v>
      </c>
      <c r="D1516">
        <f t="shared" si="50"/>
        <v>-0.27989837232446807</v>
      </c>
    </row>
    <row r="1517" spans="1:4" x14ac:dyDescent="0.15">
      <c r="A1517" s="7">
        <v>1511</v>
      </c>
      <c r="B1517" s="7">
        <v>0</v>
      </c>
      <c r="C1517">
        <f t="shared" si="49"/>
        <v>0.75586055390364359</v>
      </c>
      <c r="D1517">
        <f t="shared" si="50"/>
        <v>-0.27989837232446807</v>
      </c>
    </row>
    <row r="1518" spans="1:4" x14ac:dyDescent="0.15">
      <c r="A1518" s="7">
        <v>1512</v>
      </c>
      <c r="B1518" s="7">
        <v>0</v>
      </c>
      <c r="C1518">
        <f t="shared" si="49"/>
        <v>0.75586055390364359</v>
      </c>
      <c r="D1518">
        <f t="shared" si="50"/>
        <v>-0.27989837232446807</v>
      </c>
    </row>
    <row r="1519" spans="1:4" x14ac:dyDescent="0.15">
      <c r="A1519" s="7">
        <v>1513</v>
      </c>
      <c r="B1519" s="7">
        <v>1</v>
      </c>
      <c r="C1519">
        <f t="shared" si="49"/>
        <v>8.8678581416840763E-2</v>
      </c>
      <c r="D1519">
        <f t="shared" si="50"/>
        <v>-2.4227368910146492</v>
      </c>
    </row>
    <row r="1520" spans="1:4" x14ac:dyDescent="0.15">
      <c r="A1520" s="7">
        <v>1514</v>
      </c>
      <c r="B1520" s="7">
        <v>0</v>
      </c>
      <c r="C1520">
        <f t="shared" si="49"/>
        <v>0.75586055390364359</v>
      </c>
      <c r="D1520">
        <f t="shared" si="50"/>
        <v>-0.27989837232446807</v>
      </c>
    </row>
    <row r="1521" spans="1:4" x14ac:dyDescent="0.15">
      <c r="A1521" s="7">
        <v>1515</v>
      </c>
      <c r="B1521" s="7">
        <v>0</v>
      </c>
      <c r="C1521">
        <f t="shared" si="49"/>
        <v>0.75586055390364359</v>
      </c>
      <c r="D1521">
        <f t="shared" si="50"/>
        <v>-0.27989837232446807</v>
      </c>
    </row>
    <row r="1522" spans="1:4" x14ac:dyDescent="0.15">
      <c r="A1522" s="7">
        <v>1516</v>
      </c>
      <c r="B1522" s="7">
        <v>0</v>
      </c>
      <c r="C1522">
        <f t="shared" si="49"/>
        <v>0.75586055390364359</v>
      </c>
      <c r="D1522">
        <f t="shared" si="50"/>
        <v>-0.27989837232446807</v>
      </c>
    </row>
    <row r="1523" spans="1:4" x14ac:dyDescent="0.15">
      <c r="A1523" s="7">
        <v>1517</v>
      </c>
      <c r="B1523" s="7">
        <v>0</v>
      </c>
      <c r="C1523">
        <f t="shared" si="49"/>
        <v>0.75586055390364359</v>
      </c>
      <c r="D1523">
        <f t="shared" si="50"/>
        <v>-0.27989837232446807</v>
      </c>
    </row>
    <row r="1524" spans="1:4" x14ac:dyDescent="0.15">
      <c r="A1524" s="7">
        <v>1518</v>
      </c>
      <c r="B1524" s="7">
        <v>0</v>
      </c>
      <c r="C1524">
        <f t="shared" si="49"/>
        <v>0.75586055390364359</v>
      </c>
      <c r="D1524">
        <f t="shared" si="50"/>
        <v>-0.27989837232446807</v>
      </c>
    </row>
    <row r="1525" spans="1:4" x14ac:dyDescent="0.15">
      <c r="A1525" s="7">
        <v>1519</v>
      </c>
      <c r="B1525" s="7">
        <v>0</v>
      </c>
      <c r="C1525">
        <f t="shared" si="49"/>
        <v>0.75586055390364359</v>
      </c>
      <c r="D1525">
        <f t="shared" si="50"/>
        <v>-0.27989837232446807</v>
      </c>
    </row>
    <row r="1526" spans="1:4" x14ac:dyDescent="0.15">
      <c r="A1526" s="7">
        <v>1520</v>
      </c>
      <c r="B1526" s="7">
        <v>0</v>
      </c>
      <c r="C1526">
        <f t="shared" si="49"/>
        <v>0.75586055390364359</v>
      </c>
      <c r="D1526">
        <f t="shared" si="50"/>
        <v>-0.27989837232446807</v>
      </c>
    </row>
    <row r="1527" spans="1:4" x14ac:dyDescent="0.15">
      <c r="A1527" s="7">
        <v>1521</v>
      </c>
      <c r="B1527" s="7">
        <v>26</v>
      </c>
      <c r="C1527">
        <f t="shared" si="49"/>
        <v>2.0736181024955577E-4</v>
      </c>
      <c r="D1527">
        <f t="shared" si="50"/>
        <v>-8.4810454148541154</v>
      </c>
    </row>
    <row r="1528" spans="1:4" x14ac:dyDescent="0.15">
      <c r="A1528" s="7">
        <v>1522</v>
      </c>
      <c r="B1528" s="7">
        <v>0</v>
      </c>
      <c r="C1528">
        <f t="shared" si="49"/>
        <v>0.75586055390364359</v>
      </c>
      <c r="D1528">
        <f t="shared" si="50"/>
        <v>-0.27989837232446807</v>
      </c>
    </row>
    <row r="1529" spans="1:4" x14ac:dyDescent="0.15">
      <c r="A1529" s="7">
        <v>1523</v>
      </c>
      <c r="B1529" s="7">
        <v>0</v>
      </c>
      <c r="C1529">
        <f t="shared" si="49"/>
        <v>0.75586055390364359</v>
      </c>
      <c r="D1529">
        <f t="shared" si="50"/>
        <v>-0.27989837232446807</v>
      </c>
    </row>
    <row r="1530" spans="1:4" x14ac:dyDescent="0.15">
      <c r="A1530" s="7">
        <v>1524</v>
      </c>
      <c r="B1530" s="7">
        <v>1</v>
      </c>
      <c r="C1530">
        <f t="shared" si="49"/>
        <v>8.8678581416840763E-2</v>
      </c>
      <c r="D1530">
        <f t="shared" si="50"/>
        <v>-2.4227368910146492</v>
      </c>
    </row>
    <row r="1531" spans="1:4" x14ac:dyDescent="0.15">
      <c r="A1531" s="7">
        <v>1525</v>
      </c>
      <c r="B1531" s="7">
        <v>0</v>
      </c>
      <c r="C1531">
        <f t="shared" si="49"/>
        <v>0.75586055390364359</v>
      </c>
      <c r="D1531">
        <f t="shared" si="50"/>
        <v>-0.27989837232446807</v>
      </c>
    </row>
    <row r="1532" spans="1:4" x14ac:dyDescent="0.15">
      <c r="A1532" s="7">
        <v>1526</v>
      </c>
      <c r="B1532" s="7">
        <v>0</v>
      </c>
      <c r="C1532">
        <f t="shared" si="49"/>
        <v>0.75586055390364359</v>
      </c>
      <c r="D1532">
        <f t="shared" si="50"/>
        <v>-0.27989837232446807</v>
      </c>
    </row>
    <row r="1533" spans="1:4" x14ac:dyDescent="0.15">
      <c r="A1533" s="7">
        <v>1527</v>
      </c>
      <c r="B1533" s="7">
        <v>0</v>
      </c>
      <c r="C1533">
        <f t="shared" si="49"/>
        <v>0.75586055390364359</v>
      </c>
      <c r="D1533">
        <f t="shared" si="50"/>
        <v>-0.27989837232446807</v>
      </c>
    </row>
    <row r="1534" spans="1:4" x14ac:dyDescent="0.15">
      <c r="A1534" s="7">
        <v>1528</v>
      </c>
      <c r="B1534" s="7">
        <v>0</v>
      </c>
      <c r="C1534">
        <f t="shared" si="49"/>
        <v>0.75586055390364359</v>
      </c>
      <c r="D1534">
        <f t="shared" si="50"/>
        <v>-0.27989837232446807</v>
      </c>
    </row>
    <row r="1535" spans="1:4" x14ac:dyDescent="0.15">
      <c r="A1535" s="7">
        <v>1529</v>
      </c>
      <c r="B1535" s="7">
        <v>0</v>
      </c>
      <c r="C1535">
        <f t="shared" si="49"/>
        <v>0.75586055390364359</v>
      </c>
      <c r="D1535">
        <f t="shared" si="50"/>
        <v>-0.27989837232446807</v>
      </c>
    </row>
    <row r="1536" spans="1:4" x14ac:dyDescent="0.15">
      <c r="A1536" s="7">
        <v>1530</v>
      </c>
      <c r="B1536" s="7">
        <v>0</v>
      </c>
      <c r="C1536">
        <f t="shared" si="49"/>
        <v>0.75586055390364359</v>
      </c>
      <c r="D1536">
        <f t="shared" si="50"/>
        <v>-0.27989837232446807</v>
      </c>
    </row>
    <row r="1537" spans="1:4" x14ac:dyDescent="0.15">
      <c r="A1537" s="7">
        <v>1531</v>
      </c>
      <c r="B1537" s="7">
        <v>0</v>
      </c>
      <c r="C1537">
        <f t="shared" si="49"/>
        <v>0.75586055390364359</v>
      </c>
      <c r="D1537">
        <f t="shared" si="50"/>
        <v>-0.27989837232446807</v>
      </c>
    </row>
    <row r="1538" spans="1:4" x14ac:dyDescent="0.15">
      <c r="A1538" s="7">
        <v>1532</v>
      </c>
      <c r="B1538" s="7">
        <v>3</v>
      </c>
      <c r="C1538">
        <f t="shared" si="49"/>
        <v>2.7467996558433502E-2</v>
      </c>
      <c r="D1538">
        <f t="shared" si="50"/>
        <v>-3.594733713517384</v>
      </c>
    </row>
    <row r="1539" spans="1:4" x14ac:dyDescent="0.15">
      <c r="A1539" s="7">
        <v>1533</v>
      </c>
      <c r="B1539" s="7">
        <v>0</v>
      </c>
      <c r="C1539">
        <f t="shared" si="49"/>
        <v>0.75586055390364359</v>
      </c>
      <c r="D1539">
        <f t="shared" si="50"/>
        <v>-0.27989837232446807</v>
      </c>
    </row>
    <row r="1540" spans="1:4" x14ac:dyDescent="0.15">
      <c r="A1540" s="7">
        <v>1534</v>
      </c>
      <c r="B1540" s="7">
        <v>0</v>
      </c>
      <c r="C1540">
        <f t="shared" si="49"/>
        <v>0.75586055390364359</v>
      </c>
      <c r="D1540">
        <f t="shared" si="50"/>
        <v>-0.27989837232446807</v>
      </c>
    </row>
    <row r="1541" spans="1:4" x14ac:dyDescent="0.15">
      <c r="A1541" s="7">
        <v>1535</v>
      </c>
      <c r="B1541" s="7">
        <v>0</v>
      </c>
      <c r="C1541">
        <f t="shared" si="49"/>
        <v>0.75586055390364359</v>
      </c>
      <c r="D1541">
        <f t="shared" si="50"/>
        <v>-0.27989837232446807</v>
      </c>
    </row>
    <row r="1542" spans="1:4" x14ac:dyDescent="0.15">
      <c r="A1542" s="7">
        <v>1536</v>
      </c>
      <c r="B1542" s="7">
        <v>0</v>
      </c>
      <c r="C1542">
        <f t="shared" si="49"/>
        <v>0.75586055390364359</v>
      </c>
      <c r="D1542">
        <f t="shared" si="50"/>
        <v>-0.27989837232446807</v>
      </c>
    </row>
    <row r="1543" spans="1:4" x14ac:dyDescent="0.15">
      <c r="A1543" s="7">
        <v>1537</v>
      </c>
      <c r="B1543" s="7">
        <v>0</v>
      </c>
      <c r="C1543">
        <f t="shared" si="49"/>
        <v>0.75586055390364359</v>
      </c>
      <c r="D1543">
        <f t="shared" si="50"/>
        <v>-0.27989837232446807</v>
      </c>
    </row>
    <row r="1544" spans="1:4" x14ac:dyDescent="0.15">
      <c r="A1544" s="7">
        <v>1538</v>
      </c>
      <c r="B1544" s="7">
        <v>1</v>
      </c>
      <c r="C1544">
        <f t="shared" ref="C1544:C1607" si="51">(_xlfn.GAMMA($B$1+B1544)/(_xlfn.GAMMA($B$1)*FACT(B1544))) * ($B$2/($B$2+$B$4))^$B$1 * (1/($B$2 +$B$4))^B1544</f>
        <v>8.8678581416840763E-2</v>
      </c>
      <c r="D1544">
        <f t="shared" ref="D1544:D1607" si="52">LN(C1544)</f>
        <v>-2.4227368910146492</v>
      </c>
    </row>
    <row r="1545" spans="1:4" x14ac:dyDescent="0.15">
      <c r="A1545" s="7">
        <v>1539</v>
      </c>
      <c r="B1545" s="7">
        <v>0</v>
      </c>
      <c r="C1545">
        <f t="shared" si="51"/>
        <v>0.75586055390364359</v>
      </c>
      <c r="D1545">
        <f t="shared" si="52"/>
        <v>-0.27989837232446807</v>
      </c>
    </row>
    <row r="1546" spans="1:4" x14ac:dyDescent="0.15">
      <c r="A1546" s="7">
        <v>1540</v>
      </c>
      <c r="B1546" s="7">
        <v>0</v>
      </c>
      <c r="C1546">
        <f t="shared" si="51"/>
        <v>0.75586055390364359</v>
      </c>
      <c r="D1546">
        <f t="shared" si="52"/>
        <v>-0.27989837232446807</v>
      </c>
    </row>
    <row r="1547" spans="1:4" x14ac:dyDescent="0.15">
      <c r="A1547" s="7">
        <v>1541</v>
      </c>
      <c r="B1547" s="7">
        <v>0</v>
      </c>
      <c r="C1547">
        <f t="shared" si="51"/>
        <v>0.75586055390364359</v>
      </c>
      <c r="D1547">
        <f t="shared" si="52"/>
        <v>-0.27989837232446807</v>
      </c>
    </row>
    <row r="1548" spans="1:4" x14ac:dyDescent="0.15">
      <c r="A1548" s="7">
        <v>1542</v>
      </c>
      <c r="B1548" s="7">
        <v>0</v>
      </c>
      <c r="C1548">
        <f t="shared" si="51"/>
        <v>0.75586055390364359</v>
      </c>
      <c r="D1548">
        <f t="shared" si="52"/>
        <v>-0.27989837232446807</v>
      </c>
    </row>
    <row r="1549" spans="1:4" x14ac:dyDescent="0.15">
      <c r="A1549" s="7">
        <v>1543</v>
      </c>
      <c r="B1549" s="7">
        <v>0</v>
      </c>
      <c r="C1549">
        <f t="shared" si="51"/>
        <v>0.75586055390364359</v>
      </c>
      <c r="D1549">
        <f t="shared" si="52"/>
        <v>-0.27989837232446807</v>
      </c>
    </row>
    <row r="1550" spans="1:4" x14ac:dyDescent="0.15">
      <c r="A1550" s="7">
        <v>1544</v>
      </c>
      <c r="B1550" s="7">
        <v>0</v>
      </c>
      <c r="C1550">
        <f t="shared" si="51"/>
        <v>0.75586055390364359</v>
      </c>
      <c r="D1550">
        <f t="shared" si="52"/>
        <v>-0.27989837232446807</v>
      </c>
    </row>
    <row r="1551" spans="1:4" x14ac:dyDescent="0.15">
      <c r="A1551" s="7">
        <v>1545</v>
      </c>
      <c r="B1551" s="7">
        <v>0</v>
      </c>
      <c r="C1551">
        <f t="shared" si="51"/>
        <v>0.75586055390364359</v>
      </c>
      <c r="D1551">
        <f t="shared" si="52"/>
        <v>-0.27989837232446807</v>
      </c>
    </row>
    <row r="1552" spans="1:4" x14ac:dyDescent="0.15">
      <c r="A1552" s="7">
        <v>1546</v>
      </c>
      <c r="B1552" s="7">
        <v>0</v>
      </c>
      <c r="C1552">
        <f t="shared" si="51"/>
        <v>0.75586055390364359</v>
      </c>
      <c r="D1552">
        <f t="shared" si="52"/>
        <v>-0.27989837232446807</v>
      </c>
    </row>
    <row r="1553" spans="1:4" x14ac:dyDescent="0.15">
      <c r="A1553" s="7">
        <v>1547</v>
      </c>
      <c r="B1553" s="7">
        <v>0</v>
      </c>
      <c r="C1553">
        <f t="shared" si="51"/>
        <v>0.75586055390364359</v>
      </c>
      <c r="D1553">
        <f t="shared" si="52"/>
        <v>-0.27989837232446807</v>
      </c>
    </row>
    <row r="1554" spans="1:4" x14ac:dyDescent="0.15">
      <c r="A1554" s="7">
        <v>1548</v>
      </c>
      <c r="B1554" s="7">
        <v>0</v>
      </c>
      <c r="C1554">
        <f t="shared" si="51"/>
        <v>0.75586055390364359</v>
      </c>
      <c r="D1554">
        <f t="shared" si="52"/>
        <v>-0.27989837232446807</v>
      </c>
    </row>
    <row r="1555" spans="1:4" x14ac:dyDescent="0.15">
      <c r="A1555" s="7">
        <v>1549</v>
      </c>
      <c r="B1555" s="7">
        <v>0</v>
      </c>
      <c r="C1555">
        <f t="shared" si="51"/>
        <v>0.75586055390364359</v>
      </c>
      <c r="D1555">
        <f t="shared" si="52"/>
        <v>-0.27989837232446807</v>
      </c>
    </row>
    <row r="1556" spans="1:4" x14ac:dyDescent="0.15">
      <c r="A1556" s="7">
        <v>1550</v>
      </c>
      <c r="B1556" s="7">
        <v>0</v>
      </c>
      <c r="C1556">
        <f t="shared" si="51"/>
        <v>0.75586055390364359</v>
      </c>
      <c r="D1556">
        <f t="shared" si="52"/>
        <v>-0.27989837232446807</v>
      </c>
    </row>
    <row r="1557" spans="1:4" x14ac:dyDescent="0.15">
      <c r="A1557" s="7">
        <v>1551</v>
      </c>
      <c r="B1557" s="7">
        <v>0</v>
      </c>
      <c r="C1557">
        <f t="shared" si="51"/>
        <v>0.75586055390364359</v>
      </c>
      <c r="D1557">
        <f t="shared" si="52"/>
        <v>-0.27989837232446807</v>
      </c>
    </row>
    <row r="1558" spans="1:4" x14ac:dyDescent="0.15">
      <c r="A1558" s="7">
        <v>1552</v>
      </c>
      <c r="B1558" s="7">
        <v>0</v>
      </c>
      <c r="C1558">
        <f t="shared" si="51"/>
        <v>0.75586055390364359</v>
      </c>
      <c r="D1558">
        <f t="shared" si="52"/>
        <v>-0.27989837232446807</v>
      </c>
    </row>
    <row r="1559" spans="1:4" x14ac:dyDescent="0.15">
      <c r="A1559" s="7">
        <v>1553</v>
      </c>
      <c r="B1559" s="7">
        <v>0</v>
      </c>
      <c r="C1559">
        <f t="shared" si="51"/>
        <v>0.75586055390364359</v>
      </c>
      <c r="D1559">
        <f t="shared" si="52"/>
        <v>-0.27989837232446807</v>
      </c>
    </row>
    <row r="1560" spans="1:4" x14ac:dyDescent="0.15">
      <c r="A1560" s="7">
        <v>1554</v>
      </c>
      <c r="B1560" s="7">
        <v>0</v>
      </c>
      <c r="C1560">
        <f t="shared" si="51"/>
        <v>0.75586055390364359</v>
      </c>
      <c r="D1560">
        <f t="shared" si="52"/>
        <v>-0.27989837232446807</v>
      </c>
    </row>
    <row r="1561" spans="1:4" x14ac:dyDescent="0.15">
      <c r="A1561" s="7">
        <v>1555</v>
      </c>
      <c r="B1561" s="7">
        <v>0</v>
      </c>
      <c r="C1561">
        <f t="shared" si="51"/>
        <v>0.75586055390364359</v>
      </c>
      <c r="D1561">
        <f t="shared" si="52"/>
        <v>-0.27989837232446807</v>
      </c>
    </row>
    <row r="1562" spans="1:4" x14ac:dyDescent="0.15">
      <c r="A1562" s="7">
        <v>1556</v>
      </c>
      <c r="B1562" s="7">
        <v>1</v>
      </c>
      <c r="C1562">
        <f t="shared" si="51"/>
        <v>8.8678581416840763E-2</v>
      </c>
      <c r="D1562">
        <f t="shared" si="52"/>
        <v>-2.4227368910146492</v>
      </c>
    </row>
    <row r="1563" spans="1:4" x14ac:dyDescent="0.15">
      <c r="A1563" s="7">
        <v>1557</v>
      </c>
      <c r="B1563" s="7">
        <v>0</v>
      </c>
      <c r="C1563">
        <f t="shared" si="51"/>
        <v>0.75586055390364359</v>
      </c>
      <c r="D1563">
        <f t="shared" si="52"/>
        <v>-0.27989837232446807</v>
      </c>
    </row>
    <row r="1564" spans="1:4" x14ac:dyDescent="0.15">
      <c r="A1564" s="7">
        <v>1558</v>
      </c>
      <c r="B1564" s="7">
        <v>0</v>
      </c>
      <c r="C1564">
        <f t="shared" si="51"/>
        <v>0.75586055390364359</v>
      </c>
      <c r="D1564">
        <f t="shared" si="52"/>
        <v>-0.27989837232446807</v>
      </c>
    </row>
    <row r="1565" spans="1:4" x14ac:dyDescent="0.15">
      <c r="A1565" s="7">
        <v>1559</v>
      </c>
      <c r="B1565" s="7">
        <v>0</v>
      </c>
      <c r="C1565">
        <f t="shared" si="51"/>
        <v>0.75586055390364359</v>
      </c>
      <c r="D1565">
        <f t="shared" si="52"/>
        <v>-0.27989837232446807</v>
      </c>
    </row>
    <row r="1566" spans="1:4" x14ac:dyDescent="0.15">
      <c r="A1566" s="7">
        <v>1560</v>
      </c>
      <c r="B1566" s="7">
        <v>0</v>
      </c>
      <c r="C1566">
        <f t="shared" si="51"/>
        <v>0.75586055390364359</v>
      </c>
      <c r="D1566">
        <f t="shared" si="52"/>
        <v>-0.27989837232446807</v>
      </c>
    </row>
    <row r="1567" spans="1:4" x14ac:dyDescent="0.15">
      <c r="A1567" s="7">
        <v>1561</v>
      </c>
      <c r="B1567" s="7">
        <v>0</v>
      </c>
      <c r="C1567">
        <f t="shared" si="51"/>
        <v>0.75586055390364359</v>
      </c>
      <c r="D1567">
        <f t="shared" si="52"/>
        <v>-0.27989837232446807</v>
      </c>
    </row>
    <row r="1568" spans="1:4" x14ac:dyDescent="0.15">
      <c r="A1568" s="7">
        <v>1562</v>
      </c>
      <c r="B1568" s="7">
        <v>0</v>
      </c>
      <c r="C1568">
        <f t="shared" si="51"/>
        <v>0.75586055390364359</v>
      </c>
      <c r="D1568">
        <f t="shared" si="52"/>
        <v>-0.27989837232446807</v>
      </c>
    </row>
    <row r="1569" spans="1:4" x14ac:dyDescent="0.15">
      <c r="A1569" s="7">
        <v>1563</v>
      </c>
      <c r="B1569" s="7">
        <v>4</v>
      </c>
      <c r="C1569">
        <f t="shared" si="51"/>
        <v>1.8860933071470173E-2</v>
      </c>
      <c r="D1569">
        <f t="shared" si="52"/>
        <v>-3.9706625294337847</v>
      </c>
    </row>
    <row r="1570" spans="1:4" x14ac:dyDescent="0.15">
      <c r="A1570" s="7">
        <v>1564</v>
      </c>
      <c r="B1570" s="7">
        <v>0</v>
      </c>
      <c r="C1570">
        <f t="shared" si="51"/>
        <v>0.75586055390364359</v>
      </c>
      <c r="D1570">
        <f t="shared" si="52"/>
        <v>-0.27989837232446807</v>
      </c>
    </row>
    <row r="1571" spans="1:4" x14ac:dyDescent="0.15">
      <c r="A1571" s="7">
        <v>1565</v>
      </c>
      <c r="B1571" s="7">
        <v>1</v>
      </c>
      <c r="C1571">
        <f t="shared" si="51"/>
        <v>8.8678581416840763E-2</v>
      </c>
      <c r="D1571">
        <f t="shared" si="52"/>
        <v>-2.4227368910146492</v>
      </c>
    </row>
    <row r="1572" spans="1:4" x14ac:dyDescent="0.15">
      <c r="A1572" s="7">
        <v>1566</v>
      </c>
      <c r="B1572" s="7">
        <v>2</v>
      </c>
      <c r="C1572">
        <f t="shared" si="51"/>
        <v>4.4062133811825943E-2</v>
      </c>
      <c r="D1572">
        <f t="shared" si="52"/>
        <v>-3.1221545090977791</v>
      </c>
    </row>
    <row r="1573" spans="1:4" x14ac:dyDescent="0.15">
      <c r="A1573" s="7">
        <v>1567</v>
      </c>
      <c r="B1573" s="7">
        <v>0</v>
      </c>
      <c r="C1573">
        <f t="shared" si="51"/>
        <v>0.75586055390364359</v>
      </c>
      <c r="D1573">
        <f t="shared" si="52"/>
        <v>-0.27989837232446807</v>
      </c>
    </row>
    <row r="1574" spans="1:4" x14ac:dyDescent="0.15">
      <c r="A1574" s="7">
        <v>1568</v>
      </c>
      <c r="B1574" s="7">
        <v>14</v>
      </c>
      <c r="C1574">
        <f t="shared" si="51"/>
        <v>1.7224662736318389E-3</v>
      </c>
      <c r="D1574">
        <f t="shared" si="52"/>
        <v>-6.3639981351625821</v>
      </c>
    </row>
    <row r="1575" spans="1:4" x14ac:dyDescent="0.15">
      <c r="A1575" s="7">
        <v>1569</v>
      </c>
      <c r="B1575" s="7">
        <v>50</v>
      </c>
      <c r="C1575">
        <f t="shared" si="51"/>
        <v>4.9705530743619881E-6</v>
      </c>
      <c r="D1575">
        <f t="shared" si="52"/>
        <v>-12.211979441479379</v>
      </c>
    </row>
    <row r="1576" spans="1:4" x14ac:dyDescent="0.15">
      <c r="A1576" s="7">
        <v>1570</v>
      </c>
      <c r="B1576" s="7">
        <v>0</v>
      </c>
      <c r="C1576">
        <f t="shared" si="51"/>
        <v>0.75586055390364359</v>
      </c>
      <c r="D1576">
        <f t="shared" si="52"/>
        <v>-0.27989837232446807</v>
      </c>
    </row>
    <row r="1577" spans="1:4" x14ac:dyDescent="0.15">
      <c r="A1577" s="7">
        <v>1571</v>
      </c>
      <c r="B1577" s="7">
        <v>0</v>
      </c>
      <c r="C1577">
        <f t="shared" si="51"/>
        <v>0.75586055390364359</v>
      </c>
      <c r="D1577">
        <f t="shared" si="52"/>
        <v>-0.27989837232446807</v>
      </c>
    </row>
    <row r="1578" spans="1:4" x14ac:dyDescent="0.15">
      <c r="A1578" s="7">
        <v>1572</v>
      </c>
      <c r="B1578" s="7">
        <v>0</v>
      </c>
      <c r="C1578">
        <f t="shared" si="51"/>
        <v>0.75586055390364359</v>
      </c>
      <c r="D1578">
        <f t="shared" si="52"/>
        <v>-0.27989837232446807</v>
      </c>
    </row>
    <row r="1579" spans="1:4" x14ac:dyDescent="0.15">
      <c r="A1579" s="7">
        <v>1573</v>
      </c>
      <c r="B1579" s="7">
        <v>1</v>
      </c>
      <c r="C1579">
        <f t="shared" si="51"/>
        <v>8.8678581416840763E-2</v>
      </c>
      <c r="D1579">
        <f t="shared" si="52"/>
        <v>-2.4227368910146492</v>
      </c>
    </row>
    <row r="1580" spans="1:4" x14ac:dyDescent="0.15">
      <c r="A1580" s="7">
        <v>1574</v>
      </c>
      <c r="B1580" s="7">
        <v>1</v>
      </c>
      <c r="C1580">
        <f t="shared" si="51"/>
        <v>8.8678581416840763E-2</v>
      </c>
      <c r="D1580">
        <f t="shared" si="52"/>
        <v>-2.4227368910146492</v>
      </c>
    </row>
    <row r="1581" spans="1:4" x14ac:dyDescent="0.15">
      <c r="A1581" s="7">
        <v>1575</v>
      </c>
      <c r="B1581" s="7">
        <v>0</v>
      </c>
      <c r="C1581">
        <f t="shared" si="51"/>
        <v>0.75586055390364359</v>
      </c>
      <c r="D1581">
        <f t="shared" si="52"/>
        <v>-0.27989837232446807</v>
      </c>
    </row>
    <row r="1582" spans="1:4" x14ac:dyDescent="0.15">
      <c r="A1582" s="7">
        <v>1576</v>
      </c>
      <c r="B1582" s="7">
        <v>0</v>
      </c>
      <c r="C1582">
        <f t="shared" si="51"/>
        <v>0.75586055390364359</v>
      </c>
      <c r="D1582">
        <f t="shared" si="52"/>
        <v>-0.27989837232446807</v>
      </c>
    </row>
    <row r="1583" spans="1:4" x14ac:dyDescent="0.15">
      <c r="A1583" s="7">
        <v>1577</v>
      </c>
      <c r="B1583" s="7">
        <v>0</v>
      </c>
      <c r="C1583">
        <f t="shared" si="51"/>
        <v>0.75586055390364359</v>
      </c>
      <c r="D1583">
        <f t="shared" si="52"/>
        <v>-0.27989837232446807</v>
      </c>
    </row>
    <row r="1584" spans="1:4" x14ac:dyDescent="0.15">
      <c r="A1584" s="7">
        <v>1578</v>
      </c>
      <c r="B1584" s="7">
        <v>0</v>
      </c>
      <c r="C1584">
        <f t="shared" si="51"/>
        <v>0.75586055390364359</v>
      </c>
      <c r="D1584">
        <f t="shared" si="52"/>
        <v>-0.27989837232446807</v>
      </c>
    </row>
    <row r="1585" spans="1:4" x14ac:dyDescent="0.15">
      <c r="A1585" s="7">
        <v>1579</v>
      </c>
      <c r="B1585" s="7">
        <v>1</v>
      </c>
      <c r="C1585">
        <f t="shared" si="51"/>
        <v>8.8678581416840763E-2</v>
      </c>
      <c r="D1585">
        <f t="shared" si="52"/>
        <v>-2.4227368910146492</v>
      </c>
    </row>
    <row r="1586" spans="1:4" x14ac:dyDescent="0.15">
      <c r="A1586" s="7">
        <v>1580</v>
      </c>
      <c r="B1586" s="7">
        <v>0</v>
      </c>
      <c r="C1586">
        <f t="shared" si="51"/>
        <v>0.75586055390364359</v>
      </c>
      <c r="D1586">
        <f t="shared" si="52"/>
        <v>-0.27989837232446807</v>
      </c>
    </row>
    <row r="1587" spans="1:4" x14ac:dyDescent="0.15">
      <c r="A1587" s="7">
        <v>1581</v>
      </c>
      <c r="B1587" s="7">
        <v>1</v>
      </c>
      <c r="C1587">
        <f t="shared" si="51"/>
        <v>8.8678581416840763E-2</v>
      </c>
      <c r="D1587">
        <f t="shared" si="52"/>
        <v>-2.4227368910146492</v>
      </c>
    </row>
    <row r="1588" spans="1:4" x14ac:dyDescent="0.15">
      <c r="A1588" s="7">
        <v>1582</v>
      </c>
      <c r="B1588" s="7">
        <v>1</v>
      </c>
      <c r="C1588">
        <f t="shared" si="51"/>
        <v>8.8678581416840763E-2</v>
      </c>
      <c r="D1588">
        <f t="shared" si="52"/>
        <v>-2.4227368910146492</v>
      </c>
    </row>
    <row r="1589" spans="1:4" x14ac:dyDescent="0.15">
      <c r="A1589" s="7">
        <v>1583</v>
      </c>
      <c r="B1589" s="7">
        <v>0</v>
      </c>
      <c r="C1589">
        <f t="shared" si="51"/>
        <v>0.75586055390364359</v>
      </c>
      <c r="D1589">
        <f t="shared" si="52"/>
        <v>-0.27989837232446807</v>
      </c>
    </row>
    <row r="1590" spans="1:4" x14ac:dyDescent="0.15">
      <c r="A1590" s="7">
        <v>1584</v>
      </c>
      <c r="B1590" s="7">
        <v>0</v>
      </c>
      <c r="C1590">
        <f t="shared" si="51"/>
        <v>0.75586055390364359</v>
      </c>
      <c r="D1590">
        <f t="shared" si="52"/>
        <v>-0.27989837232446807</v>
      </c>
    </row>
    <row r="1591" spans="1:4" x14ac:dyDescent="0.15">
      <c r="A1591" s="7">
        <v>1585</v>
      </c>
      <c r="B1591" s="7">
        <v>0</v>
      </c>
      <c r="C1591">
        <f t="shared" si="51"/>
        <v>0.75586055390364359</v>
      </c>
      <c r="D1591">
        <f t="shared" si="52"/>
        <v>-0.27989837232446807</v>
      </c>
    </row>
    <row r="1592" spans="1:4" x14ac:dyDescent="0.15">
      <c r="A1592" s="7">
        <v>1586</v>
      </c>
      <c r="B1592" s="7">
        <v>0</v>
      </c>
      <c r="C1592">
        <f t="shared" si="51"/>
        <v>0.75586055390364359</v>
      </c>
      <c r="D1592">
        <f t="shared" si="52"/>
        <v>-0.27989837232446807</v>
      </c>
    </row>
    <row r="1593" spans="1:4" x14ac:dyDescent="0.15">
      <c r="A1593" s="7">
        <v>1587</v>
      </c>
      <c r="B1593" s="7">
        <v>0</v>
      </c>
      <c r="C1593">
        <f t="shared" si="51"/>
        <v>0.75586055390364359</v>
      </c>
      <c r="D1593">
        <f t="shared" si="52"/>
        <v>-0.27989837232446807</v>
      </c>
    </row>
    <row r="1594" spans="1:4" x14ac:dyDescent="0.15">
      <c r="A1594" s="7">
        <v>1588</v>
      </c>
      <c r="B1594" s="7">
        <v>1</v>
      </c>
      <c r="C1594">
        <f t="shared" si="51"/>
        <v>8.8678581416840763E-2</v>
      </c>
      <c r="D1594">
        <f t="shared" si="52"/>
        <v>-2.4227368910146492</v>
      </c>
    </row>
    <row r="1595" spans="1:4" x14ac:dyDescent="0.15">
      <c r="A1595" s="7">
        <v>1589</v>
      </c>
      <c r="B1595" s="7">
        <v>0</v>
      </c>
      <c r="C1595">
        <f t="shared" si="51"/>
        <v>0.75586055390364359</v>
      </c>
      <c r="D1595">
        <f t="shared" si="52"/>
        <v>-0.27989837232446807</v>
      </c>
    </row>
    <row r="1596" spans="1:4" x14ac:dyDescent="0.15">
      <c r="A1596" s="7">
        <v>1590</v>
      </c>
      <c r="B1596" s="7">
        <v>2</v>
      </c>
      <c r="C1596">
        <f t="shared" si="51"/>
        <v>4.4062133811825943E-2</v>
      </c>
      <c r="D1596">
        <f t="shared" si="52"/>
        <v>-3.1221545090977791</v>
      </c>
    </row>
    <row r="1597" spans="1:4" x14ac:dyDescent="0.15">
      <c r="A1597" s="7">
        <v>1591</v>
      </c>
      <c r="B1597" s="7">
        <v>0</v>
      </c>
      <c r="C1597">
        <f t="shared" si="51"/>
        <v>0.75586055390364359</v>
      </c>
      <c r="D1597">
        <f t="shared" si="52"/>
        <v>-0.27989837232446807</v>
      </c>
    </row>
    <row r="1598" spans="1:4" x14ac:dyDescent="0.15">
      <c r="A1598" s="7">
        <v>1592</v>
      </c>
      <c r="B1598" s="7">
        <v>0</v>
      </c>
      <c r="C1598">
        <f t="shared" si="51"/>
        <v>0.75586055390364359</v>
      </c>
      <c r="D1598">
        <f t="shared" si="52"/>
        <v>-0.27989837232446807</v>
      </c>
    </row>
    <row r="1599" spans="1:4" x14ac:dyDescent="0.15">
      <c r="A1599" s="7">
        <v>1593</v>
      </c>
      <c r="B1599" s="7">
        <v>0</v>
      </c>
      <c r="C1599">
        <f t="shared" si="51"/>
        <v>0.75586055390364359</v>
      </c>
      <c r="D1599">
        <f t="shared" si="52"/>
        <v>-0.27989837232446807</v>
      </c>
    </row>
    <row r="1600" spans="1:4" x14ac:dyDescent="0.15">
      <c r="A1600" s="7">
        <v>1594</v>
      </c>
      <c r="B1600" s="7">
        <v>0</v>
      </c>
      <c r="C1600">
        <f t="shared" si="51"/>
        <v>0.75586055390364359</v>
      </c>
      <c r="D1600">
        <f t="shared" si="52"/>
        <v>-0.27989837232446807</v>
      </c>
    </row>
    <row r="1601" spans="1:4" x14ac:dyDescent="0.15">
      <c r="A1601" s="7">
        <v>1595</v>
      </c>
      <c r="B1601" s="7">
        <v>0</v>
      </c>
      <c r="C1601">
        <f t="shared" si="51"/>
        <v>0.75586055390364359</v>
      </c>
      <c r="D1601">
        <f t="shared" si="52"/>
        <v>-0.27989837232446807</v>
      </c>
    </row>
    <row r="1602" spans="1:4" x14ac:dyDescent="0.15">
      <c r="A1602" s="7">
        <v>1596</v>
      </c>
      <c r="B1602" s="7">
        <v>0</v>
      </c>
      <c r="C1602">
        <f t="shared" si="51"/>
        <v>0.75586055390364359</v>
      </c>
      <c r="D1602">
        <f t="shared" si="52"/>
        <v>-0.27989837232446807</v>
      </c>
    </row>
    <row r="1603" spans="1:4" x14ac:dyDescent="0.15">
      <c r="A1603" s="7">
        <v>1597</v>
      </c>
      <c r="B1603" s="7">
        <v>0</v>
      </c>
      <c r="C1603">
        <f t="shared" si="51"/>
        <v>0.75586055390364359</v>
      </c>
      <c r="D1603">
        <f t="shared" si="52"/>
        <v>-0.27989837232446807</v>
      </c>
    </row>
    <row r="1604" spans="1:4" x14ac:dyDescent="0.15">
      <c r="A1604" s="7">
        <v>1598</v>
      </c>
      <c r="B1604" s="7">
        <v>1</v>
      </c>
      <c r="C1604">
        <f t="shared" si="51"/>
        <v>8.8678581416840763E-2</v>
      </c>
      <c r="D1604">
        <f t="shared" si="52"/>
        <v>-2.4227368910146492</v>
      </c>
    </row>
    <row r="1605" spans="1:4" x14ac:dyDescent="0.15">
      <c r="A1605" s="7">
        <v>1599</v>
      </c>
      <c r="B1605" s="7">
        <v>0</v>
      </c>
      <c r="C1605">
        <f t="shared" si="51"/>
        <v>0.75586055390364359</v>
      </c>
      <c r="D1605">
        <f t="shared" si="52"/>
        <v>-0.27989837232446807</v>
      </c>
    </row>
    <row r="1606" spans="1:4" x14ac:dyDescent="0.15">
      <c r="A1606" s="7">
        <v>1600</v>
      </c>
      <c r="B1606" s="7">
        <v>0</v>
      </c>
      <c r="C1606">
        <f t="shared" si="51"/>
        <v>0.75586055390364359</v>
      </c>
      <c r="D1606">
        <f t="shared" si="52"/>
        <v>-0.27989837232446807</v>
      </c>
    </row>
    <row r="1607" spans="1:4" x14ac:dyDescent="0.15">
      <c r="A1607" s="7">
        <v>1601</v>
      </c>
      <c r="B1607" s="7">
        <v>0</v>
      </c>
      <c r="C1607">
        <f t="shared" si="51"/>
        <v>0.75586055390364359</v>
      </c>
      <c r="D1607">
        <f t="shared" si="52"/>
        <v>-0.27989837232446807</v>
      </c>
    </row>
    <row r="1608" spans="1:4" x14ac:dyDescent="0.15">
      <c r="A1608" s="7">
        <v>1602</v>
      </c>
      <c r="B1608" s="7">
        <v>0</v>
      </c>
      <c r="C1608">
        <f t="shared" ref="C1608:C1671" si="53">(_xlfn.GAMMA($B$1+B1608)/(_xlfn.GAMMA($B$1)*FACT(B1608))) * ($B$2/($B$2+$B$4))^$B$1 * (1/($B$2 +$B$4))^B1608</f>
        <v>0.75586055390364359</v>
      </c>
      <c r="D1608">
        <f t="shared" ref="D1608:D1671" si="54">LN(C1608)</f>
        <v>-0.27989837232446807</v>
      </c>
    </row>
    <row r="1609" spans="1:4" x14ac:dyDescent="0.15">
      <c r="A1609" s="7">
        <v>1603</v>
      </c>
      <c r="B1609" s="7">
        <v>0</v>
      </c>
      <c r="C1609">
        <f t="shared" si="53"/>
        <v>0.75586055390364359</v>
      </c>
      <c r="D1609">
        <f t="shared" si="54"/>
        <v>-0.27989837232446807</v>
      </c>
    </row>
    <row r="1610" spans="1:4" x14ac:dyDescent="0.15">
      <c r="A1610" s="7">
        <v>1604</v>
      </c>
      <c r="B1610" s="7">
        <v>0</v>
      </c>
      <c r="C1610">
        <f t="shared" si="53"/>
        <v>0.75586055390364359</v>
      </c>
      <c r="D1610">
        <f t="shared" si="54"/>
        <v>-0.27989837232446807</v>
      </c>
    </row>
    <row r="1611" spans="1:4" x14ac:dyDescent="0.15">
      <c r="A1611" s="7">
        <v>1605</v>
      </c>
      <c r="B1611" s="7">
        <v>0</v>
      </c>
      <c r="C1611">
        <f t="shared" si="53"/>
        <v>0.75586055390364359</v>
      </c>
      <c r="D1611">
        <f t="shared" si="54"/>
        <v>-0.27989837232446807</v>
      </c>
    </row>
    <row r="1612" spans="1:4" x14ac:dyDescent="0.15">
      <c r="A1612" s="7">
        <v>1606</v>
      </c>
      <c r="B1612" s="7">
        <v>0</v>
      </c>
      <c r="C1612">
        <f t="shared" si="53"/>
        <v>0.75586055390364359</v>
      </c>
      <c r="D1612">
        <f t="shared" si="54"/>
        <v>-0.27989837232446807</v>
      </c>
    </row>
    <row r="1613" spans="1:4" x14ac:dyDescent="0.15">
      <c r="A1613" s="7">
        <v>1607</v>
      </c>
      <c r="B1613" s="7">
        <v>0</v>
      </c>
      <c r="C1613">
        <f t="shared" si="53"/>
        <v>0.75586055390364359</v>
      </c>
      <c r="D1613">
        <f t="shared" si="54"/>
        <v>-0.27989837232446807</v>
      </c>
    </row>
    <row r="1614" spans="1:4" x14ac:dyDescent="0.15">
      <c r="A1614" s="7">
        <v>1608</v>
      </c>
      <c r="B1614" s="7">
        <v>0</v>
      </c>
      <c r="C1614">
        <f t="shared" si="53"/>
        <v>0.75586055390364359</v>
      </c>
      <c r="D1614">
        <f t="shared" si="54"/>
        <v>-0.27989837232446807</v>
      </c>
    </row>
    <row r="1615" spans="1:4" x14ac:dyDescent="0.15">
      <c r="A1615" s="7">
        <v>1609</v>
      </c>
      <c r="B1615" s="7">
        <v>0</v>
      </c>
      <c r="C1615">
        <f t="shared" si="53"/>
        <v>0.75586055390364359</v>
      </c>
      <c r="D1615">
        <f t="shared" si="54"/>
        <v>-0.27989837232446807</v>
      </c>
    </row>
    <row r="1616" spans="1:4" x14ac:dyDescent="0.15">
      <c r="A1616" s="7">
        <v>1610</v>
      </c>
      <c r="B1616" s="7">
        <v>0</v>
      </c>
      <c r="C1616">
        <f t="shared" si="53"/>
        <v>0.75586055390364359</v>
      </c>
      <c r="D1616">
        <f t="shared" si="54"/>
        <v>-0.27989837232446807</v>
      </c>
    </row>
    <row r="1617" spans="1:4" x14ac:dyDescent="0.15">
      <c r="A1617" s="7">
        <v>1611</v>
      </c>
      <c r="B1617" s="7">
        <v>1</v>
      </c>
      <c r="C1617">
        <f t="shared" si="53"/>
        <v>8.8678581416840763E-2</v>
      </c>
      <c r="D1617">
        <f t="shared" si="54"/>
        <v>-2.4227368910146492</v>
      </c>
    </row>
    <row r="1618" spans="1:4" x14ac:dyDescent="0.15">
      <c r="A1618" s="7">
        <v>1612</v>
      </c>
      <c r="B1618" s="7">
        <v>1</v>
      </c>
      <c r="C1618">
        <f t="shared" si="53"/>
        <v>8.8678581416840763E-2</v>
      </c>
      <c r="D1618">
        <f t="shared" si="54"/>
        <v>-2.4227368910146492</v>
      </c>
    </row>
    <row r="1619" spans="1:4" x14ac:dyDescent="0.15">
      <c r="A1619" s="7">
        <v>1613</v>
      </c>
      <c r="B1619" s="7">
        <v>0</v>
      </c>
      <c r="C1619">
        <f t="shared" si="53"/>
        <v>0.75586055390364359</v>
      </c>
      <c r="D1619">
        <f t="shared" si="54"/>
        <v>-0.27989837232446807</v>
      </c>
    </row>
    <row r="1620" spans="1:4" x14ac:dyDescent="0.15">
      <c r="A1620" s="7">
        <v>1614</v>
      </c>
      <c r="B1620" s="7">
        <v>0</v>
      </c>
      <c r="C1620">
        <f t="shared" si="53"/>
        <v>0.75586055390364359</v>
      </c>
      <c r="D1620">
        <f t="shared" si="54"/>
        <v>-0.27989837232446807</v>
      </c>
    </row>
    <row r="1621" spans="1:4" x14ac:dyDescent="0.15">
      <c r="A1621" s="7">
        <v>1615</v>
      </c>
      <c r="B1621" s="7">
        <v>0</v>
      </c>
      <c r="C1621">
        <f t="shared" si="53"/>
        <v>0.75586055390364359</v>
      </c>
      <c r="D1621">
        <f t="shared" si="54"/>
        <v>-0.27989837232446807</v>
      </c>
    </row>
    <row r="1622" spans="1:4" x14ac:dyDescent="0.15">
      <c r="A1622" s="7">
        <v>1616</v>
      </c>
      <c r="B1622" s="7">
        <v>3</v>
      </c>
      <c r="C1622">
        <f t="shared" si="53"/>
        <v>2.7467996558433502E-2</v>
      </c>
      <c r="D1622">
        <f t="shared" si="54"/>
        <v>-3.594733713517384</v>
      </c>
    </row>
    <row r="1623" spans="1:4" x14ac:dyDescent="0.15">
      <c r="A1623" s="7">
        <v>1617</v>
      </c>
      <c r="B1623" s="7">
        <v>0</v>
      </c>
      <c r="C1623">
        <f t="shared" si="53"/>
        <v>0.75586055390364359</v>
      </c>
      <c r="D1623">
        <f t="shared" si="54"/>
        <v>-0.27989837232446807</v>
      </c>
    </row>
    <row r="1624" spans="1:4" x14ac:dyDescent="0.15">
      <c r="A1624" s="7">
        <v>1618</v>
      </c>
      <c r="B1624" s="7">
        <v>0</v>
      </c>
      <c r="C1624">
        <f t="shared" si="53"/>
        <v>0.75586055390364359</v>
      </c>
      <c r="D1624">
        <f t="shared" si="54"/>
        <v>-0.27989837232446807</v>
      </c>
    </row>
    <row r="1625" spans="1:4" x14ac:dyDescent="0.15">
      <c r="A1625" s="7">
        <v>1619</v>
      </c>
      <c r="B1625" s="7">
        <v>3</v>
      </c>
      <c r="C1625">
        <f t="shared" si="53"/>
        <v>2.7467996558433502E-2</v>
      </c>
      <c r="D1625">
        <f t="shared" si="54"/>
        <v>-3.594733713517384</v>
      </c>
    </row>
    <row r="1626" spans="1:4" x14ac:dyDescent="0.15">
      <c r="A1626" s="7">
        <v>1620</v>
      </c>
      <c r="B1626" s="7">
        <v>0</v>
      </c>
      <c r="C1626">
        <f t="shared" si="53"/>
        <v>0.75586055390364359</v>
      </c>
      <c r="D1626">
        <f t="shared" si="54"/>
        <v>-0.27989837232446807</v>
      </c>
    </row>
    <row r="1627" spans="1:4" x14ac:dyDescent="0.15">
      <c r="A1627" s="7">
        <v>1621</v>
      </c>
      <c r="B1627" s="7">
        <v>0</v>
      </c>
      <c r="C1627">
        <f t="shared" si="53"/>
        <v>0.75586055390364359</v>
      </c>
      <c r="D1627">
        <f t="shared" si="54"/>
        <v>-0.27989837232446807</v>
      </c>
    </row>
    <row r="1628" spans="1:4" x14ac:dyDescent="0.15">
      <c r="A1628" s="7">
        <v>1622</v>
      </c>
      <c r="B1628" s="7">
        <v>0</v>
      </c>
      <c r="C1628">
        <f t="shared" si="53"/>
        <v>0.75586055390364359</v>
      </c>
      <c r="D1628">
        <f t="shared" si="54"/>
        <v>-0.27989837232446807</v>
      </c>
    </row>
    <row r="1629" spans="1:4" x14ac:dyDescent="0.15">
      <c r="A1629" s="7">
        <v>1623</v>
      </c>
      <c r="B1629" s="7">
        <v>1</v>
      </c>
      <c r="C1629">
        <f t="shared" si="53"/>
        <v>8.8678581416840763E-2</v>
      </c>
      <c r="D1629">
        <f t="shared" si="54"/>
        <v>-2.4227368910146492</v>
      </c>
    </row>
    <row r="1630" spans="1:4" x14ac:dyDescent="0.15">
      <c r="A1630" s="7">
        <v>1624</v>
      </c>
      <c r="B1630" s="7">
        <v>0</v>
      </c>
      <c r="C1630">
        <f t="shared" si="53"/>
        <v>0.75586055390364359</v>
      </c>
      <c r="D1630">
        <f t="shared" si="54"/>
        <v>-0.27989837232446807</v>
      </c>
    </row>
    <row r="1631" spans="1:4" x14ac:dyDescent="0.15">
      <c r="A1631" s="7">
        <v>1625</v>
      </c>
      <c r="B1631" s="7">
        <v>0</v>
      </c>
      <c r="C1631">
        <f t="shared" si="53"/>
        <v>0.75586055390364359</v>
      </c>
      <c r="D1631">
        <f t="shared" si="54"/>
        <v>-0.27989837232446807</v>
      </c>
    </row>
    <row r="1632" spans="1:4" x14ac:dyDescent="0.15">
      <c r="A1632" s="7">
        <v>1626</v>
      </c>
      <c r="B1632" s="7">
        <v>0</v>
      </c>
      <c r="C1632">
        <f t="shared" si="53"/>
        <v>0.75586055390364359</v>
      </c>
      <c r="D1632">
        <f t="shared" si="54"/>
        <v>-0.27989837232446807</v>
      </c>
    </row>
    <row r="1633" spans="1:4" x14ac:dyDescent="0.15">
      <c r="A1633" s="7">
        <v>1627</v>
      </c>
      <c r="B1633" s="7">
        <v>0</v>
      </c>
      <c r="C1633">
        <f t="shared" si="53"/>
        <v>0.75586055390364359</v>
      </c>
      <c r="D1633">
        <f t="shared" si="54"/>
        <v>-0.27989837232446807</v>
      </c>
    </row>
    <row r="1634" spans="1:4" x14ac:dyDescent="0.15">
      <c r="A1634" s="7">
        <v>1628</v>
      </c>
      <c r="B1634" s="7">
        <v>0</v>
      </c>
      <c r="C1634">
        <f t="shared" si="53"/>
        <v>0.75586055390364359</v>
      </c>
      <c r="D1634">
        <f t="shared" si="54"/>
        <v>-0.27989837232446807</v>
      </c>
    </row>
    <row r="1635" spans="1:4" x14ac:dyDescent="0.15">
      <c r="A1635" s="7">
        <v>1629</v>
      </c>
      <c r="B1635" s="7">
        <v>0</v>
      </c>
      <c r="C1635">
        <f t="shared" si="53"/>
        <v>0.75586055390364359</v>
      </c>
      <c r="D1635">
        <f t="shared" si="54"/>
        <v>-0.27989837232446807</v>
      </c>
    </row>
    <row r="1636" spans="1:4" x14ac:dyDescent="0.15">
      <c r="A1636" s="7">
        <v>1630</v>
      </c>
      <c r="B1636" s="7">
        <v>0</v>
      </c>
      <c r="C1636">
        <f t="shared" si="53"/>
        <v>0.75586055390364359</v>
      </c>
      <c r="D1636">
        <f t="shared" si="54"/>
        <v>-0.27989837232446807</v>
      </c>
    </row>
    <row r="1637" spans="1:4" x14ac:dyDescent="0.15">
      <c r="A1637" s="7">
        <v>1631</v>
      </c>
      <c r="B1637" s="7">
        <v>0</v>
      </c>
      <c r="C1637">
        <f t="shared" si="53"/>
        <v>0.75586055390364359</v>
      </c>
      <c r="D1637">
        <f t="shared" si="54"/>
        <v>-0.27989837232446807</v>
      </c>
    </row>
    <row r="1638" spans="1:4" x14ac:dyDescent="0.15">
      <c r="A1638" s="7">
        <v>1632</v>
      </c>
      <c r="B1638" s="7">
        <v>1</v>
      </c>
      <c r="C1638">
        <f t="shared" si="53"/>
        <v>8.8678581416840763E-2</v>
      </c>
      <c r="D1638">
        <f t="shared" si="54"/>
        <v>-2.4227368910146492</v>
      </c>
    </row>
    <row r="1639" spans="1:4" x14ac:dyDescent="0.15">
      <c r="A1639" s="7">
        <v>1633</v>
      </c>
      <c r="B1639" s="7">
        <v>7</v>
      </c>
      <c r="C1639">
        <f t="shared" si="53"/>
        <v>7.8709438009233242E-3</v>
      </c>
      <c r="D1639">
        <f t="shared" si="54"/>
        <v>-4.8445772998646781</v>
      </c>
    </row>
    <row r="1640" spans="1:4" x14ac:dyDescent="0.15">
      <c r="A1640" s="7">
        <v>1634</v>
      </c>
      <c r="B1640" s="7">
        <v>0</v>
      </c>
      <c r="C1640">
        <f t="shared" si="53"/>
        <v>0.75586055390364359</v>
      </c>
      <c r="D1640">
        <f t="shared" si="54"/>
        <v>-0.27989837232446807</v>
      </c>
    </row>
    <row r="1641" spans="1:4" x14ac:dyDescent="0.15">
      <c r="A1641" s="7">
        <v>1635</v>
      </c>
      <c r="B1641" s="7">
        <v>0</v>
      </c>
      <c r="C1641">
        <f t="shared" si="53"/>
        <v>0.75586055390364359</v>
      </c>
      <c r="D1641">
        <f t="shared" si="54"/>
        <v>-0.27989837232446807</v>
      </c>
    </row>
    <row r="1642" spans="1:4" x14ac:dyDescent="0.15">
      <c r="A1642" s="7">
        <v>1636</v>
      </c>
      <c r="B1642" s="7">
        <v>0</v>
      </c>
      <c r="C1642">
        <f t="shared" si="53"/>
        <v>0.75586055390364359</v>
      </c>
      <c r="D1642">
        <f t="shared" si="54"/>
        <v>-0.27989837232446807</v>
      </c>
    </row>
    <row r="1643" spans="1:4" x14ac:dyDescent="0.15">
      <c r="A1643" s="7">
        <v>1637</v>
      </c>
      <c r="B1643" s="7">
        <v>0</v>
      </c>
      <c r="C1643">
        <f t="shared" si="53"/>
        <v>0.75586055390364359</v>
      </c>
      <c r="D1643">
        <f t="shared" si="54"/>
        <v>-0.27989837232446807</v>
      </c>
    </row>
    <row r="1644" spans="1:4" x14ac:dyDescent="0.15">
      <c r="A1644" s="7">
        <v>1638</v>
      </c>
      <c r="B1644" s="7">
        <v>0</v>
      </c>
      <c r="C1644">
        <f t="shared" si="53"/>
        <v>0.75586055390364359</v>
      </c>
      <c r="D1644">
        <f t="shared" si="54"/>
        <v>-0.27989837232446807</v>
      </c>
    </row>
    <row r="1645" spans="1:4" x14ac:dyDescent="0.15">
      <c r="A1645" s="7">
        <v>1639</v>
      </c>
      <c r="B1645" s="7">
        <v>0</v>
      </c>
      <c r="C1645">
        <f t="shared" si="53"/>
        <v>0.75586055390364359</v>
      </c>
      <c r="D1645">
        <f t="shared" si="54"/>
        <v>-0.27989837232446807</v>
      </c>
    </row>
    <row r="1646" spans="1:4" x14ac:dyDescent="0.15">
      <c r="A1646" s="7">
        <v>1640</v>
      </c>
      <c r="B1646" s="7">
        <v>0</v>
      </c>
      <c r="C1646">
        <f t="shared" si="53"/>
        <v>0.75586055390364359</v>
      </c>
      <c r="D1646">
        <f t="shared" si="54"/>
        <v>-0.27989837232446807</v>
      </c>
    </row>
    <row r="1647" spans="1:4" x14ac:dyDescent="0.15">
      <c r="A1647" s="7">
        <v>1641</v>
      </c>
      <c r="B1647" s="7">
        <v>0</v>
      </c>
      <c r="C1647">
        <f t="shared" si="53"/>
        <v>0.75586055390364359</v>
      </c>
      <c r="D1647">
        <f t="shared" si="54"/>
        <v>-0.27989837232446807</v>
      </c>
    </row>
    <row r="1648" spans="1:4" x14ac:dyDescent="0.15">
      <c r="A1648" s="7">
        <v>1642</v>
      </c>
      <c r="B1648" s="7">
        <v>0</v>
      </c>
      <c r="C1648">
        <f t="shared" si="53"/>
        <v>0.75586055390364359</v>
      </c>
      <c r="D1648">
        <f t="shared" si="54"/>
        <v>-0.27989837232446807</v>
      </c>
    </row>
    <row r="1649" spans="1:4" x14ac:dyDescent="0.15">
      <c r="A1649" s="7">
        <v>1643</v>
      </c>
      <c r="B1649" s="7">
        <v>0</v>
      </c>
      <c r="C1649">
        <f t="shared" si="53"/>
        <v>0.75586055390364359</v>
      </c>
      <c r="D1649">
        <f t="shared" si="54"/>
        <v>-0.27989837232446807</v>
      </c>
    </row>
    <row r="1650" spans="1:4" x14ac:dyDescent="0.15">
      <c r="A1650" s="7">
        <v>1644</v>
      </c>
      <c r="B1650" s="7">
        <v>1</v>
      </c>
      <c r="C1650">
        <f t="shared" si="53"/>
        <v>8.8678581416840763E-2</v>
      </c>
      <c r="D1650">
        <f t="shared" si="54"/>
        <v>-2.4227368910146492</v>
      </c>
    </row>
    <row r="1651" spans="1:4" x14ac:dyDescent="0.15">
      <c r="A1651" s="7">
        <v>1645</v>
      </c>
      <c r="B1651" s="7">
        <v>0</v>
      </c>
      <c r="C1651">
        <f t="shared" si="53"/>
        <v>0.75586055390364359</v>
      </c>
      <c r="D1651">
        <f t="shared" si="54"/>
        <v>-0.27989837232446807</v>
      </c>
    </row>
    <row r="1652" spans="1:4" x14ac:dyDescent="0.15">
      <c r="A1652" s="7">
        <v>1646</v>
      </c>
      <c r="B1652" s="7">
        <v>0</v>
      </c>
      <c r="C1652">
        <f t="shared" si="53"/>
        <v>0.75586055390364359</v>
      </c>
      <c r="D1652">
        <f t="shared" si="54"/>
        <v>-0.27989837232446807</v>
      </c>
    </row>
    <row r="1653" spans="1:4" x14ac:dyDescent="0.15">
      <c r="A1653" s="7">
        <v>1647</v>
      </c>
      <c r="B1653" s="7">
        <v>0</v>
      </c>
      <c r="C1653">
        <f t="shared" si="53"/>
        <v>0.75586055390364359</v>
      </c>
      <c r="D1653">
        <f t="shared" si="54"/>
        <v>-0.27989837232446807</v>
      </c>
    </row>
    <row r="1654" spans="1:4" x14ac:dyDescent="0.15">
      <c r="A1654" s="7">
        <v>1648</v>
      </c>
      <c r="B1654" s="7">
        <v>0</v>
      </c>
      <c r="C1654">
        <f t="shared" si="53"/>
        <v>0.75586055390364359</v>
      </c>
      <c r="D1654">
        <f t="shared" si="54"/>
        <v>-0.27989837232446807</v>
      </c>
    </row>
    <row r="1655" spans="1:4" x14ac:dyDescent="0.15">
      <c r="A1655" s="7">
        <v>1649</v>
      </c>
      <c r="B1655" s="7">
        <v>0</v>
      </c>
      <c r="C1655">
        <f t="shared" si="53"/>
        <v>0.75586055390364359</v>
      </c>
      <c r="D1655">
        <f t="shared" si="54"/>
        <v>-0.27989837232446807</v>
      </c>
    </row>
    <row r="1656" spans="1:4" x14ac:dyDescent="0.15">
      <c r="A1656" s="7">
        <v>1650</v>
      </c>
      <c r="B1656" s="7">
        <v>0</v>
      </c>
      <c r="C1656">
        <f t="shared" si="53"/>
        <v>0.75586055390364359</v>
      </c>
      <c r="D1656">
        <f t="shared" si="54"/>
        <v>-0.27989837232446807</v>
      </c>
    </row>
    <row r="1657" spans="1:4" x14ac:dyDescent="0.15">
      <c r="A1657" s="7">
        <v>1651</v>
      </c>
      <c r="B1657" s="7">
        <v>0</v>
      </c>
      <c r="C1657">
        <f t="shared" si="53"/>
        <v>0.75586055390364359</v>
      </c>
      <c r="D1657">
        <f t="shared" si="54"/>
        <v>-0.27989837232446807</v>
      </c>
    </row>
    <row r="1658" spans="1:4" x14ac:dyDescent="0.15">
      <c r="A1658" s="7">
        <v>1652</v>
      </c>
      <c r="B1658" s="7">
        <v>0</v>
      </c>
      <c r="C1658">
        <f t="shared" si="53"/>
        <v>0.75586055390364359</v>
      </c>
      <c r="D1658">
        <f t="shared" si="54"/>
        <v>-0.27989837232446807</v>
      </c>
    </row>
    <row r="1659" spans="1:4" x14ac:dyDescent="0.15">
      <c r="A1659" s="7">
        <v>1653</v>
      </c>
      <c r="B1659" s="7">
        <v>1</v>
      </c>
      <c r="C1659">
        <f t="shared" si="53"/>
        <v>8.8678581416840763E-2</v>
      </c>
      <c r="D1659">
        <f t="shared" si="54"/>
        <v>-2.4227368910146492</v>
      </c>
    </row>
    <row r="1660" spans="1:4" x14ac:dyDescent="0.15">
      <c r="A1660" s="7">
        <v>1654</v>
      </c>
      <c r="B1660" s="7">
        <v>1</v>
      </c>
      <c r="C1660">
        <f t="shared" si="53"/>
        <v>8.8678581416840763E-2</v>
      </c>
      <c r="D1660">
        <f t="shared" si="54"/>
        <v>-2.4227368910146492</v>
      </c>
    </row>
    <row r="1661" spans="1:4" x14ac:dyDescent="0.15">
      <c r="A1661" s="7">
        <v>1655</v>
      </c>
      <c r="B1661" s="7">
        <v>0</v>
      </c>
      <c r="C1661">
        <f t="shared" si="53"/>
        <v>0.75586055390364359</v>
      </c>
      <c r="D1661">
        <f t="shared" si="54"/>
        <v>-0.27989837232446807</v>
      </c>
    </row>
    <row r="1662" spans="1:4" x14ac:dyDescent="0.15">
      <c r="A1662" s="7">
        <v>1656</v>
      </c>
      <c r="B1662" s="7">
        <v>1</v>
      </c>
      <c r="C1662">
        <f t="shared" si="53"/>
        <v>8.8678581416840763E-2</v>
      </c>
      <c r="D1662">
        <f t="shared" si="54"/>
        <v>-2.4227368910146492</v>
      </c>
    </row>
    <row r="1663" spans="1:4" x14ac:dyDescent="0.15">
      <c r="A1663" s="7">
        <v>1657</v>
      </c>
      <c r="B1663" s="7">
        <v>0</v>
      </c>
      <c r="C1663">
        <f t="shared" si="53"/>
        <v>0.75586055390364359</v>
      </c>
      <c r="D1663">
        <f t="shared" si="54"/>
        <v>-0.27989837232446807</v>
      </c>
    </row>
    <row r="1664" spans="1:4" x14ac:dyDescent="0.15">
      <c r="A1664" s="7">
        <v>1658</v>
      </c>
      <c r="B1664" s="7">
        <v>0</v>
      </c>
      <c r="C1664">
        <f t="shared" si="53"/>
        <v>0.75586055390364359</v>
      </c>
      <c r="D1664">
        <f t="shared" si="54"/>
        <v>-0.27989837232446807</v>
      </c>
    </row>
    <row r="1665" spans="1:4" x14ac:dyDescent="0.15">
      <c r="A1665" s="7">
        <v>1659</v>
      </c>
      <c r="B1665" s="7">
        <v>1</v>
      </c>
      <c r="C1665">
        <f t="shared" si="53"/>
        <v>8.8678581416840763E-2</v>
      </c>
      <c r="D1665">
        <f t="shared" si="54"/>
        <v>-2.4227368910146492</v>
      </c>
    </row>
    <row r="1666" spans="1:4" x14ac:dyDescent="0.15">
      <c r="A1666" s="7">
        <v>1660</v>
      </c>
      <c r="B1666" s="7">
        <v>1</v>
      </c>
      <c r="C1666">
        <f t="shared" si="53"/>
        <v>8.8678581416840763E-2</v>
      </c>
      <c r="D1666">
        <f t="shared" si="54"/>
        <v>-2.4227368910146492</v>
      </c>
    </row>
    <row r="1667" spans="1:4" x14ac:dyDescent="0.15">
      <c r="A1667" s="7">
        <v>1661</v>
      </c>
      <c r="B1667" s="7">
        <v>6</v>
      </c>
      <c r="C1667">
        <f t="shared" si="53"/>
        <v>1.0248837632111705E-2</v>
      </c>
      <c r="D1667">
        <f t="shared" si="54"/>
        <v>-4.5805909815733834</v>
      </c>
    </row>
    <row r="1668" spans="1:4" x14ac:dyDescent="0.15">
      <c r="A1668" s="7">
        <v>1662</v>
      </c>
      <c r="B1668" s="7">
        <v>1</v>
      </c>
      <c r="C1668">
        <f t="shared" si="53"/>
        <v>8.8678581416840763E-2</v>
      </c>
      <c r="D1668">
        <f t="shared" si="54"/>
        <v>-2.4227368910146492</v>
      </c>
    </row>
    <row r="1669" spans="1:4" x14ac:dyDescent="0.15">
      <c r="A1669" s="7">
        <v>1663</v>
      </c>
      <c r="B1669" s="7">
        <v>0</v>
      </c>
      <c r="C1669">
        <f t="shared" si="53"/>
        <v>0.75586055390364359</v>
      </c>
      <c r="D1669">
        <f t="shared" si="54"/>
        <v>-0.27989837232446807</v>
      </c>
    </row>
    <row r="1670" spans="1:4" x14ac:dyDescent="0.15">
      <c r="A1670" s="7">
        <v>1664</v>
      </c>
      <c r="B1670" s="7">
        <v>0</v>
      </c>
      <c r="C1670">
        <f t="shared" si="53"/>
        <v>0.75586055390364359</v>
      </c>
      <c r="D1670">
        <f t="shared" si="54"/>
        <v>-0.27989837232446807</v>
      </c>
    </row>
    <row r="1671" spans="1:4" x14ac:dyDescent="0.15">
      <c r="A1671" s="7">
        <v>1665</v>
      </c>
      <c r="B1671" s="7">
        <v>0</v>
      </c>
      <c r="C1671">
        <f t="shared" si="53"/>
        <v>0.75586055390364359</v>
      </c>
      <c r="D1671">
        <f t="shared" si="54"/>
        <v>-0.27989837232446807</v>
      </c>
    </row>
    <row r="1672" spans="1:4" x14ac:dyDescent="0.15">
      <c r="A1672" s="7">
        <v>1666</v>
      </c>
      <c r="B1672" s="7">
        <v>0</v>
      </c>
      <c r="C1672">
        <f t="shared" ref="C1672:C1735" si="55">(_xlfn.GAMMA($B$1+B1672)/(_xlfn.GAMMA($B$1)*FACT(B1672))) * ($B$2/($B$2+$B$4))^$B$1 * (1/($B$2 +$B$4))^B1672</f>
        <v>0.75586055390364359</v>
      </c>
      <c r="D1672">
        <f t="shared" ref="D1672:D1735" si="56">LN(C1672)</f>
        <v>-0.27989837232446807</v>
      </c>
    </row>
    <row r="1673" spans="1:4" x14ac:dyDescent="0.15">
      <c r="A1673" s="7">
        <v>1667</v>
      </c>
      <c r="B1673" s="7">
        <v>0</v>
      </c>
      <c r="C1673">
        <f t="shared" si="55"/>
        <v>0.75586055390364359</v>
      </c>
      <c r="D1673">
        <f t="shared" si="56"/>
        <v>-0.27989837232446807</v>
      </c>
    </row>
    <row r="1674" spans="1:4" x14ac:dyDescent="0.15">
      <c r="A1674" s="7">
        <v>1668</v>
      </c>
      <c r="B1674" s="7">
        <v>0</v>
      </c>
      <c r="C1674">
        <f t="shared" si="55"/>
        <v>0.75586055390364359</v>
      </c>
      <c r="D1674">
        <f t="shared" si="56"/>
        <v>-0.27989837232446807</v>
      </c>
    </row>
    <row r="1675" spans="1:4" x14ac:dyDescent="0.15">
      <c r="A1675" s="7">
        <v>1669</v>
      </c>
      <c r="B1675" s="7">
        <v>0</v>
      </c>
      <c r="C1675">
        <f t="shared" si="55"/>
        <v>0.75586055390364359</v>
      </c>
      <c r="D1675">
        <f t="shared" si="56"/>
        <v>-0.27989837232446807</v>
      </c>
    </row>
    <row r="1676" spans="1:4" x14ac:dyDescent="0.15">
      <c r="A1676" s="7">
        <v>1670</v>
      </c>
      <c r="B1676" s="7">
        <v>0</v>
      </c>
      <c r="C1676">
        <f t="shared" si="55"/>
        <v>0.75586055390364359</v>
      </c>
      <c r="D1676">
        <f t="shared" si="56"/>
        <v>-0.27989837232446807</v>
      </c>
    </row>
    <row r="1677" spans="1:4" x14ac:dyDescent="0.15">
      <c r="A1677" s="7">
        <v>1671</v>
      </c>
      <c r="B1677" s="7">
        <v>0</v>
      </c>
      <c r="C1677">
        <f t="shared" si="55"/>
        <v>0.75586055390364359</v>
      </c>
      <c r="D1677">
        <f t="shared" si="56"/>
        <v>-0.27989837232446807</v>
      </c>
    </row>
    <row r="1678" spans="1:4" x14ac:dyDescent="0.15">
      <c r="A1678" s="7">
        <v>1672</v>
      </c>
      <c r="B1678" s="7">
        <v>0</v>
      </c>
      <c r="C1678">
        <f t="shared" si="55"/>
        <v>0.75586055390364359</v>
      </c>
      <c r="D1678">
        <f t="shared" si="56"/>
        <v>-0.27989837232446807</v>
      </c>
    </row>
    <row r="1679" spans="1:4" x14ac:dyDescent="0.15">
      <c r="A1679" s="7">
        <v>1673</v>
      </c>
      <c r="B1679" s="7">
        <v>0</v>
      </c>
      <c r="C1679">
        <f t="shared" si="55"/>
        <v>0.75586055390364359</v>
      </c>
      <c r="D1679">
        <f t="shared" si="56"/>
        <v>-0.27989837232446807</v>
      </c>
    </row>
    <row r="1680" spans="1:4" x14ac:dyDescent="0.15">
      <c r="A1680" s="7">
        <v>1674</v>
      </c>
      <c r="B1680" s="7">
        <v>1</v>
      </c>
      <c r="C1680">
        <f t="shared" si="55"/>
        <v>8.8678581416840763E-2</v>
      </c>
      <c r="D1680">
        <f t="shared" si="56"/>
        <v>-2.4227368910146492</v>
      </c>
    </row>
    <row r="1681" spans="1:4" x14ac:dyDescent="0.15">
      <c r="A1681" s="7">
        <v>1675</v>
      </c>
      <c r="B1681" s="7">
        <v>0</v>
      </c>
      <c r="C1681">
        <f t="shared" si="55"/>
        <v>0.75586055390364359</v>
      </c>
      <c r="D1681">
        <f t="shared" si="56"/>
        <v>-0.27989837232446807</v>
      </c>
    </row>
    <row r="1682" spans="1:4" x14ac:dyDescent="0.15">
      <c r="A1682" s="7">
        <v>1676</v>
      </c>
      <c r="B1682" s="7">
        <v>0</v>
      </c>
      <c r="C1682">
        <f t="shared" si="55"/>
        <v>0.75586055390364359</v>
      </c>
      <c r="D1682">
        <f t="shared" si="56"/>
        <v>-0.27989837232446807</v>
      </c>
    </row>
    <row r="1683" spans="1:4" x14ac:dyDescent="0.15">
      <c r="A1683" s="7">
        <v>1677</v>
      </c>
      <c r="B1683" s="7">
        <v>0</v>
      </c>
      <c r="C1683">
        <f t="shared" si="55"/>
        <v>0.75586055390364359</v>
      </c>
      <c r="D1683">
        <f t="shared" si="56"/>
        <v>-0.27989837232446807</v>
      </c>
    </row>
    <row r="1684" spans="1:4" x14ac:dyDescent="0.15">
      <c r="A1684" s="7">
        <v>1678</v>
      </c>
      <c r="B1684" s="7">
        <v>0</v>
      </c>
      <c r="C1684">
        <f t="shared" si="55"/>
        <v>0.75586055390364359</v>
      </c>
      <c r="D1684">
        <f t="shared" si="56"/>
        <v>-0.27989837232446807</v>
      </c>
    </row>
    <row r="1685" spans="1:4" x14ac:dyDescent="0.15">
      <c r="A1685" s="7">
        <v>1679</v>
      </c>
      <c r="B1685" s="7">
        <v>0</v>
      </c>
      <c r="C1685">
        <f t="shared" si="55"/>
        <v>0.75586055390364359</v>
      </c>
      <c r="D1685">
        <f t="shared" si="56"/>
        <v>-0.27989837232446807</v>
      </c>
    </row>
    <row r="1686" spans="1:4" x14ac:dyDescent="0.15">
      <c r="A1686" s="7">
        <v>1680</v>
      </c>
      <c r="B1686" s="7">
        <v>0</v>
      </c>
      <c r="C1686">
        <f t="shared" si="55"/>
        <v>0.75586055390364359</v>
      </c>
      <c r="D1686">
        <f t="shared" si="56"/>
        <v>-0.27989837232446807</v>
      </c>
    </row>
    <row r="1687" spans="1:4" x14ac:dyDescent="0.15">
      <c r="A1687" s="7">
        <v>1681</v>
      </c>
      <c r="B1687" s="7">
        <v>0</v>
      </c>
      <c r="C1687">
        <f t="shared" si="55"/>
        <v>0.75586055390364359</v>
      </c>
      <c r="D1687">
        <f t="shared" si="56"/>
        <v>-0.27989837232446807</v>
      </c>
    </row>
    <row r="1688" spans="1:4" x14ac:dyDescent="0.15">
      <c r="A1688" s="7">
        <v>1682</v>
      </c>
      <c r="B1688" s="7">
        <v>1</v>
      </c>
      <c r="C1688">
        <f t="shared" si="55"/>
        <v>8.8678581416840763E-2</v>
      </c>
      <c r="D1688">
        <f t="shared" si="56"/>
        <v>-2.4227368910146492</v>
      </c>
    </row>
    <row r="1689" spans="1:4" x14ac:dyDescent="0.15">
      <c r="A1689" s="7">
        <v>1683</v>
      </c>
      <c r="B1689" s="7">
        <v>2</v>
      </c>
      <c r="C1689">
        <f t="shared" si="55"/>
        <v>4.4062133811825943E-2</v>
      </c>
      <c r="D1689">
        <f t="shared" si="56"/>
        <v>-3.1221545090977791</v>
      </c>
    </row>
    <row r="1690" spans="1:4" x14ac:dyDescent="0.15">
      <c r="A1690" s="7">
        <v>1684</v>
      </c>
      <c r="B1690" s="7">
        <v>0</v>
      </c>
      <c r="C1690">
        <f t="shared" si="55"/>
        <v>0.75586055390364359</v>
      </c>
      <c r="D1690">
        <f t="shared" si="56"/>
        <v>-0.27989837232446807</v>
      </c>
    </row>
    <row r="1691" spans="1:4" x14ac:dyDescent="0.15">
      <c r="A1691" s="7">
        <v>1685</v>
      </c>
      <c r="B1691" s="7">
        <v>0</v>
      </c>
      <c r="C1691">
        <f t="shared" si="55"/>
        <v>0.75586055390364359</v>
      </c>
      <c r="D1691">
        <f t="shared" si="56"/>
        <v>-0.27989837232446807</v>
      </c>
    </row>
    <row r="1692" spans="1:4" x14ac:dyDescent="0.15">
      <c r="A1692" s="7">
        <v>1686</v>
      </c>
      <c r="B1692" s="7">
        <v>0</v>
      </c>
      <c r="C1692">
        <f t="shared" si="55"/>
        <v>0.75586055390364359</v>
      </c>
      <c r="D1692">
        <f t="shared" si="56"/>
        <v>-0.27989837232446807</v>
      </c>
    </row>
    <row r="1693" spans="1:4" x14ac:dyDescent="0.15">
      <c r="A1693" s="7">
        <v>1687</v>
      </c>
      <c r="B1693" s="7">
        <v>1</v>
      </c>
      <c r="C1693">
        <f t="shared" si="55"/>
        <v>8.8678581416840763E-2</v>
      </c>
      <c r="D1693">
        <f t="shared" si="56"/>
        <v>-2.4227368910146492</v>
      </c>
    </row>
    <row r="1694" spans="1:4" x14ac:dyDescent="0.15">
      <c r="A1694" s="7">
        <v>1688</v>
      </c>
      <c r="B1694" s="7">
        <v>0</v>
      </c>
      <c r="C1694">
        <f t="shared" si="55"/>
        <v>0.75586055390364359</v>
      </c>
      <c r="D1694">
        <f t="shared" si="56"/>
        <v>-0.27989837232446807</v>
      </c>
    </row>
    <row r="1695" spans="1:4" x14ac:dyDescent="0.15">
      <c r="A1695" s="7">
        <v>1689</v>
      </c>
      <c r="B1695" s="7">
        <v>1</v>
      </c>
      <c r="C1695">
        <f t="shared" si="55"/>
        <v>8.8678581416840763E-2</v>
      </c>
      <c r="D1695">
        <f t="shared" si="56"/>
        <v>-2.4227368910146492</v>
      </c>
    </row>
    <row r="1696" spans="1:4" x14ac:dyDescent="0.15">
      <c r="A1696" s="7">
        <v>1690</v>
      </c>
      <c r="B1696" s="7">
        <v>0</v>
      </c>
      <c r="C1696">
        <f t="shared" si="55"/>
        <v>0.75586055390364359</v>
      </c>
      <c r="D1696">
        <f t="shared" si="56"/>
        <v>-0.27989837232446807</v>
      </c>
    </row>
    <row r="1697" spans="1:4" x14ac:dyDescent="0.15">
      <c r="A1697" s="7">
        <v>1691</v>
      </c>
      <c r="B1697" s="7">
        <v>0</v>
      </c>
      <c r="C1697">
        <f t="shared" si="55"/>
        <v>0.75586055390364359</v>
      </c>
      <c r="D1697">
        <f t="shared" si="56"/>
        <v>-0.27989837232446807</v>
      </c>
    </row>
    <row r="1698" spans="1:4" x14ac:dyDescent="0.15">
      <c r="A1698" s="7">
        <v>1692</v>
      </c>
      <c r="B1698" s="7">
        <v>0</v>
      </c>
      <c r="C1698">
        <f t="shared" si="55"/>
        <v>0.75586055390364359</v>
      </c>
      <c r="D1698">
        <f t="shared" si="56"/>
        <v>-0.27989837232446807</v>
      </c>
    </row>
    <row r="1699" spans="1:4" x14ac:dyDescent="0.15">
      <c r="A1699" s="7">
        <v>1693</v>
      </c>
      <c r="B1699" s="7">
        <v>0</v>
      </c>
      <c r="C1699">
        <f t="shared" si="55"/>
        <v>0.75586055390364359</v>
      </c>
      <c r="D1699">
        <f t="shared" si="56"/>
        <v>-0.27989837232446807</v>
      </c>
    </row>
    <row r="1700" spans="1:4" x14ac:dyDescent="0.15">
      <c r="A1700" s="7">
        <v>1694</v>
      </c>
      <c r="B1700" s="7">
        <v>1</v>
      </c>
      <c r="C1700">
        <f t="shared" si="55"/>
        <v>8.8678581416840763E-2</v>
      </c>
      <c r="D1700">
        <f t="shared" si="56"/>
        <v>-2.4227368910146492</v>
      </c>
    </row>
    <row r="1701" spans="1:4" x14ac:dyDescent="0.15">
      <c r="A1701" s="7">
        <v>1695</v>
      </c>
      <c r="B1701" s="7">
        <v>0</v>
      </c>
      <c r="C1701">
        <f t="shared" si="55"/>
        <v>0.75586055390364359</v>
      </c>
      <c r="D1701">
        <f t="shared" si="56"/>
        <v>-0.27989837232446807</v>
      </c>
    </row>
    <row r="1702" spans="1:4" x14ac:dyDescent="0.15">
      <c r="A1702" s="7">
        <v>1696</v>
      </c>
      <c r="B1702" s="7">
        <v>0</v>
      </c>
      <c r="C1702">
        <f t="shared" si="55"/>
        <v>0.75586055390364359</v>
      </c>
      <c r="D1702">
        <f t="shared" si="56"/>
        <v>-0.27989837232446807</v>
      </c>
    </row>
    <row r="1703" spans="1:4" x14ac:dyDescent="0.15">
      <c r="A1703" s="7">
        <v>1697</v>
      </c>
      <c r="B1703" s="7">
        <v>0</v>
      </c>
      <c r="C1703">
        <f t="shared" si="55"/>
        <v>0.75586055390364359</v>
      </c>
      <c r="D1703">
        <f t="shared" si="56"/>
        <v>-0.27989837232446807</v>
      </c>
    </row>
    <row r="1704" spans="1:4" x14ac:dyDescent="0.15">
      <c r="A1704" s="7">
        <v>1698</v>
      </c>
      <c r="B1704" s="7">
        <v>0</v>
      </c>
      <c r="C1704">
        <f t="shared" si="55"/>
        <v>0.75586055390364359</v>
      </c>
      <c r="D1704">
        <f t="shared" si="56"/>
        <v>-0.27989837232446807</v>
      </c>
    </row>
    <row r="1705" spans="1:4" x14ac:dyDescent="0.15">
      <c r="A1705" s="7">
        <v>1699</v>
      </c>
      <c r="B1705" s="7">
        <v>0</v>
      </c>
      <c r="C1705">
        <f t="shared" si="55"/>
        <v>0.75586055390364359</v>
      </c>
      <c r="D1705">
        <f t="shared" si="56"/>
        <v>-0.27989837232446807</v>
      </c>
    </row>
    <row r="1706" spans="1:4" x14ac:dyDescent="0.15">
      <c r="A1706" s="7">
        <v>1700</v>
      </c>
      <c r="B1706" s="7">
        <v>0</v>
      </c>
      <c r="C1706">
        <f t="shared" si="55"/>
        <v>0.75586055390364359</v>
      </c>
      <c r="D1706">
        <f t="shared" si="56"/>
        <v>-0.27989837232446807</v>
      </c>
    </row>
    <row r="1707" spans="1:4" x14ac:dyDescent="0.15">
      <c r="A1707" s="7">
        <v>1701</v>
      </c>
      <c r="B1707" s="7">
        <v>0</v>
      </c>
      <c r="C1707">
        <f t="shared" si="55"/>
        <v>0.75586055390364359</v>
      </c>
      <c r="D1707">
        <f t="shared" si="56"/>
        <v>-0.27989837232446807</v>
      </c>
    </row>
    <row r="1708" spans="1:4" x14ac:dyDescent="0.15">
      <c r="A1708" s="7">
        <v>1702</v>
      </c>
      <c r="B1708" s="7">
        <v>4</v>
      </c>
      <c r="C1708">
        <f t="shared" si="55"/>
        <v>1.8860933071470173E-2</v>
      </c>
      <c r="D1708">
        <f t="shared" si="56"/>
        <v>-3.9706625294337847</v>
      </c>
    </row>
    <row r="1709" spans="1:4" x14ac:dyDescent="0.15">
      <c r="A1709" s="7">
        <v>1703</v>
      </c>
      <c r="B1709" s="7">
        <v>0</v>
      </c>
      <c r="C1709">
        <f t="shared" si="55"/>
        <v>0.75586055390364359</v>
      </c>
      <c r="D1709">
        <f t="shared" si="56"/>
        <v>-0.27989837232446807</v>
      </c>
    </row>
    <row r="1710" spans="1:4" x14ac:dyDescent="0.15">
      <c r="A1710" s="7">
        <v>1704</v>
      </c>
      <c r="B1710" s="7">
        <v>0</v>
      </c>
      <c r="C1710">
        <f t="shared" si="55"/>
        <v>0.75586055390364359</v>
      </c>
      <c r="D1710">
        <f t="shared" si="56"/>
        <v>-0.27989837232446807</v>
      </c>
    </row>
    <row r="1711" spans="1:4" x14ac:dyDescent="0.15">
      <c r="A1711" s="7">
        <v>1705</v>
      </c>
      <c r="B1711" s="7">
        <v>0</v>
      </c>
      <c r="C1711">
        <f t="shared" si="55"/>
        <v>0.75586055390364359</v>
      </c>
      <c r="D1711">
        <f t="shared" si="56"/>
        <v>-0.27989837232446807</v>
      </c>
    </row>
    <row r="1712" spans="1:4" x14ac:dyDescent="0.15">
      <c r="A1712" s="7">
        <v>1706</v>
      </c>
      <c r="B1712" s="7">
        <v>0</v>
      </c>
      <c r="C1712">
        <f t="shared" si="55"/>
        <v>0.75586055390364359</v>
      </c>
      <c r="D1712">
        <f t="shared" si="56"/>
        <v>-0.27989837232446807</v>
      </c>
    </row>
    <row r="1713" spans="1:4" x14ac:dyDescent="0.15">
      <c r="A1713" s="7">
        <v>1707</v>
      </c>
      <c r="B1713" s="7">
        <v>2</v>
      </c>
      <c r="C1713">
        <f t="shared" si="55"/>
        <v>4.4062133811825943E-2</v>
      </c>
      <c r="D1713">
        <f t="shared" si="56"/>
        <v>-3.1221545090977791</v>
      </c>
    </row>
    <row r="1714" spans="1:4" x14ac:dyDescent="0.15">
      <c r="A1714" s="7">
        <v>1708</v>
      </c>
      <c r="B1714" s="7">
        <v>0</v>
      </c>
      <c r="C1714">
        <f t="shared" si="55"/>
        <v>0.75586055390364359</v>
      </c>
      <c r="D1714">
        <f t="shared" si="56"/>
        <v>-0.27989837232446807</v>
      </c>
    </row>
    <row r="1715" spans="1:4" x14ac:dyDescent="0.15">
      <c r="A1715" s="7">
        <v>1709</v>
      </c>
      <c r="B1715" s="7">
        <v>0</v>
      </c>
      <c r="C1715">
        <f t="shared" si="55"/>
        <v>0.75586055390364359</v>
      </c>
      <c r="D1715">
        <f t="shared" si="56"/>
        <v>-0.27989837232446807</v>
      </c>
    </row>
    <row r="1716" spans="1:4" x14ac:dyDescent="0.15">
      <c r="A1716" s="7">
        <v>1710</v>
      </c>
      <c r="B1716" s="7">
        <v>0</v>
      </c>
      <c r="C1716">
        <f t="shared" si="55"/>
        <v>0.75586055390364359</v>
      </c>
      <c r="D1716">
        <f t="shared" si="56"/>
        <v>-0.27989837232446807</v>
      </c>
    </row>
    <row r="1717" spans="1:4" x14ac:dyDescent="0.15">
      <c r="A1717" s="7">
        <v>1711</v>
      </c>
      <c r="B1717" s="7">
        <v>0</v>
      </c>
      <c r="C1717">
        <f t="shared" si="55"/>
        <v>0.75586055390364359</v>
      </c>
      <c r="D1717">
        <f t="shared" si="56"/>
        <v>-0.27989837232446807</v>
      </c>
    </row>
    <row r="1718" spans="1:4" x14ac:dyDescent="0.15">
      <c r="A1718" s="7">
        <v>1712</v>
      </c>
      <c r="B1718" s="7">
        <v>0</v>
      </c>
      <c r="C1718">
        <f t="shared" si="55"/>
        <v>0.75586055390364359</v>
      </c>
      <c r="D1718">
        <f t="shared" si="56"/>
        <v>-0.27989837232446807</v>
      </c>
    </row>
    <row r="1719" spans="1:4" x14ac:dyDescent="0.15">
      <c r="A1719" s="7">
        <v>1713</v>
      </c>
      <c r="B1719" s="7">
        <v>1</v>
      </c>
      <c r="C1719">
        <f t="shared" si="55"/>
        <v>8.8678581416840763E-2</v>
      </c>
      <c r="D1719">
        <f t="shared" si="56"/>
        <v>-2.4227368910146492</v>
      </c>
    </row>
    <row r="1720" spans="1:4" x14ac:dyDescent="0.15">
      <c r="A1720" s="7">
        <v>1714</v>
      </c>
      <c r="B1720" s="7">
        <v>2</v>
      </c>
      <c r="C1720">
        <f t="shared" si="55"/>
        <v>4.4062133811825943E-2</v>
      </c>
      <c r="D1720">
        <f t="shared" si="56"/>
        <v>-3.1221545090977791</v>
      </c>
    </row>
    <row r="1721" spans="1:4" x14ac:dyDescent="0.15">
      <c r="A1721" s="7">
        <v>1715</v>
      </c>
      <c r="B1721" s="7">
        <v>0</v>
      </c>
      <c r="C1721">
        <f t="shared" si="55"/>
        <v>0.75586055390364359</v>
      </c>
      <c r="D1721">
        <f t="shared" si="56"/>
        <v>-0.27989837232446807</v>
      </c>
    </row>
    <row r="1722" spans="1:4" x14ac:dyDescent="0.15">
      <c r="A1722" s="7">
        <v>1716</v>
      </c>
      <c r="B1722" s="7">
        <v>1</v>
      </c>
      <c r="C1722">
        <f t="shared" si="55"/>
        <v>8.8678581416840763E-2</v>
      </c>
      <c r="D1722">
        <f t="shared" si="56"/>
        <v>-2.4227368910146492</v>
      </c>
    </row>
    <row r="1723" spans="1:4" x14ac:dyDescent="0.15">
      <c r="A1723" s="7">
        <v>1717</v>
      </c>
      <c r="B1723" s="7">
        <v>0</v>
      </c>
      <c r="C1723">
        <f t="shared" si="55"/>
        <v>0.75586055390364359</v>
      </c>
      <c r="D1723">
        <f t="shared" si="56"/>
        <v>-0.27989837232446807</v>
      </c>
    </row>
    <row r="1724" spans="1:4" x14ac:dyDescent="0.15">
      <c r="A1724" s="7">
        <v>1718</v>
      </c>
      <c r="B1724" s="7">
        <v>0</v>
      </c>
      <c r="C1724">
        <f t="shared" si="55"/>
        <v>0.75586055390364359</v>
      </c>
      <c r="D1724">
        <f t="shared" si="56"/>
        <v>-0.27989837232446807</v>
      </c>
    </row>
    <row r="1725" spans="1:4" x14ac:dyDescent="0.15">
      <c r="A1725" s="7">
        <v>1719</v>
      </c>
      <c r="B1725" s="7">
        <v>0</v>
      </c>
      <c r="C1725">
        <f t="shared" si="55"/>
        <v>0.75586055390364359</v>
      </c>
      <c r="D1725">
        <f t="shared" si="56"/>
        <v>-0.27989837232446807</v>
      </c>
    </row>
    <row r="1726" spans="1:4" x14ac:dyDescent="0.15">
      <c r="A1726" s="7">
        <v>1720</v>
      </c>
      <c r="B1726" s="7">
        <v>0</v>
      </c>
      <c r="C1726">
        <f t="shared" si="55"/>
        <v>0.75586055390364359</v>
      </c>
      <c r="D1726">
        <f t="shared" si="56"/>
        <v>-0.27989837232446807</v>
      </c>
    </row>
    <row r="1727" spans="1:4" x14ac:dyDescent="0.15">
      <c r="A1727" s="7">
        <v>1721</v>
      </c>
      <c r="B1727" s="7">
        <v>0</v>
      </c>
      <c r="C1727">
        <f t="shared" si="55"/>
        <v>0.75586055390364359</v>
      </c>
      <c r="D1727">
        <f t="shared" si="56"/>
        <v>-0.27989837232446807</v>
      </c>
    </row>
    <row r="1728" spans="1:4" x14ac:dyDescent="0.15">
      <c r="A1728" s="7">
        <v>1722</v>
      </c>
      <c r="B1728" s="7">
        <v>0</v>
      </c>
      <c r="C1728">
        <f t="shared" si="55"/>
        <v>0.75586055390364359</v>
      </c>
      <c r="D1728">
        <f t="shared" si="56"/>
        <v>-0.27989837232446807</v>
      </c>
    </row>
    <row r="1729" spans="1:4" x14ac:dyDescent="0.15">
      <c r="A1729" s="7">
        <v>1723</v>
      </c>
      <c r="B1729" s="7">
        <v>0</v>
      </c>
      <c r="C1729">
        <f t="shared" si="55"/>
        <v>0.75586055390364359</v>
      </c>
      <c r="D1729">
        <f t="shared" si="56"/>
        <v>-0.27989837232446807</v>
      </c>
    </row>
    <row r="1730" spans="1:4" x14ac:dyDescent="0.15">
      <c r="A1730" s="7">
        <v>1724</v>
      </c>
      <c r="B1730" s="7">
        <v>21</v>
      </c>
      <c r="C1730">
        <f t="shared" si="55"/>
        <v>4.8222834299056961E-4</v>
      </c>
      <c r="D1730">
        <f t="shared" si="56"/>
        <v>-7.6370928154490096</v>
      </c>
    </row>
    <row r="1731" spans="1:4" x14ac:dyDescent="0.15">
      <c r="A1731" s="7">
        <v>1725</v>
      </c>
      <c r="B1731" s="7">
        <v>0</v>
      </c>
      <c r="C1731">
        <f t="shared" si="55"/>
        <v>0.75586055390364359</v>
      </c>
      <c r="D1731">
        <f t="shared" si="56"/>
        <v>-0.27989837232446807</v>
      </c>
    </row>
    <row r="1732" spans="1:4" x14ac:dyDescent="0.15">
      <c r="A1732" s="7">
        <v>1726</v>
      </c>
      <c r="B1732" s="7">
        <v>0</v>
      </c>
      <c r="C1732">
        <f t="shared" si="55"/>
        <v>0.75586055390364359</v>
      </c>
      <c r="D1732">
        <f t="shared" si="56"/>
        <v>-0.27989837232446807</v>
      </c>
    </row>
    <row r="1733" spans="1:4" x14ac:dyDescent="0.15">
      <c r="A1733" s="7">
        <v>1727</v>
      </c>
      <c r="B1733" s="7">
        <v>2</v>
      </c>
      <c r="C1733">
        <f t="shared" si="55"/>
        <v>4.4062133811825943E-2</v>
      </c>
      <c r="D1733">
        <f t="shared" si="56"/>
        <v>-3.1221545090977791</v>
      </c>
    </row>
    <row r="1734" spans="1:4" x14ac:dyDescent="0.15">
      <c r="A1734" s="7">
        <v>1728</v>
      </c>
      <c r="B1734" s="7">
        <v>3</v>
      </c>
      <c r="C1734">
        <f t="shared" si="55"/>
        <v>2.7467996558433502E-2</v>
      </c>
      <c r="D1734">
        <f t="shared" si="56"/>
        <v>-3.594733713517384</v>
      </c>
    </row>
    <row r="1735" spans="1:4" x14ac:dyDescent="0.15">
      <c r="A1735" s="7">
        <v>1729</v>
      </c>
      <c r="B1735" s="7">
        <v>0</v>
      </c>
      <c r="C1735">
        <f t="shared" si="55"/>
        <v>0.75586055390364359</v>
      </c>
      <c r="D1735">
        <f t="shared" si="56"/>
        <v>-0.27989837232446807</v>
      </c>
    </row>
    <row r="1736" spans="1:4" x14ac:dyDescent="0.15">
      <c r="A1736" s="7">
        <v>1730</v>
      </c>
      <c r="B1736" s="7">
        <v>0</v>
      </c>
      <c r="C1736">
        <f t="shared" ref="C1736:C1799" si="57">(_xlfn.GAMMA($B$1+B1736)/(_xlfn.GAMMA($B$1)*FACT(B1736))) * ($B$2/($B$2+$B$4))^$B$1 * (1/($B$2 +$B$4))^B1736</f>
        <v>0.75586055390364359</v>
      </c>
      <c r="D1736">
        <f t="shared" ref="D1736:D1799" si="58">LN(C1736)</f>
        <v>-0.27989837232446807</v>
      </c>
    </row>
    <row r="1737" spans="1:4" x14ac:dyDescent="0.15">
      <c r="A1737" s="7">
        <v>1731</v>
      </c>
      <c r="B1737" s="7">
        <v>0</v>
      </c>
      <c r="C1737">
        <f t="shared" si="57"/>
        <v>0.75586055390364359</v>
      </c>
      <c r="D1737">
        <f t="shared" si="58"/>
        <v>-0.27989837232446807</v>
      </c>
    </row>
    <row r="1738" spans="1:4" x14ac:dyDescent="0.15">
      <c r="A1738" s="7">
        <v>1732</v>
      </c>
      <c r="B1738" s="7">
        <v>0</v>
      </c>
      <c r="C1738">
        <f t="shared" si="57"/>
        <v>0.75586055390364359</v>
      </c>
      <c r="D1738">
        <f t="shared" si="58"/>
        <v>-0.27989837232446807</v>
      </c>
    </row>
    <row r="1739" spans="1:4" x14ac:dyDescent="0.15">
      <c r="A1739" s="7">
        <v>1733</v>
      </c>
      <c r="B1739" s="7">
        <v>0</v>
      </c>
      <c r="C1739">
        <f t="shared" si="57"/>
        <v>0.75586055390364359</v>
      </c>
      <c r="D1739">
        <f t="shared" si="58"/>
        <v>-0.27989837232446807</v>
      </c>
    </row>
    <row r="1740" spans="1:4" x14ac:dyDescent="0.15">
      <c r="A1740" s="7">
        <v>1734</v>
      </c>
      <c r="B1740" s="7">
        <v>0</v>
      </c>
      <c r="C1740">
        <f t="shared" si="57"/>
        <v>0.75586055390364359</v>
      </c>
      <c r="D1740">
        <f t="shared" si="58"/>
        <v>-0.27989837232446807</v>
      </c>
    </row>
    <row r="1741" spans="1:4" x14ac:dyDescent="0.15">
      <c r="A1741" s="7">
        <v>1735</v>
      </c>
      <c r="B1741" s="7">
        <v>3</v>
      </c>
      <c r="C1741">
        <f t="shared" si="57"/>
        <v>2.7467996558433502E-2</v>
      </c>
      <c r="D1741">
        <f t="shared" si="58"/>
        <v>-3.594733713517384</v>
      </c>
    </row>
    <row r="1742" spans="1:4" x14ac:dyDescent="0.15">
      <c r="A1742" s="7">
        <v>1736</v>
      </c>
      <c r="B1742" s="7">
        <v>0</v>
      </c>
      <c r="C1742">
        <f t="shared" si="57"/>
        <v>0.75586055390364359</v>
      </c>
      <c r="D1742">
        <f t="shared" si="58"/>
        <v>-0.27989837232446807</v>
      </c>
    </row>
    <row r="1743" spans="1:4" x14ac:dyDescent="0.15">
      <c r="A1743" s="7">
        <v>1737</v>
      </c>
      <c r="B1743" s="7">
        <v>0</v>
      </c>
      <c r="C1743">
        <f t="shared" si="57"/>
        <v>0.75586055390364359</v>
      </c>
      <c r="D1743">
        <f t="shared" si="58"/>
        <v>-0.27989837232446807</v>
      </c>
    </row>
    <row r="1744" spans="1:4" x14ac:dyDescent="0.15">
      <c r="A1744" s="7">
        <v>1738</v>
      </c>
      <c r="B1744" s="7">
        <v>0</v>
      </c>
      <c r="C1744">
        <f t="shared" si="57"/>
        <v>0.75586055390364359</v>
      </c>
      <c r="D1744">
        <f t="shared" si="58"/>
        <v>-0.27989837232446807</v>
      </c>
    </row>
    <row r="1745" spans="1:4" x14ac:dyDescent="0.15">
      <c r="A1745" s="7">
        <v>1739</v>
      </c>
      <c r="B1745" s="7">
        <v>0</v>
      </c>
      <c r="C1745">
        <f t="shared" si="57"/>
        <v>0.75586055390364359</v>
      </c>
      <c r="D1745">
        <f t="shared" si="58"/>
        <v>-0.27989837232446807</v>
      </c>
    </row>
    <row r="1746" spans="1:4" x14ac:dyDescent="0.15">
      <c r="A1746" s="7">
        <v>1740</v>
      </c>
      <c r="B1746" s="7">
        <v>0</v>
      </c>
      <c r="C1746">
        <f t="shared" si="57"/>
        <v>0.75586055390364359</v>
      </c>
      <c r="D1746">
        <f t="shared" si="58"/>
        <v>-0.27989837232446807</v>
      </c>
    </row>
    <row r="1747" spans="1:4" x14ac:dyDescent="0.15">
      <c r="A1747" s="7">
        <v>1741</v>
      </c>
      <c r="B1747" s="7">
        <v>0</v>
      </c>
      <c r="C1747">
        <f t="shared" si="57"/>
        <v>0.75586055390364359</v>
      </c>
      <c r="D1747">
        <f t="shared" si="58"/>
        <v>-0.27989837232446807</v>
      </c>
    </row>
    <row r="1748" spans="1:4" x14ac:dyDescent="0.15">
      <c r="A1748" s="7">
        <v>1742</v>
      </c>
      <c r="B1748" s="7">
        <v>0</v>
      </c>
      <c r="C1748">
        <f t="shared" si="57"/>
        <v>0.75586055390364359</v>
      </c>
      <c r="D1748">
        <f t="shared" si="58"/>
        <v>-0.27989837232446807</v>
      </c>
    </row>
    <row r="1749" spans="1:4" x14ac:dyDescent="0.15">
      <c r="A1749" s="7">
        <v>1743</v>
      </c>
      <c r="B1749" s="7">
        <v>0</v>
      </c>
      <c r="C1749">
        <f t="shared" si="57"/>
        <v>0.75586055390364359</v>
      </c>
      <c r="D1749">
        <f t="shared" si="58"/>
        <v>-0.27989837232446807</v>
      </c>
    </row>
    <row r="1750" spans="1:4" x14ac:dyDescent="0.15">
      <c r="A1750" s="7">
        <v>1744</v>
      </c>
      <c r="B1750" s="7">
        <v>0</v>
      </c>
      <c r="C1750">
        <f t="shared" si="57"/>
        <v>0.75586055390364359</v>
      </c>
      <c r="D1750">
        <f t="shared" si="58"/>
        <v>-0.27989837232446807</v>
      </c>
    </row>
    <row r="1751" spans="1:4" x14ac:dyDescent="0.15">
      <c r="A1751" s="7">
        <v>1745</v>
      </c>
      <c r="B1751" s="7">
        <v>0</v>
      </c>
      <c r="C1751">
        <f t="shared" si="57"/>
        <v>0.75586055390364359</v>
      </c>
      <c r="D1751">
        <f t="shared" si="58"/>
        <v>-0.27989837232446807</v>
      </c>
    </row>
    <row r="1752" spans="1:4" x14ac:dyDescent="0.15">
      <c r="A1752" s="7">
        <v>1746</v>
      </c>
      <c r="B1752" s="7">
        <v>0</v>
      </c>
      <c r="C1752">
        <f t="shared" si="57"/>
        <v>0.75586055390364359</v>
      </c>
      <c r="D1752">
        <f t="shared" si="58"/>
        <v>-0.27989837232446807</v>
      </c>
    </row>
    <row r="1753" spans="1:4" x14ac:dyDescent="0.15">
      <c r="A1753" s="7">
        <v>1747</v>
      </c>
      <c r="B1753" s="7">
        <v>1</v>
      </c>
      <c r="C1753">
        <f t="shared" si="57"/>
        <v>8.8678581416840763E-2</v>
      </c>
      <c r="D1753">
        <f t="shared" si="58"/>
        <v>-2.4227368910146492</v>
      </c>
    </row>
    <row r="1754" spans="1:4" x14ac:dyDescent="0.15">
      <c r="A1754" s="7">
        <v>1748</v>
      </c>
      <c r="B1754" s="7">
        <v>0</v>
      </c>
      <c r="C1754">
        <f t="shared" si="57"/>
        <v>0.75586055390364359</v>
      </c>
      <c r="D1754">
        <f t="shared" si="58"/>
        <v>-0.27989837232446807</v>
      </c>
    </row>
    <row r="1755" spans="1:4" x14ac:dyDescent="0.15">
      <c r="A1755" s="7">
        <v>1749</v>
      </c>
      <c r="B1755" s="7">
        <v>0</v>
      </c>
      <c r="C1755">
        <f t="shared" si="57"/>
        <v>0.75586055390364359</v>
      </c>
      <c r="D1755">
        <f t="shared" si="58"/>
        <v>-0.27989837232446807</v>
      </c>
    </row>
    <row r="1756" spans="1:4" x14ac:dyDescent="0.15">
      <c r="A1756" s="7">
        <v>1750</v>
      </c>
      <c r="B1756" s="7">
        <v>0</v>
      </c>
      <c r="C1756">
        <f t="shared" si="57"/>
        <v>0.75586055390364359</v>
      </c>
      <c r="D1756">
        <f t="shared" si="58"/>
        <v>-0.27989837232446807</v>
      </c>
    </row>
    <row r="1757" spans="1:4" x14ac:dyDescent="0.15">
      <c r="A1757" s="7">
        <v>1751</v>
      </c>
      <c r="B1757" s="7">
        <v>0</v>
      </c>
      <c r="C1757">
        <f t="shared" si="57"/>
        <v>0.75586055390364359</v>
      </c>
      <c r="D1757">
        <f t="shared" si="58"/>
        <v>-0.27989837232446807</v>
      </c>
    </row>
    <row r="1758" spans="1:4" x14ac:dyDescent="0.15">
      <c r="A1758" s="7">
        <v>1752</v>
      </c>
      <c r="B1758" s="7">
        <v>0</v>
      </c>
      <c r="C1758">
        <f t="shared" si="57"/>
        <v>0.75586055390364359</v>
      </c>
      <c r="D1758">
        <f t="shared" si="58"/>
        <v>-0.27989837232446807</v>
      </c>
    </row>
    <row r="1759" spans="1:4" x14ac:dyDescent="0.15">
      <c r="A1759" s="7">
        <v>1753</v>
      </c>
      <c r="B1759" s="7">
        <v>0</v>
      </c>
      <c r="C1759">
        <f t="shared" si="57"/>
        <v>0.75586055390364359</v>
      </c>
      <c r="D1759">
        <f t="shared" si="58"/>
        <v>-0.27989837232446807</v>
      </c>
    </row>
    <row r="1760" spans="1:4" x14ac:dyDescent="0.15">
      <c r="A1760" s="7">
        <v>1754</v>
      </c>
      <c r="B1760" s="7">
        <v>0</v>
      </c>
      <c r="C1760">
        <f t="shared" si="57"/>
        <v>0.75586055390364359</v>
      </c>
      <c r="D1760">
        <f t="shared" si="58"/>
        <v>-0.27989837232446807</v>
      </c>
    </row>
    <row r="1761" spans="1:4" x14ac:dyDescent="0.15">
      <c r="A1761" s="7">
        <v>1755</v>
      </c>
      <c r="B1761" s="7">
        <v>0</v>
      </c>
      <c r="C1761">
        <f t="shared" si="57"/>
        <v>0.75586055390364359</v>
      </c>
      <c r="D1761">
        <f t="shared" si="58"/>
        <v>-0.27989837232446807</v>
      </c>
    </row>
    <row r="1762" spans="1:4" x14ac:dyDescent="0.15">
      <c r="A1762" s="7">
        <v>1756</v>
      </c>
      <c r="B1762" s="7">
        <v>0</v>
      </c>
      <c r="C1762">
        <f t="shared" si="57"/>
        <v>0.75586055390364359</v>
      </c>
      <c r="D1762">
        <f t="shared" si="58"/>
        <v>-0.27989837232446807</v>
      </c>
    </row>
    <row r="1763" spans="1:4" x14ac:dyDescent="0.15">
      <c r="A1763" s="7">
        <v>1757</v>
      </c>
      <c r="B1763" s="7">
        <v>0</v>
      </c>
      <c r="C1763">
        <f t="shared" si="57"/>
        <v>0.75586055390364359</v>
      </c>
      <c r="D1763">
        <f t="shared" si="58"/>
        <v>-0.27989837232446807</v>
      </c>
    </row>
    <row r="1764" spans="1:4" x14ac:dyDescent="0.15">
      <c r="A1764" s="7">
        <v>1758</v>
      </c>
      <c r="B1764" s="7">
        <v>0</v>
      </c>
      <c r="C1764">
        <f t="shared" si="57"/>
        <v>0.75586055390364359</v>
      </c>
      <c r="D1764">
        <f t="shared" si="58"/>
        <v>-0.27989837232446807</v>
      </c>
    </row>
    <row r="1765" spans="1:4" x14ac:dyDescent="0.15">
      <c r="A1765" s="7">
        <v>1759</v>
      </c>
      <c r="B1765" s="7">
        <v>0</v>
      </c>
      <c r="C1765">
        <f t="shared" si="57"/>
        <v>0.75586055390364359</v>
      </c>
      <c r="D1765">
        <f t="shared" si="58"/>
        <v>-0.27989837232446807</v>
      </c>
    </row>
    <row r="1766" spans="1:4" x14ac:dyDescent="0.15">
      <c r="A1766" s="7">
        <v>1760</v>
      </c>
      <c r="B1766" s="7">
        <v>0</v>
      </c>
      <c r="C1766">
        <f t="shared" si="57"/>
        <v>0.75586055390364359</v>
      </c>
      <c r="D1766">
        <f t="shared" si="58"/>
        <v>-0.27989837232446807</v>
      </c>
    </row>
    <row r="1767" spans="1:4" x14ac:dyDescent="0.15">
      <c r="A1767" s="7">
        <v>1761</v>
      </c>
      <c r="B1767" s="7">
        <v>1</v>
      </c>
      <c r="C1767">
        <f t="shared" si="57"/>
        <v>8.8678581416840763E-2</v>
      </c>
      <c r="D1767">
        <f t="shared" si="58"/>
        <v>-2.4227368910146492</v>
      </c>
    </row>
    <row r="1768" spans="1:4" x14ac:dyDescent="0.15">
      <c r="A1768" s="7">
        <v>1762</v>
      </c>
      <c r="B1768" s="7">
        <v>3</v>
      </c>
      <c r="C1768">
        <f t="shared" si="57"/>
        <v>2.7467996558433502E-2</v>
      </c>
      <c r="D1768">
        <f t="shared" si="58"/>
        <v>-3.594733713517384</v>
      </c>
    </row>
    <row r="1769" spans="1:4" x14ac:dyDescent="0.15">
      <c r="A1769" s="7">
        <v>1763</v>
      </c>
      <c r="B1769" s="7">
        <v>1</v>
      </c>
      <c r="C1769">
        <f t="shared" si="57"/>
        <v>8.8678581416840763E-2</v>
      </c>
      <c r="D1769">
        <f t="shared" si="58"/>
        <v>-2.4227368910146492</v>
      </c>
    </row>
    <row r="1770" spans="1:4" x14ac:dyDescent="0.15">
      <c r="A1770" s="7">
        <v>1764</v>
      </c>
      <c r="B1770" s="7">
        <v>0</v>
      </c>
      <c r="C1770">
        <f t="shared" si="57"/>
        <v>0.75586055390364359</v>
      </c>
      <c r="D1770">
        <f t="shared" si="58"/>
        <v>-0.27989837232446807</v>
      </c>
    </row>
    <row r="1771" spans="1:4" x14ac:dyDescent="0.15">
      <c r="A1771" s="7">
        <v>1765</v>
      </c>
      <c r="B1771" s="7">
        <v>0</v>
      </c>
      <c r="C1771">
        <f t="shared" si="57"/>
        <v>0.75586055390364359</v>
      </c>
      <c r="D1771">
        <f t="shared" si="58"/>
        <v>-0.27989837232446807</v>
      </c>
    </row>
    <row r="1772" spans="1:4" x14ac:dyDescent="0.15">
      <c r="A1772" s="7">
        <v>1766</v>
      </c>
      <c r="B1772" s="7">
        <v>0</v>
      </c>
      <c r="C1772">
        <f t="shared" si="57"/>
        <v>0.75586055390364359</v>
      </c>
      <c r="D1772">
        <f t="shared" si="58"/>
        <v>-0.27989837232446807</v>
      </c>
    </row>
    <row r="1773" spans="1:4" x14ac:dyDescent="0.15">
      <c r="A1773" s="7">
        <v>1767</v>
      </c>
      <c r="B1773" s="7">
        <v>1</v>
      </c>
      <c r="C1773">
        <f t="shared" si="57"/>
        <v>8.8678581416840763E-2</v>
      </c>
      <c r="D1773">
        <f t="shared" si="58"/>
        <v>-2.4227368910146492</v>
      </c>
    </row>
    <row r="1774" spans="1:4" x14ac:dyDescent="0.15">
      <c r="A1774" s="7">
        <v>1768</v>
      </c>
      <c r="B1774" s="7">
        <v>0</v>
      </c>
      <c r="C1774">
        <f t="shared" si="57"/>
        <v>0.75586055390364359</v>
      </c>
      <c r="D1774">
        <f t="shared" si="58"/>
        <v>-0.27989837232446807</v>
      </c>
    </row>
    <row r="1775" spans="1:4" x14ac:dyDescent="0.15">
      <c r="A1775" s="7">
        <v>1769</v>
      </c>
      <c r="B1775" s="7">
        <v>0</v>
      </c>
      <c r="C1775">
        <f t="shared" si="57"/>
        <v>0.75586055390364359</v>
      </c>
      <c r="D1775">
        <f t="shared" si="58"/>
        <v>-0.27989837232446807</v>
      </c>
    </row>
    <row r="1776" spans="1:4" x14ac:dyDescent="0.15">
      <c r="A1776" s="7">
        <v>1770</v>
      </c>
      <c r="B1776" s="7">
        <v>0</v>
      </c>
      <c r="C1776">
        <f t="shared" si="57"/>
        <v>0.75586055390364359</v>
      </c>
      <c r="D1776">
        <f t="shared" si="58"/>
        <v>-0.27989837232446807</v>
      </c>
    </row>
    <row r="1777" spans="1:4" x14ac:dyDescent="0.15">
      <c r="A1777" s="7">
        <v>1771</v>
      </c>
      <c r="B1777" s="7">
        <v>0</v>
      </c>
      <c r="C1777">
        <f t="shared" si="57"/>
        <v>0.75586055390364359</v>
      </c>
      <c r="D1777">
        <f t="shared" si="58"/>
        <v>-0.27989837232446807</v>
      </c>
    </row>
    <row r="1778" spans="1:4" x14ac:dyDescent="0.15">
      <c r="A1778" s="7">
        <v>1772</v>
      </c>
      <c r="B1778" s="7">
        <v>2</v>
      </c>
      <c r="C1778">
        <f t="shared" si="57"/>
        <v>4.4062133811825943E-2</v>
      </c>
      <c r="D1778">
        <f t="shared" si="58"/>
        <v>-3.1221545090977791</v>
      </c>
    </row>
    <row r="1779" spans="1:4" x14ac:dyDescent="0.15">
      <c r="A1779" s="7">
        <v>1773</v>
      </c>
      <c r="B1779" s="7">
        <v>2</v>
      </c>
      <c r="C1779">
        <f t="shared" si="57"/>
        <v>4.4062133811825943E-2</v>
      </c>
      <c r="D1779">
        <f t="shared" si="58"/>
        <v>-3.1221545090977791</v>
      </c>
    </row>
    <row r="1780" spans="1:4" x14ac:dyDescent="0.15">
      <c r="A1780" s="7">
        <v>1774</v>
      </c>
      <c r="B1780" s="7">
        <v>0</v>
      </c>
      <c r="C1780">
        <f t="shared" si="57"/>
        <v>0.75586055390364359</v>
      </c>
      <c r="D1780">
        <f t="shared" si="58"/>
        <v>-0.27989837232446807</v>
      </c>
    </row>
    <row r="1781" spans="1:4" x14ac:dyDescent="0.15">
      <c r="A1781" s="7">
        <v>1775</v>
      </c>
      <c r="B1781" s="7">
        <v>0</v>
      </c>
      <c r="C1781">
        <f t="shared" si="57"/>
        <v>0.75586055390364359</v>
      </c>
      <c r="D1781">
        <f t="shared" si="58"/>
        <v>-0.27989837232446807</v>
      </c>
    </row>
    <row r="1782" spans="1:4" x14ac:dyDescent="0.15">
      <c r="A1782" s="7">
        <v>1776</v>
      </c>
      <c r="B1782" s="7">
        <v>0</v>
      </c>
      <c r="C1782">
        <f t="shared" si="57"/>
        <v>0.75586055390364359</v>
      </c>
      <c r="D1782">
        <f t="shared" si="58"/>
        <v>-0.27989837232446807</v>
      </c>
    </row>
    <row r="1783" spans="1:4" x14ac:dyDescent="0.15">
      <c r="A1783" s="7">
        <v>1777</v>
      </c>
      <c r="B1783" s="7">
        <v>0</v>
      </c>
      <c r="C1783">
        <f t="shared" si="57"/>
        <v>0.75586055390364359</v>
      </c>
      <c r="D1783">
        <f t="shared" si="58"/>
        <v>-0.27989837232446807</v>
      </c>
    </row>
    <row r="1784" spans="1:4" x14ac:dyDescent="0.15">
      <c r="A1784" s="7">
        <v>1778</v>
      </c>
      <c r="B1784" s="7">
        <v>0</v>
      </c>
      <c r="C1784">
        <f t="shared" si="57"/>
        <v>0.75586055390364359</v>
      </c>
      <c r="D1784">
        <f t="shared" si="58"/>
        <v>-0.27989837232446807</v>
      </c>
    </row>
    <row r="1785" spans="1:4" x14ac:dyDescent="0.15">
      <c r="A1785" s="7">
        <v>1779</v>
      </c>
      <c r="B1785" s="7">
        <v>0</v>
      </c>
      <c r="C1785">
        <f t="shared" si="57"/>
        <v>0.75586055390364359</v>
      </c>
      <c r="D1785">
        <f t="shared" si="58"/>
        <v>-0.27989837232446807</v>
      </c>
    </row>
    <row r="1786" spans="1:4" x14ac:dyDescent="0.15">
      <c r="A1786" s="7">
        <v>1780</v>
      </c>
      <c r="B1786" s="7">
        <v>0</v>
      </c>
      <c r="C1786">
        <f t="shared" si="57"/>
        <v>0.75586055390364359</v>
      </c>
      <c r="D1786">
        <f t="shared" si="58"/>
        <v>-0.27989837232446807</v>
      </c>
    </row>
    <row r="1787" spans="1:4" x14ac:dyDescent="0.15">
      <c r="A1787" s="7">
        <v>1781</v>
      </c>
      <c r="B1787" s="7">
        <v>0</v>
      </c>
      <c r="C1787">
        <f t="shared" si="57"/>
        <v>0.75586055390364359</v>
      </c>
      <c r="D1787">
        <f t="shared" si="58"/>
        <v>-0.27989837232446807</v>
      </c>
    </row>
    <row r="1788" spans="1:4" x14ac:dyDescent="0.15">
      <c r="A1788" s="7">
        <v>1782</v>
      </c>
      <c r="B1788" s="7">
        <v>0</v>
      </c>
      <c r="C1788">
        <f t="shared" si="57"/>
        <v>0.75586055390364359</v>
      </c>
      <c r="D1788">
        <f t="shared" si="58"/>
        <v>-0.27989837232446807</v>
      </c>
    </row>
    <row r="1789" spans="1:4" x14ac:dyDescent="0.15">
      <c r="A1789" s="7">
        <v>1783</v>
      </c>
      <c r="B1789" s="7">
        <v>0</v>
      </c>
      <c r="C1789">
        <f t="shared" si="57"/>
        <v>0.75586055390364359</v>
      </c>
      <c r="D1789">
        <f t="shared" si="58"/>
        <v>-0.27989837232446807</v>
      </c>
    </row>
    <row r="1790" spans="1:4" x14ac:dyDescent="0.15">
      <c r="A1790" s="7">
        <v>1784</v>
      </c>
      <c r="B1790" s="7">
        <v>1</v>
      </c>
      <c r="C1790">
        <f t="shared" si="57"/>
        <v>8.8678581416840763E-2</v>
      </c>
      <c r="D1790">
        <f t="shared" si="58"/>
        <v>-2.4227368910146492</v>
      </c>
    </row>
    <row r="1791" spans="1:4" x14ac:dyDescent="0.15">
      <c r="A1791" s="7">
        <v>1785</v>
      </c>
      <c r="B1791" s="7">
        <v>0</v>
      </c>
      <c r="C1791">
        <f t="shared" si="57"/>
        <v>0.75586055390364359</v>
      </c>
      <c r="D1791">
        <f t="shared" si="58"/>
        <v>-0.27989837232446807</v>
      </c>
    </row>
    <row r="1792" spans="1:4" x14ac:dyDescent="0.15">
      <c r="A1792" s="7">
        <v>1786</v>
      </c>
      <c r="B1792" s="7">
        <v>0</v>
      </c>
      <c r="C1792">
        <f t="shared" si="57"/>
        <v>0.75586055390364359</v>
      </c>
      <c r="D1792">
        <f t="shared" si="58"/>
        <v>-0.27989837232446807</v>
      </c>
    </row>
    <row r="1793" spans="1:4" x14ac:dyDescent="0.15">
      <c r="A1793" s="7">
        <v>1787</v>
      </c>
      <c r="B1793" s="7">
        <v>0</v>
      </c>
      <c r="C1793">
        <f t="shared" si="57"/>
        <v>0.75586055390364359</v>
      </c>
      <c r="D1793">
        <f t="shared" si="58"/>
        <v>-0.27989837232446807</v>
      </c>
    </row>
    <row r="1794" spans="1:4" x14ac:dyDescent="0.15">
      <c r="A1794" s="7">
        <v>1788</v>
      </c>
      <c r="B1794" s="7">
        <v>0</v>
      </c>
      <c r="C1794">
        <f t="shared" si="57"/>
        <v>0.75586055390364359</v>
      </c>
      <c r="D1794">
        <f t="shared" si="58"/>
        <v>-0.27989837232446807</v>
      </c>
    </row>
    <row r="1795" spans="1:4" x14ac:dyDescent="0.15">
      <c r="A1795" s="7">
        <v>1789</v>
      </c>
      <c r="B1795" s="7">
        <v>0</v>
      </c>
      <c r="C1795">
        <f t="shared" si="57"/>
        <v>0.75586055390364359</v>
      </c>
      <c r="D1795">
        <f t="shared" si="58"/>
        <v>-0.27989837232446807</v>
      </c>
    </row>
    <row r="1796" spans="1:4" x14ac:dyDescent="0.15">
      <c r="A1796" s="7">
        <v>1790</v>
      </c>
      <c r="B1796" s="7">
        <v>0</v>
      </c>
      <c r="C1796">
        <f t="shared" si="57"/>
        <v>0.75586055390364359</v>
      </c>
      <c r="D1796">
        <f t="shared" si="58"/>
        <v>-0.27989837232446807</v>
      </c>
    </row>
    <row r="1797" spans="1:4" x14ac:dyDescent="0.15">
      <c r="A1797" s="7">
        <v>1791</v>
      </c>
      <c r="B1797" s="7">
        <v>0</v>
      </c>
      <c r="C1797">
        <f t="shared" si="57"/>
        <v>0.75586055390364359</v>
      </c>
      <c r="D1797">
        <f t="shared" si="58"/>
        <v>-0.27989837232446807</v>
      </c>
    </row>
    <row r="1798" spans="1:4" x14ac:dyDescent="0.15">
      <c r="A1798" s="7">
        <v>1792</v>
      </c>
      <c r="B1798" s="7">
        <v>0</v>
      </c>
      <c r="C1798">
        <f t="shared" si="57"/>
        <v>0.75586055390364359</v>
      </c>
      <c r="D1798">
        <f t="shared" si="58"/>
        <v>-0.27989837232446807</v>
      </c>
    </row>
    <row r="1799" spans="1:4" x14ac:dyDescent="0.15">
      <c r="A1799" s="7">
        <v>1793</v>
      </c>
      <c r="B1799" s="7">
        <v>11</v>
      </c>
      <c r="C1799">
        <f t="shared" si="57"/>
        <v>3.1493246274866328E-3</v>
      </c>
      <c r="D1799">
        <f t="shared" si="58"/>
        <v>-5.7605672531049104</v>
      </c>
    </row>
    <row r="1800" spans="1:4" x14ac:dyDescent="0.15">
      <c r="A1800" s="7">
        <v>1794</v>
      </c>
      <c r="B1800" s="7">
        <v>0</v>
      </c>
      <c r="C1800">
        <f t="shared" ref="C1800:C1863" si="59">(_xlfn.GAMMA($B$1+B1800)/(_xlfn.GAMMA($B$1)*FACT(B1800))) * ($B$2/($B$2+$B$4))^$B$1 * (1/($B$2 +$B$4))^B1800</f>
        <v>0.75586055390364359</v>
      </c>
      <c r="D1800">
        <f t="shared" ref="D1800:D1863" si="60">LN(C1800)</f>
        <v>-0.27989837232446807</v>
      </c>
    </row>
    <row r="1801" spans="1:4" x14ac:dyDescent="0.15">
      <c r="A1801" s="7">
        <v>1795</v>
      </c>
      <c r="B1801" s="7">
        <v>4</v>
      </c>
      <c r="C1801">
        <f t="shared" si="59"/>
        <v>1.8860933071470173E-2</v>
      </c>
      <c r="D1801">
        <f t="shared" si="60"/>
        <v>-3.9706625294337847</v>
      </c>
    </row>
    <row r="1802" spans="1:4" x14ac:dyDescent="0.15">
      <c r="A1802" s="7">
        <v>1796</v>
      </c>
      <c r="B1802" s="7">
        <v>1</v>
      </c>
      <c r="C1802">
        <f t="shared" si="59"/>
        <v>8.8678581416840763E-2</v>
      </c>
      <c r="D1802">
        <f t="shared" si="60"/>
        <v>-2.4227368910146492</v>
      </c>
    </row>
    <row r="1803" spans="1:4" x14ac:dyDescent="0.15">
      <c r="A1803" s="7">
        <v>1797</v>
      </c>
      <c r="B1803" s="7">
        <v>0</v>
      </c>
      <c r="C1803">
        <f t="shared" si="59"/>
        <v>0.75586055390364359</v>
      </c>
      <c r="D1803">
        <f t="shared" si="60"/>
        <v>-0.27989837232446807</v>
      </c>
    </row>
    <row r="1804" spans="1:4" x14ac:dyDescent="0.15">
      <c r="A1804" s="7">
        <v>1798</v>
      </c>
      <c r="B1804" s="7">
        <v>0</v>
      </c>
      <c r="C1804">
        <f t="shared" si="59"/>
        <v>0.75586055390364359</v>
      </c>
      <c r="D1804">
        <f t="shared" si="60"/>
        <v>-0.27989837232446807</v>
      </c>
    </row>
    <row r="1805" spans="1:4" x14ac:dyDescent="0.15">
      <c r="A1805" s="7">
        <v>1799</v>
      </c>
      <c r="B1805" s="7">
        <v>15</v>
      </c>
      <c r="C1805">
        <f t="shared" si="59"/>
        <v>1.4224483572011716E-3</v>
      </c>
      <c r="D1805">
        <f t="shared" si="60"/>
        <v>-6.5553756968750552</v>
      </c>
    </row>
    <row r="1806" spans="1:4" x14ac:dyDescent="0.15">
      <c r="A1806" s="7">
        <v>1800</v>
      </c>
      <c r="B1806" s="7">
        <v>0</v>
      </c>
      <c r="C1806">
        <f t="shared" si="59"/>
        <v>0.75586055390364359</v>
      </c>
      <c r="D1806">
        <f t="shared" si="60"/>
        <v>-0.27989837232446807</v>
      </c>
    </row>
    <row r="1807" spans="1:4" x14ac:dyDescent="0.15">
      <c r="A1807" s="7">
        <v>1801</v>
      </c>
      <c r="B1807" s="7">
        <v>0</v>
      </c>
      <c r="C1807">
        <f t="shared" si="59"/>
        <v>0.75586055390364359</v>
      </c>
      <c r="D1807">
        <f t="shared" si="60"/>
        <v>-0.27989837232446807</v>
      </c>
    </row>
    <row r="1808" spans="1:4" x14ac:dyDescent="0.15">
      <c r="A1808" s="7">
        <v>1802</v>
      </c>
      <c r="B1808" s="7">
        <v>4</v>
      </c>
      <c r="C1808">
        <f t="shared" si="59"/>
        <v>1.8860933071470173E-2</v>
      </c>
      <c r="D1808">
        <f t="shared" si="60"/>
        <v>-3.9706625294337847</v>
      </c>
    </row>
    <row r="1809" spans="1:4" x14ac:dyDescent="0.15">
      <c r="A1809" s="7">
        <v>1803</v>
      </c>
      <c r="B1809" s="7">
        <v>0</v>
      </c>
      <c r="C1809">
        <f t="shared" si="59"/>
        <v>0.75586055390364359</v>
      </c>
      <c r="D1809">
        <f t="shared" si="60"/>
        <v>-0.27989837232446807</v>
      </c>
    </row>
    <row r="1810" spans="1:4" x14ac:dyDescent="0.15">
      <c r="A1810" s="7">
        <v>1804</v>
      </c>
      <c r="B1810" s="7">
        <v>9</v>
      </c>
      <c r="C1810">
        <f t="shared" si="59"/>
        <v>4.8724597930648464E-3</v>
      </c>
      <c r="D1810">
        <f t="shared" si="60"/>
        <v>-5.3241563784247425</v>
      </c>
    </row>
    <row r="1811" spans="1:4" x14ac:dyDescent="0.15">
      <c r="A1811" s="7">
        <v>1805</v>
      </c>
      <c r="B1811" s="7">
        <v>0</v>
      </c>
      <c r="C1811">
        <f t="shared" si="59"/>
        <v>0.75586055390364359</v>
      </c>
      <c r="D1811">
        <f t="shared" si="60"/>
        <v>-0.27989837232446807</v>
      </c>
    </row>
    <row r="1812" spans="1:4" x14ac:dyDescent="0.15">
      <c r="A1812" s="7">
        <v>1806</v>
      </c>
      <c r="B1812" s="7">
        <v>9</v>
      </c>
      <c r="C1812">
        <f t="shared" si="59"/>
        <v>4.8724597930648464E-3</v>
      </c>
      <c r="D1812">
        <f t="shared" si="60"/>
        <v>-5.3241563784247425</v>
      </c>
    </row>
    <row r="1813" spans="1:4" x14ac:dyDescent="0.15">
      <c r="A1813" s="7">
        <v>1807</v>
      </c>
      <c r="B1813" s="7">
        <v>0</v>
      </c>
      <c r="C1813">
        <f t="shared" si="59"/>
        <v>0.75586055390364359</v>
      </c>
      <c r="D1813">
        <f t="shared" si="60"/>
        <v>-0.27989837232446807</v>
      </c>
    </row>
    <row r="1814" spans="1:4" x14ac:dyDescent="0.15">
      <c r="A1814" s="7">
        <v>1808</v>
      </c>
      <c r="B1814" s="7">
        <v>0</v>
      </c>
      <c r="C1814">
        <f t="shared" si="59"/>
        <v>0.75586055390364359</v>
      </c>
      <c r="D1814">
        <f t="shared" si="60"/>
        <v>-0.27989837232446807</v>
      </c>
    </row>
    <row r="1815" spans="1:4" x14ac:dyDescent="0.15">
      <c r="A1815" s="7">
        <v>1809</v>
      </c>
      <c r="B1815" s="7">
        <v>0</v>
      </c>
      <c r="C1815">
        <f t="shared" si="59"/>
        <v>0.75586055390364359</v>
      </c>
      <c r="D1815">
        <f t="shared" si="60"/>
        <v>-0.27989837232446807</v>
      </c>
    </row>
    <row r="1816" spans="1:4" x14ac:dyDescent="0.15">
      <c r="A1816" s="7">
        <v>1810</v>
      </c>
      <c r="B1816" s="7">
        <v>0</v>
      </c>
      <c r="C1816">
        <f t="shared" si="59"/>
        <v>0.75586055390364359</v>
      </c>
      <c r="D1816">
        <f t="shared" si="60"/>
        <v>-0.27989837232446807</v>
      </c>
    </row>
    <row r="1817" spans="1:4" x14ac:dyDescent="0.15">
      <c r="A1817" s="7">
        <v>1811</v>
      </c>
      <c r="B1817" s="7">
        <v>0</v>
      </c>
      <c r="C1817">
        <f t="shared" si="59"/>
        <v>0.75586055390364359</v>
      </c>
      <c r="D1817">
        <f t="shared" si="60"/>
        <v>-0.27989837232446807</v>
      </c>
    </row>
    <row r="1818" spans="1:4" x14ac:dyDescent="0.15">
      <c r="A1818" s="7">
        <v>1812</v>
      </c>
      <c r="B1818" s="7">
        <v>3</v>
      </c>
      <c r="C1818">
        <f t="shared" si="59"/>
        <v>2.7467996558433502E-2</v>
      </c>
      <c r="D1818">
        <f t="shared" si="60"/>
        <v>-3.594733713517384</v>
      </c>
    </row>
    <row r="1819" spans="1:4" x14ac:dyDescent="0.15">
      <c r="A1819" s="7">
        <v>1813</v>
      </c>
      <c r="B1819" s="7">
        <v>0</v>
      </c>
      <c r="C1819">
        <f t="shared" si="59"/>
        <v>0.75586055390364359</v>
      </c>
      <c r="D1819">
        <f t="shared" si="60"/>
        <v>-0.27989837232446807</v>
      </c>
    </row>
    <row r="1820" spans="1:4" x14ac:dyDescent="0.15">
      <c r="A1820" s="7">
        <v>1814</v>
      </c>
      <c r="B1820" s="7">
        <v>0</v>
      </c>
      <c r="C1820">
        <f t="shared" si="59"/>
        <v>0.75586055390364359</v>
      </c>
      <c r="D1820">
        <f t="shared" si="60"/>
        <v>-0.27989837232446807</v>
      </c>
    </row>
    <row r="1821" spans="1:4" x14ac:dyDescent="0.15">
      <c r="A1821" s="7">
        <v>1815</v>
      </c>
      <c r="B1821" s="7">
        <v>0</v>
      </c>
      <c r="C1821">
        <f t="shared" si="59"/>
        <v>0.75586055390364359</v>
      </c>
      <c r="D1821">
        <f t="shared" si="60"/>
        <v>-0.27989837232446807</v>
      </c>
    </row>
    <row r="1822" spans="1:4" x14ac:dyDescent="0.15">
      <c r="A1822" s="7">
        <v>1816</v>
      </c>
      <c r="B1822" s="7">
        <v>2</v>
      </c>
      <c r="C1822">
        <f t="shared" si="59"/>
        <v>4.4062133811825943E-2</v>
      </c>
      <c r="D1822">
        <f t="shared" si="60"/>
        <v>-3.1221545090977791</v>
      </c>
    </row>
    <row r="1823" spans="1:4" x14ac:dyDescent="0.15">
      <c r="A1823" s="7">
        <v>1817</v>
      </c>
      <c r="B1823" s="7">
        <v>0</v>
      </c>
      <c r="C1823">
        <f t="shared" si="59"/>
        <v>0.75586055390364359</v>
      </c>
      <c r="D1823">
        <f t="shared" si="60"/>
        <v>-0.27989837232446807</v>
      </c>
    </row>
    <row r="1824" spans="1:4" x14ac:dyDescent="0.15">
      <c r="A1824" s="7">
        <v>1818</v>
      </c>
      <c r="B1824" s="7">
        <v>0</v>
      </c>
      <c r="C1824">
        <f t="shared" si="59"/>
        <v>0.75586055390364359</v>
      </c>
      <c r="D1824">
        <f t="shared" si="60"/>
        <v>-0.27989837232446807</v>
      </c>
    </row>
    <row r="1825" spans="1:4" x14ac:dyDescent="0.15">
      <c r="A1825" s="7">
        <v>1819</v>
      </c>
      <c r="B1825" s="7">
        <v>1</v>
      </c>
      <c r="C1825">
        <f t="shared" si="59"/>
        <v>8.8678581416840763E-2</v>
      </c>
      <c r="D1825">
        <f t="shared" si="60"/>
        <v>-2.4227368910146492</v>
      </c>
    </row>
    <row r="1826" spans="1:4" x14ac:dyDescent="0.15">
      <c r="A1826" s="7">
        <v>1820</v>
      </c>
      <c r="B1826" s="7">
        <v>0</v>
      </c>
      <c r="C1826">
        <f t="shared" si="59"/>
        <v>0.75586055390364359</v>
      </c>
      <c r="D1826">
        <f t="shared" si="60"/>
        <v>-0.27989837232446807</v>
      </c>
    </row>
    <row r="1827" spans="1:4" x14ac:dyDescent="0.15">
      <c r="A1827" s="7">
        <v>1821</v>
      </c>
      <c r="B1827" s="7">
        <v>0</v>
      </c>
      <c r="C1827">
        <f t="shared" si="59"/>
        <v>0.75586055390364359</v>
      </c>
      <c r="D1827">
        <f t="shared" si="60"/>
        <v>-0.27989837232446807</v>
      </c>
    </row>
    <row r="1828" spans="1:4" x14ac:dyDescent="0.15">
      <c r="A1828" s="7">
        <v>1822</v>
      </c>
      <c r="B1828" s="7">
        <v>0</v>
      </c>
      <c r="C1828">
        <f t="shared" si="59"/>
        <v>0.75586055390364359</v>
      </c>
      <c r="D1828">
        <f t="shared" si="60"/>
        <v>-0.27989837232446807</v>
      </c>
    </row>
    <row r="1829" spans="1:4" x14ac:dyDescent="0.15">
      <c r="A1829" s="7">
        <v>1823</v>
      </c>
      <c r="B1829" s="7">
        <v>0</v>
      </c>
      <c r="C1829">
        <f t="shared" si="59"/>
        <v>0.75586055390364359</v>
      </c>
      <c r="D1829">
        <f t="shared" si="60"/>
        <v>-0.27989837232446807</v>
      </c>
    </row>
    <row r="1830" spans="1:4" x14ac:dyDescent="0.15">
      <c r="A1830" s="7">
        <v>1824</v>
      </c>
      <c r="B1830" s="7">
        <v>0</v>
      </c>
      <c r="C1830">
        <f t="shared" si="59"/>
        <v>0.75586055390364359</v>
      </c>
      <c r="D1830">
        <f t="shared" si="60"/>
        <v>-0.27989837232446807</v>
      </c>
    </row>
    <row r="1831" spans="1:4" x14ac:dyDescent="0.15">
      <c r="A1831" s="7">
        <v>1825</v>
      </c>
      <c r="B1831" s="7">
        <v>0</v>
      </c>
      <c r="C1831">
        <f t="shared" si="59"/>
        <v>0.75586055390364359</v>
      </c>
      <c r="D1831">
        <f t="shared" si="60"/>
        <v>-0.27989837232446807</v>
      </c>
    </row>
    <row r="1832" spans="1:4" x14ac:dyDescent="0.15">
      <c r="A1832" s="7">
        <v>1826</v>
      </c>
      <c r="B1832" s="7">
        <v>0</v>
      </c>
      <c r="C1832">
        <f t="shared" si="59"/>
        <v>0.75586055390364359</v>
      </c>
      <c r="D1832">
        <f t="shared" si="60"/>
        <v>-0.27989837232446807</v>
      </c>
    </row>
    <row r="1833" spans="1:4" x14ac:dyDescent="0.15">
      <c r="A1833" s="7">
        <v>1827</v>
      </c>
      <c r="B1833" s="7">
        <v>0</v>
      </c>
      <c r="C1833">
        <f t="shared" si="59"/>
        <v>0.75586055390364359</v>
      </c>
      <c r="D1833">
        <f t="shared" si="60"/>
        <v>-0.27989837232446807</v>
      </c>
    </row>
    <row r="1834" spans="1:4" x14ac:dyDescent="0.15">
      <c r="A1834" s="7">
        <v>1828</v>
      </c>
      <c r="B1834" s="7">
        <v>0</v>
      </c>
      <c r="C1834">
        <f t="shared" si="59"/>
        <v>0.75586055390364359</v>
      </c>
      <c r="D1834">
        <f t="shared" si="60"/>
        <v>-0.27989837232446807</v>
      </c>
    </row>
    <row r="1835" spans="1:4" x14ac:dyDescent="0.15">
      <c r="A1835" s="7">
        <v>1829</v>
      </c>
      <c r="B1835" s="7">
        <v>0</v>
      </c>
      <c r="C1835">
        <f t="shared" si="59"/>
        <v>0.75586055390364359</v>
      </c>
      <c r="D1835">
        <f t="shared" si="60"/>
        <v>-0.27989837232446807</v>
      </c>
    </row>
    <row r="1836" spans="1:4" x14ac:dyDescent="0.15">
      <c r="A1836" s="7">
        <v>1830</v>
      </c>
      <c r="B1836" s="7">
        <v>0</v>
      </c>
      <c r="C1836">
        <f t="shared" si="59"/>
        <v>0.75586055390364359</v>
      </c>
      <c r="D1836">
        <f t="shared" si="60"/>
        <v>-0.27989837232446807</v>
      </c>
    </row>
    <row r="1837" spans="1:4" x14ac:dyDescent="0.15">
      <c r="A1837" s="7">
        <v>1831</v>
      </c>
      <c r="B1837" s="7">
        <v>0</v>
      </c>
      <c r="C1837">
        <f t="shared" si="59"/>
        <v>0.75586055390364359</v>
      </c>
      <c r="D1837">
        <f t="shared" si="60"/>
        <v>-0.27989837232446807</v>
      </c>
    </row>
    <row r="1838" spans="1:4" x14ac:dyDescent="0.15">
      <c r="A1838" s="7">
        <v>1832</v>
      </c>
      <c r="B1838" s="7">
        <v>1</v>
      </c>
      <c r="C1838">
        <f t="shared" si="59"/>
        <v>8.8678581416840763E-2</v>
      </c>
      <c r="D1838">
        <f t="shared" si="60"/>
        <v>-2.4227368910146492</v>
      </c>
    </row>
    <row r="1839" spans="1:4" x14ac:dyDescent="0.15">
      <c r="A1839" s="7">
        <v>1833</v>
      </c>
      <c r="B1839" s="7">
        <v>0</v>
      </c>
      <c r="C1839">
        <f t="shared" si="59"/>
        <v>0.75586055390364359</v>
      </c>
      <c r="D1839">
        <f t="shared" si="60"/>
        <v>-0.27989837232446807</v>
      </c>
    </row>
    <row r="1840" spans="1:4" x14ac:dyDescent="0.15">
      <c r="A1840" s="7">
        <v>1834</v>
      </c>
      <c r="B1840" s="7">
        <v>0</v>
      </c>
      <c r="C1840">
        <f t="shared" si="59"/>
        <v>0.75586055390364359</v>
      </c>
      <c r="D1840">
        <f t="shared" si="60"/>
        <v>-0.27989837232446807</v>
      </c>
    </row>
    <row r="1841" spans="1:4" x14ac:dyDescent="0.15">
      <c r="A1841" s="7">
        <v>1835</v>
      </c>
      <c r="B1841" s="7">
        <v>0</v>
      </c>
      <c r="C1841">
        <f t="shared" si="59"/>
        <v>0.75586055390364359</v>
      </c>
      <c r="D1841">
        <f t="shared" si="60"/>
        <v>-0.27989837232446807</v>
      </c>
    </row>
    <row r="1842" spans="1:4" x14ac:dyDescent="0.15">
      <c r="A1842" s="7">
        <v>1836</v>
      </c>
      <c r="B1842" s="7">
        <v>0</v>
      </c>
      <c r="C1842">
        <f t="shared" si="59"/>
        <v>0.75586055390364359</v>
      </c>
      <c r="D1842">
        <f t="shared" si="60"/>
        <v>-0.27989837232446807</v>
      </c>
    </row>
    <row r="1843" spans="1:4" x14ac:dyDescent="0.15">
      <c r="A1843" s="7">
        <v>1837</v>
      </c>
      <c r="B1843" s="7">
        <v>0</v>
      </c>
      <c r="C1843">
        <f t="shared" si="59"/>
        <v>0.75586055390364359</v>
      </c>
      <c r="D1843">
        <f t="shared" si="60"/>
        <v>-0.27989837232446807</v>
      </c>
    </row>
    <row r="1844" spans="1:4" x14ac:dyDescent="0.15">
      <c r="A1844" s="7">
        <v>1838</v>
      </c>
      <c r="B1844" s="7">
        <v>0</v>
      </c>
      <c r="C1844">
        <f t="shared" si="59"/>
        <v>0.75586055390364359</v>
      </c>
      <c r="D1844">
        <f t="shared" si="60"/>
        <v>-0.27989837232446807</v>
      </c>
    </row>
    <row r="1845" spans="1:4" x14ac:dyDescent="0.15">
      <c r="A1845" s="7">
        <v>1839</v>
      </c>
      <c r="B1845" s="7">
        <v>2</v>
      </c>
      <c r="C1845">
        <f t="shared" si="59"/>
        <v>4.4062133811825943E-2</v>
      </c>
      <c r="D1845">
        <f t="shared" si="60"/>
        <v>-3.1221545090977791</v>
      </c>
    </row>
    <row r="1846" spans="1:4" x14ac:dyDescent="0.15">
      <c r="A1846" s="7">
        <v>1840</v>
      </c>
      <c r="B1846" s="7">
        <v>0</v>
      </c>
      <c r="C1846">
        <f t="shared" si="59"/>
        <v>0.75586055390364359</v>
      </c>
      <c r="D1846">
        <f t="shared" si="60"/>
        <v>-0.27989837232446807</v>
      </c>
    </row>
    <row r="1847" spans="1:4" x14ac:dyDescent="0.15">
      <c r="A1847" s="7">
        <v>1841</v>
      </c>
      <c r="B1847" s="7">
        <v>1</v>
      </c>
      <c r="C1847">
        <f t="shared" si="59"/>
        <v>8.8678581416840763E-2</v>
      </c>
      <c r="D1847">
        <f t="shared" si="60"/>
        <v>-2.4227368910146492</v>
      </c>
    </row>
    <row r="1848" spans="1:4" x14ac:dyDescent="0.15">
      <c r="A1848" s="7">
        <v>1842</v>
      </c>
      <c r="B1848" s="7">
        <v>6</v>
      </c>
      <c r="C1848">
        <f t="shared" si="59"/>
        <v>1.0248837632111705E-2</v>
      </c>
      <c r="D1848">
        <f t="shared" si="60"/>
        <v>-4.5805909815733834</v>
      </c>
    </row>
    <row r="1849" spans="1:4" x14ac:dyDescent="0.15">
      <c r="A1849" s="7">
        <v>1843</v>
      </c>
      <c r="B1849" s="7">
        <v>0</v>
      </c>
      <c r="C1849">
        <f t="shared" si="59"/>
        <v>0.75586055390364359</v>
      </c>
      <c r="D1849">
        <f t="shared" si="60"/>
        <v>-0.27989837232446807</v>
      </c>
    </row>
    <row r="1850" spans="1:4" x14ac:dyDescent="0.15">
      <c r="A1850" s="7">
        <v>1844</v>
      </c>
      <c r="B1850" s="7">
        <v>2</v>
      </c>
      <c r="C1850">
        <f t="shared" si="59"/>
        <v>4.4062133811825943E-2</v>
      </c>
      <c r="D1850">
        <f t="shared" si="60"/>
        <v>-3.1221545090977791</v>
      </c>
    </row>
    <row r="1851" spans="1:4" x14ac:dyDescent="0.15">
      <c r="A1851" s="7">
        <v>1845</v>
      </c>
      <c r="B1851" s="7">
        <v>2</v>
      </c>
      <c r="C1851">
        <f t="shared" si="59"/>
        <v>4.4062133811825943E-2</v>
      </c>
      <c r="D1851">
        <f t="shared" si="60"/>
        <v>-3.1221545090977791</v>
      </c>
    </row>
    <row r="1852" spans="1:4" x14ac:dyDescent="0.15">
      <c r="A1852" s="7">
        <v>1846</v>
      </c>
      <c r="B1852" s="7">
        <v>0</v>
      </c>
      <c r="C1852">
        <f t="shared" si="59"/>
        <v>0.75586055390364359</v>
      </c>
      <c r="D1852">
        <f t="shared" si="60"/>
        <v>-0.27989837232446807</v>
      </c>
    </row>
    <row r="1853" spans="1:4" x14ac:dyDescent="0.15">
      <c r="A1853" s="7">
        <v>1847</v>
      </c>
      <c r="B1853" s="7">
        <v>0</v>
      </c>
      <c r="C1853">
        <f t="shared" si="59"/>
        <v>0.75586055390364359</v>
      </c>
      <c r="D1853">
        <f t="shared" si="60"/>
        <v>-0.27989837232446807</v>
      </c>
    </row>
    <row r="1854" spans="1:4" x14ac:dyDescent="0.15">
      <c r="A1854" s="7">
        <v>1848</v>
      </c>
      <c r="B1854" s="7">
        <v>0</v>
      </c>
      <c r="C1854">
        <f t="shared" si="59"/>
        <v>0.75586055390364359</v>
      </c>
      <c r="D1854">
        <f t="shared" si="60"/>
        <v>-0.27989837232446807</v>
      </c>
    </row>
    <row r="1855" spans="1:4" x14ac:dyDescent="0.15">
      <c r="A1855" s="7">
        <v>1849</v>
      </c>
      <c r="B1855" s="7">
        <v>1</v>
      </c>
      <c r="C1855">
        <f t="shared" si="59"/>
        <v>8.8678581416840763E-2</v>
      </c>
      <c r="D1855">
        <f t="shared" si="60"/>
        <v>-2.4227368910146492</v>
      </c>
    </row>
    <row r="1856" spans="1:4" x14ac:dyDescent="0.15">
      <c r="A1856" s="7">
        <v>1850</v>
      </c>
      <c r="B1856" s="7">
        <v>0</v>
      </c>
      <c r="C1856">
        <f t="shared" si="59"/>
        <v>0.75586055390364359</v>
      </c>
      <c r="D1856">
        <f t="shared" si="60"/>
        <v>-0.27989837232446807</v>
      </c>
    </row>
    <row r="1857" spans="1:4" x14ac:dyDescent="0.15">
      <c r="A1857" s="7">
        <v>1851</v>
      </c>
      <c r="B1857" s="7">
        <v>0</v>
      </c>
      <c r="C1857">
        <f t="shared" si="59"/>
        <v>0.75586055390364359</v>
      </c>
      <c r="D1857">
        <f t="shared" si="60"/>
        <v>-0.27989837232446807</v>
      </c>
    </row>
    <row r="1858" spans="1:4" x14ac:dyDescent="0.15">
      <c r="A1858" s="7">
        <v>1852</v>
      </c>
      <c r="B1858" s="7">
        <v>0</v>
      </c>
      <c r="C1858">
        <f t="shared" si="59"/>
        <v>0.75586055390364359</v>
      </c>
      <c r="D1858">
        <f t="shared" si="60"/>
        <v>-0.27989837232446807</v>
      </c>
    </row>
    <row r="1859" spans="1:4" x14ac:dyDescent="0.15">
      <c r="A1859" s="7">
        <v>1853</v>
      </c>
      <c r="B1859" s="7">
        <v>0</v>
      </c>
      <c r="C1859">
        <f t="shared" si="59"/>
        <v>0.75586055390364359</v>
      </c>
      <c r="D1859">
        <f t="shared" si="60"/>
        <v>-0.27989837232446807</v>
      </c>
    </row>
    <row r="1860" spans="1:4" x14ac:dyDescent="0.15">
      <c r="A1860" s="7">
        <v>1854</v>
      </c>
      <c r="B1860" s="7">
        <v>0</v>
      </c>
      <c r="C1860">
        <f t="shared" si="59"/>
        <v>0.75586055390364359</v>
      </c>
      <c r="D1860">
        <f t="shared" si="60"/>
        <v>-0.27989837232446807</v>
      </c>
    </row>
    <row r="1861" spans="1:4" x14ac:dyDescent="0.15">
      <c r="A1861" s="7">
        <v>1855</v>
      </c>
      <c r="B1861" s="7">
        <v>0</v>
      </c>
      <c r="C1861">
        <f t="shared" si="59"/>
        <v>0.75586055390364359</v>
      </c>
      <c r="D1861">
        <f t="shared" si="60"/>
        <v>-0.27989837232446807</v>
      </c>
    </row>
    <row r="1862" spans="1:4" x14ac:dyDescent="0.15">
      <c r="A1862" s="7">
        <v>1856</v>
      </c>
      <c r="B1862" s="7">
        <v>0</v>
      </c>
      <c r="C1862">
        <f t="shared" si="59"/>
        <v>0.75586055390364359</v>
      </c>
      <c r="D1862">
        <f t="shared" si="60"/>
        <v>-0.27989837232446807</v>
      </c>
    </row>
    <row r="1863" spans="1:4" x14ac:dyDescent="0.15">
      <c r="A1863" s="7">
        <v>1857</v>
      </c>
      <c r="B1863" s="7">
        <v>0</v>
      </c>
      <c r="C1863">
        <f t="shared" si="59"/>
        <v>0.75586055390364359</v>
      </c>
      <c r="D1863">
        <f t="shared" si="60"/>
        <v>-0.27989837232446807</v>
      </c>
    </row>
    <row r="1864" spans="1:4" x14ac:dyDescent="0.15">
      <c r="A1864" s="7">
        <v>1858</v>
      </c>
      <c r="B1864" s="7">
        <v>0</v>
      </c>
      <c r="C1864">
        <f t="shared" ref="C1864:C1927" si="61">(_xlfn.GAMMA($B$1+B1864)/(_xlfn.GAMMA($B$1)*FACT(B1864))) * ($B$2/($B$2+$B$4))^$B$1 * (1/($B$2 +$B$4))^B1864</f>
        <v>0.75586055390364359</v>
      </c>
      <c r="D1864">
        <f t="shared" ref="D1864:D1927" si="62">LN(C1864)</f>
        <v>-0.27989837232446807</v>
      </c>
    </row>
    <row r="1865" spans="1:4" x14ac:dyDescent="0.15">
      <c r="A1865" s="7">
        <v>1859</v>
      </c>
      <c r="B1865" s="7">
        <v>0</v>
      </c>
      <c r="C1865">
        <f t="shared" si="61"/>
        <v>0.75586055390364359</v>
      </c>
      <c r="D1865">
        <f t="shared" si="62"/>
        <v>-0.27989837232446807</v>
      </c>
    </row>
    <row r="1866" spans="1:4" x14ac:dyDescent="0.15">
      <c r="A1866" s="7">
        <v>1860</v>
      </c>
      <c r="B1866" s="7">
        <v>0</v>
      </c>
      <c r="C1866">
        <f t="shared" si="61"/>
        <v>0.75586055390364359</v>
      </c>
      <c r="D1866">
        <f t="shared" si="62"/>
        <v>-0.27989837232446807</v>
      </c>
    </row>
    <row r="1867" spans="1:4" x14ac:dyDescent="0.15">
      <c r="A1867" s="7">
        <v>1861</v>
      </c>
      <c r="B1867" s="7">
        <v>0</v>
      </c>
      <c r="C1867">
        <f t="shared" si="61"/>
        <v>0.75586055390364359</v>
      </c>
      <c r="D1867">
        <f t="shared" si="62"/>
        <v>-0.27989837232446807</v>
      </c>
    </row>
    <row r="1868" spans="1:4" x14ac:dyDescent="0.15">
      <c r="A1868" s="7">
        <v>1862</v>
      </c>
      <c r="B1868" s="7">
        <v>1</v>
      </c>
      <c r="C1868">
        <f t="shared" si="61"/>
        <v>8.8678581416840763E-2</v>
      </c>
      <c r="D1868">
        <f t="shared" si="62"/>
        <v>-2.4227368910146492</v>
      </c>
    </row>
    <row r="1869" spans="1:4" x14ac:dyDescent="0.15">
      <c r="A1869" s="7">
        <v>1863</v>
      </c>
      <c r="B1869" s="7">
        <v>1</v>
      </c>
      <c r="C1869">
        <f t="shared" si="61"/>
        <v>8.8678581416840763E-2</v>
      </c>
      <c r="D1869">
        <f t="shared" si="62"/>
        <v>-2.4227368910146492</v>
      </c>
    </row>
    <row r="1870" spans="1:4" x14ac:dyDescent="0.15">
      <c r="A1870" s="7">
        <v>1864</v>
      </c>
      <c r="B1870" s="7">
        <v>0</v>
      </c>
      <c r="C1870">
        <f t="shared" si="61"/>
        <v>0.75586055390364359</v>
      </c>
      <c r="D1870">
        <f t="shared" si="62"/>
        <v>-0.27989837232446807</v>
      </c>
    </row>
    <row r="1871" spans="1:4" x14ac:dyDescent="0.15">
      <c r="A1871" s="7">
        <v>1865</v>
      </c>
      <c r="B1871" s="7">
        <v>0</v>
      </c>
      <c r="C1871">
        <f t="shared" si="61"/>
        <v>0.75586055390364359</v>
      </c>
      <c r="D1871">
        <f t="shared" si="62"/>
        <v>-0.27989837232446807</v>
      </c>
    </row>
    <row r="1872" spans="1:4" x14ac:dyDescent="0.15">
      <c r="A1872" s="7">
        <v>1866</v>
      </c>
      <c r="B1872" s="7">
        <v>0</v>
      </c>
      <c r="C1872">
        <f t="shared" si="61"/>
        <v>0.75586055390364359</v>
      </c>
      <c r="D1872">
        <f t="shared" si="62"/>
        <v>-0.27989837232446807</v>
      </c>
    </row>
    <row r="1873" spans="1:4" x14ac:dyDescent="0.15">
      <c r="A1873" s="7">
        <v>1867</v>
      </c>
      <c r="B1873" s="7">
        <v>0</v>
      </c>
      <c r="C1873">
        <f t="shared" si="61"/>
        <v>0.75586055390364359</v>
      </c>
      <c r="D1873">
        <f t="shared" si="62"/>
        <v>-0.27989837232446807</v>
      </c>
    </row>
    <row r="1874" spans="1:4" x14ac:dyDescent="0.15">
      <c r="A1874" s="7">
        <v>1868</v>
      </c>
      <c r="B1874" s="7">
        <v>0</v>
      </c>
      <c r="C1874">
        <f t="shared" si="61"/>
        <v>0.75586055390364359</v>
      </c>
      <c r="D1874">
        <f t="shared" si="62"/>
        <v>-0.27989837232446807</v>
      </c>
    </row>
    <row r="1875" spans="1:4" x14ac:dyDescent="0.15">
      <c r="A1875" s="7">
        <v>1869</v>
      </c>
      <c r="B1875" s="7">
        <v>0</v>
      </c>
      <c r="C1875">
        <f t="shared" si="61"/>
        <v>0.75586055390364359</v>
      </c>
      <c r="D1875">
        <f t="shared" si="62"/>
        <v>-0.27989837232446807</v>
      </c>
    </row>
    <row r="1876" spans="1:4" x14ac:dyDescent="0.15">
      <c r="A1876" s="7">
        <v>1870</v>
      </c>
      <c r="B1876" s="7">
        <v>0</v>
      </c>
      <c r="C1876">
        <f t="shared" si="61"/>
        <v>0.75586055390364359</v>
      </c>
      <c r="D1876">
        <f t="shared" si="62"/>
        <v>-0.27989837232446807</v>
      </c>
    </row>
    <row r="1877" spans="1:4" x14ac:dyDescent="0.15">
      <c r="A1877" s="7">
        <v>1871</v>
      </c>
      <c r="B1877" s="7">
        <v>0</v>
      </c>
      <c r="C1877">
        <f t="shared" si="61"/>
        <v>0.75586055390364359</v>
      </c>
      <c r="D1877">
        <f t="shared" si="62"/>
        <v>-0.27989837232446807</v>
      </c>
    </row>
    <row r="1878" spans="1:4" x14ac:dyDescent="0.15">
      <c r="A1878" s="7">
        <v>1872</v>
      </c>
      <c r="B1878" s="7">
        <v>0</v>
      </c>
      <c r="C1878">
        <f t="shared" si="61"/>
        <v>0.75586055390364359</v>
      </c>
      <c r="D1878">
        <f t="shared" si="62"/>
        <v>-0.27989837232446807</v>
      </c>
    </row>
    <row r="1879" spans="1:4" x14ac:dyDescent="0.15">
      <c r="A1879" s="7">
        <v>1873</v>
      </c>
      <c r="B1879" s="7">
        <v>2</v>
      </c>
      <c r="C1879">
        <f t="shared" si="61"/>
        <v>4.4062133811825943E-2</v>
      </c>
      <c r="D1879">
        <f t="shared" si="62"/>
        <v>-3.1221545090977791</v>
      </c>
    </row>
    <row r="1880" spans="1:4" x14ac:dyDescent="0.15">
      <c r="A1880" s="7">
        <v>1874</v>
      </c>
      <c r="B1880" s="7">
        <v>0</v>
      </c>
      <c r="C1880">
        <f t="shared" si="61"/>
        <v>0.75586055390364359</v>
      </c>
      <c r="D1880">
        <f t="shared" si="62"/>
        <v>-0.27989837232446807</v>
      </c>
    </row>
    <row r="1881" spans="1:4" x14ac:dyDescent="0.15">
      <c r="A1881" s="7">
        <v>1875</v>
      </c>
      <c r="B1881" s="7">
        <v>1</v>
      </c>
      <c r="C1881">
        <f t="shared" si="61"/>
        <v>8.8678581416840763E-2</v>
      </c>
      <c r="D1881">
        <f t="shared" si="62"/>
        <v>-2.4227368910146492</v>
      </c>
    </row>
    <row r="1882" spans="1:4" x14ac:dyDescent="0.15">
      <c r="A1882" s="7">
        <v>1876</v>
      </c>
      <c r="B1882" s="7">
        <v>0</v>
      </c>
      <c r="C1882">
        <f t="shared" si="61"/>
        <v>0.75586055390364359</v>
      </c>
      <c r="D1882">
        <f t="shared" si="62"/>
        <v>-0.27989837232446807</v>
      </c>
    </row>
    <row r="1883" spans="1:4" x14ac:dyDescent="0.15">
      <c r="A1883" s="7">
        <v>1877</v>
      </c>
      <c r="B1883" s="7">
        <v>11</v>
      </c>
      <c r="C1883">
        <f t="shared" si="61"/>
        <v>3.1493246274866328E-3</v>
      </c>
      <c r="D1883">
        <f t="shared" si="62"/>
        <v>-5.7605672531049104</v>
      </c>
    </row>
    <row r="1884" spans="1:4" x14ac:dyDescent="0.15">
      <c r="A1884" s="7">
        <v>1878</v>
      </c>
      <c r="B1884" s="7">
        <v>3</v>
      </c>
      <c r="C1884">
        <f t="shared" si="61"/>
        <v>2.7467996558433502E-2</v>
      </c>
      <c r="D1884">
        <f t="shared" si="62"/>
        <v>-3.594733713517384</v>
      </c>
    </row>
    <row r="1885" spans="1:4" x14ac:dyDescent="0.15">
      <c r="A1885" s="7">
        <v>1879</v>
      </c>
      <c r="B1885" s="7">
        <v>0</v>
      </c>
      <c r="C1885">
        <f t="shared" si="61"/>
        <v>0.75586055390364359</v>
      </c>
      <c r="D1885">
        <f t="shared" si="62"/>
        <v>-0.27989837232446807</v>
      </c>
    </row>
    <row r="1886" spans="1:4" x14ac:dyDescent="0.15">
      <c r="A1886" s="7">
        <v>1880</v>
      </c>
      <c r="B1886" s="7">
        <v>0</v>
      </c>
      <c r="C1886">
        <f t="shared" si="61"/>
        <v>0.75586055390364359</v>
      </c>
      <c r="D1886">
        <f t="shared" si="62"/>
        <v>-0.27989837232446807</v>
      </c>
    </row>
    <row r="1887" spans="1:4" x14ac:dyDescent="0.15">
      <c r="A1887" s="7">
        <v>1881</v>
      </c>
      <c r="B1887" s="7">
        <v>1</v>
      </c>
      <c r="C1887">
        <f t="shared" si="61"/>
        <v>8.8678581416840763E-2</v>
      </c>
      <c r="D1887">
        <f t="shared" si="62"/>
        <v>-2.4227368910146492</v>
      </c>
    </row>
    <row r="1888" spans="1:4" x14ac:dyDescent="0.15">
      <c r="A1888" s="7">
        <v>1882</v>
      </c>
      <c r="B1888" s="7">
        <v>0</v>
      </c>
      <c r="C1888">
        <f t="shared" si="61"/>
        <v>0.75586055390364359</v>
      </c>
      <c r="D1888">
        <f t="shared" si="62"/>
        <v>-0.27989837232446807</v>
      </c>
    </row>
    <row r="1889" spans="1:4" x14ac:dyDescent="0.15">
      <c r="A1889" s="7">
        <v>1883</v>
      </c>
      <c r="B1889" s="7">
        <v>0</v>
      </c>
      <c r="C1889">
        <f t="shared" si="61"/>
        <v>0.75586055390364359</v>
      </c>
      <c r="D1889">
        <f t="shared" si="62"/>
        <v>-0.27989837232446807</v>
      </c>
    </row>
    <row r="1890" spans="1:4" x14ac:dyDescent="0.15">
      <c r="A1890" s="7">
        <v>1884</v>
      </c>
      <c r="B1890" s="7">
        <v>0</v>
      </c>
      <c r="C1890">
        <f t="shared" si="61"/>
        <v>0.75586055390364359</v>
      </c>
      <c r="D1890">
        <f t="shared" si="62"/>
        <v>-0.27989837232446807</v>
      </c>
    </row>
    <row r="1891" spans="1:4" x14ac:dyDescent="0.15">
      <c r="A1891" s="7">
        <v>1885</v>
      </c>
      <c r="B1891" s="7">
        <v>0</v>
      </c>
      <c r="C1891">
        <f t="shared" si="61"/>
        <v>0.75586055390364359</v>
      </c>
      <c r="D1891">
        <f t="shared" si="62"/>
        <v>-0.27989837232446807</v>
      </c>
    </row>
    <row r="1892" spans="1:4" x14ac:dyDescent="0.15">
      <c r="A1892" s="7">
        <v>1886</v>
      </c>
      <c r="B1892" s="7">
        <v>0</v>
      </c>
      <c r="C1892">
        <f t="shared" si="61"/>
        <v>0.75586055390364359</v>
      </c>
      <c r="D1892">
        <f t="shared" si="62"/>
        <v>-0.27989837232446807</v>
      </c>
    </row>
    <row r="1893" spans="1:4" x14ac:dyDescent="0.15">
      <c r="A1893" s="7">
        <v>1887</v>
      </c>
      <c r="B1893" s="7">
        <v>0</v>
      </c>
      <c r="C1893">
        <f t="shared" si="61"/>
        <v>0.75586055390364359</v>
      </c>
      <c r="D1893">
        <f t="shared" si="62"/>
        <v>-0.27989837232446807</v>
      </c>
    </row>
    <row r="1894" spans="1:4" x14ac:dyDescent="0.15">
      <c r="A1894" s="7">
        <v>1888</v>
      </c>
      <c r="B1894" s="7">
        <v>0</v>
      </c>
      <c r="C1894">
        <f t="shared" si="61"/>
        <v>0.75586055390364359</v>
      </c>
      <c r="D1894">
        <f t="shared" si="62"/>
        <v>-0.27989837232446807</v>
      </c>
    </row>
    <row r="1895" spans="1:4" x14ac:dyDescent="0.15">
      <c r="A1895" s="7">
        <v>1889</v>
      </c>
      <c r="B1895" s="7">
        <v>0</v>
      </c>
      <c r="C1895">
        <f t="shared" si="61"/>
        <v>0.75586055390364359</v>
      </c>
      <c r="D1895">
        <f t="shared" si="62"/>
        <v>-0.27989837232446807</v>
      </c>
    </row>
    <row r="1896" spans="1:4" x14ac:dyDescent="0.15">
      <c r="A1896" s="7">
        <v>1890</v>
      </c>
      <c r="B1896" s="7">
        <v>0</v>
      </c>
      <c r="C1896">
        <f t="shared" si="61"/>
        <v>0.75586055390364359</v>
      </c>
      <c r="D1896">
        <f t="shared" si="62"/>
        <v>-0.27989837232446807</v>
      </c>
    </row>
    <row r="1897" spans="1:4" x14ac:dyDescent="0.15">
      <c r="A1897" s="7">
        <v>1891</v>
      </c>
      <c r="B1897" s="7">
        <v>2</v>
      </c>
      <c r="C1897">
        <f t="shared" si="61"/>
        <v>4.4062133811825943E-2</v>
      </c>
      <c r="D1897">
        <f t="shared" si="62"/>
        <v>-3.1221545090977791</v>
      </c>
    </row>
    <row r="1898" spans="1:4" x14ac:dyDescent="0.15">
      <c r="A1898" s="7">
        <v>1892</v>
      </c>
      <c r="B1898" s="7">
        <v>0</v>
      </c>
      <c r="C1898">
        <f t="shared" si="61"/>
        <v>0.75586055390364359</v>
      </c>
      <c r="D1898">
        <f t="shared" si="62"/>
        <v>-0.27989837232446807</v>
      </c>
    </row>
    <row r="1899" spans="1:4" x14ac:dyDescent="0.15">
      <c r="A1899" s="7">
        <v>1893</v>
      </c>
      <c r="B1899" s="7">
        <v>0</v>
      </c>
      <c r="C1899">
        <f t="shared" si="61"/>
        <v>0.75586055390364359</v>
      </c>
      <c r="D1899">
        <f t="shared" si="62"/>
        <v>-0.27989837232446807</v>
      </c>
    </row>
    <row r="1900" spans="1:4" x14ac:dyDescent="0.15">
      <c r="A1900" s="7">
        <v>1894</v>
      </c>
      <c r="B1900" s="7">
        <v>0</v>
      </c>
      <c r="C1900">
        <f t="shared" si="61"/>
        <v>0.75586055390364359</v>
      </c>
      <c r="D1900">
        <f t="shared" si="62"/>
        <v>-0.27989837232446807</v>
      </c>
    </row>
    <row r="1901" spans="1:4" x14ac:dyDescent="0.15">
      <c r="A1901" s="7">
        <v>1895</v>
      </c>
      <c r="B1901" s="7">
        <v>2</v>
      </c>
      <c r="C1901">
        <f t="shared" si="61"/>
        <v>4.4062133811825943E-2</v>
      </c>
      <c r="D1901">
        <f t="shared" si="62"/>
        <v>-3.1221545090977791</v>
      </c>
    </row>
    <row r="1902" spans="1:4" x14ac:dyDescent="0.15">
      <c r="A1902" s="7">
        <v>1896</v>
      </c>
      <c r="B1902" s="7">
        <v>1</v>
      </c>
      <c r="C1902">
        <f t="shared" si="61"/>
        <v>8.8678581416840763E-2</v>
      </c>
      <c r="D1902">
        <f t="shared" si="62"/>
        <v>-2.4227368910146492</v>
      </c>
    </row>
    <row r="1903" spans="1:4" x14ac:dyDescent="0.15">
      <c r="A1903" s="7">
        <v>1897</v>
      </c>
      <c r="B1903" s="7">
        <v>1</v>
      </c>
      <c r="C1903">
        <f t="shared" si="61"/>
        <v>8.8678581416840763E-2</v>
      </c>
      <c r="D1903">
        <f t="shared" si="62"/>
        <v>-2.4227368910146492</v>
      </c>
    </row>
    <row r="1904" spans="1:4" x14ac:dyDescent="0.15">
      <c r="A1904" s="7">
        <v>1898</v>
      </c>
      <c r="B1904" s="7">
        <v>6</v>
      </c>
      <c r="C1904">
        <f t="shared" si="61"/>
        <v>1.0248837632111705E-2</v>
      </c>
      <c r="D1904">
        <f t="shared" si="62"/>
        <v>-4.5805909815733834</v>
      </c>
    </row>
    <row r="1905" spans="1:4" x14ac:dyDescent="0.15">
      <c r="A1905" s="7">
        <v>1899</v>
      </c>
      <c r="B1905" s="7">
        <v>0</v>
      </c>
      <c r="C1905">
        <f t="shared" si="61"/>
        <v>0.75586055390364359</v>
      </c>
      <c r="D1905">
        <f t="shared" si="62"/>
        <v>-0.27989837232446807</v>
      </c>
    </row>
    <row r="1906" spans="1:4" x14ac:dyDescent="0.15">
      <c r="A1906" s="7">
        <v>1900</v>
      </c>
      <c r="B1906" s="7">
        <v>1</v>
      </c>
      <c r="C1906">
        <f t="shared" si="61"/>
        <v>8.8678581416840763E-2</v>
      </c>
      <c r="D1906">
        <f t="shared" si="62"/>
        <v>-2.4227368910146492</v>
      </c>
    </row>
    <row r="1907" spans="1:4" x14ac:dyDescent="0.15">
      <c r="A1907" s="7">
        <v>1901</v>
      </c>
      <c r="B1907" s="7">
        <v>0</v>
      </c>
      <c r="C1907">
        <f t="shared" si="61"/>
        <v>0.75586055390364359</v>
      </c>
      <c r="D1907">
        <f t="shared" si="62"/>
        <v>-0.27989837232446807</v>
      </c>
    </row>
    <row r="1908" spans="1:4" x14ac:dyDescent="0.15">
      <c r="A1908" s="7">
        <v>1902</v>
      </c>
      <c r="B1908" s="7">
        <v>25</v>
      </c>
      <c r="C1908">
        <f t="shared" si="61"/>
        <v>2.4475226455719103E-4</v>
      </c>
      <c r="D1908">
        <f t="shared" si="62"/>
        <v>-8.3152640240645237</v>
      </c>
    </row>
    <row r="1909" spans="1:4" x14ac:dyDescent="0.15">
      <c r="A1909" s="7">
        <v>1903</v>
      </c>
      <c r="B1909" s="7">
        <v>11</v>
      </c>
      <c r="C1909">
        <f t="shared" si="61"/>
        <v>3.1493246274866328E-3</v>
      </c>
      <c r="D1909">
        <f t="shared" si="62"/>
        <v>-5.7605672531049104</v>
      </c>
    </row>
    <row r="1910" spans="1:4" x14ac:dyDescent="0.15">
      <c r="A1910" s="7">
        <v>1904</v>
      </c>
      <c r="B1910" s="7">
        <v>0</v>
      </c>
      <c r="C1910">
        <f t="shared" si="61"/>
        <v>0.75586055390364359</v>
      </c>
      <c r="D1910">
        <f t="shared" si="62"/>
        <v>-0.27989837232446807</v>
      </c>
    </row>
    <row r="1911" spans="1:4" x14ac:dyDescent="0.15">
      <c r="A1911" s="7">
        <v>1905</v>
      </c>
      <c r="B1911" s="7">
        <v>0</v>
      </c>
      <c r="C1911">
        <f t="shared" si="61"/>
        <v>0.75586055390364359</v>
      </c>
      <c r="D1911">
        <f t="shared" si="62"/>
        <v>-0.27989837232446807</v>
      </c>
    </row>
    <row r="1912" spans="1:4" x14ac:dyDescent="0.15">
      <c r="A1912" s="7">
        <v>1906</v>
      </c>
      <c r="B1912" s="7">
        <v>0</v>
      </c>
      <c r="C1912">
        <f t="shared" si="61"/>
        <v>0.75586055390364359</v>
      </c>
      <c r="D1912">
        <f t="shared" si="62"/>
        <v>-0.27989837232446807</v>
      </c>
    </row>
    <row r="1913" spans="1:4" x14ac:dyDescent="0.15">
      <c r="A1913" s="7">
        <v>1907</v>
      </c>
      <c r="B1913" s="7">
        <v>0</v>
      </c>
      <c r="C1913">
        <f t="shared" si="61"/>
        <v>0.75586055390364359</v>
      </c>
      <c r="D1913">
        <f t="shared" si="62"/>
        <v>-0.27989837232446807</v>
      </c>
    </row>
    <row r="1914" spans="1:4" x14ac:dyDescent="0.15">
      <c r="A1914" s="7">
        <v>1908</v>
      </c>
      <c r="B1914" s="7">
        <v>0</v>
      </c>
      <c r="C1914">
        <f t="shared" si="61"/>
        <v>0.75586055390364359</v>
      </c>
      <c r="D1914">
        <f t="shared" si="62"/>
        <v>-0.27989837232446807</v>
      </c>
    </row>
    <row r="1915" spans="1:4" x14ac:dyDescent="0.15">
      <c r="A1915" s="7">
        <v>1909</v>
      </c>
      <c r="B1915" s="7">
        <v>0</v>
      </c>
      <c r="C1915">
        <f t="shared" si="61"/>
        <v>0.75586055390364359</v>
      </c>
      <c r="D1915">
        <f t="shared" si="62"/>
        <v>-0.27989837232446807</v>
      </c>
    </row>
    <row r="1916" spans="1:4" x14ac:dyDescent="0.15">
      <c r="A1916" s="7">
        <v>1910</v>
      </c>
      <c r="B1916" s="7">
        <v>0</v>
      </c>
      <c r="C1916">
        <f t="shared" si="61"/>
        <v>0.75586055390364359</v>
      </c>
      <c r="D1916">
        <f t="shared" si="62"/>
        <v>-0.27989837232446807</v>
      </c>
    </row>
    <row r="1917" spans="1:4" x14ac:dyDescent="0.15">
      <c r="A1917" s="7">
        <v>1911</v>
      </c>
      <c r="B1917" s="7">
        <v>0</v>
      </c>
      <c r="C1917">
        <f t="shared" si="61"/>
        <v>0.75586055390364359</v>
      </c>
      <c r="D1917">
        <f t="shared" si="62"/>
        <v>-0.27989837232446807</v>
      </c>
    </row>
    <row r="1918" spans="1:4" x14ac:dyDescent="0.15">
      <c r="A1918" s="7">
        <v>1912</v>
      </c>
      <c r="B1918" s="7">
        <v>0</v>
      </c>
      <c r="C1918">
        <f t="shared" si="61"/>
        <v>0.75586055390364359</v>
      </c>
      <c r="D1918">
        <f t="shared" si="62"/>
        <v>-0.27989837232446807</v>
      </c>
    </row>
    <row r="1919" spans="1:4" x14ac:dyDescent="0.15">
      <c r="A1919" s="7">
        <v>1913</v>
      </c>
      <c r="B1919" s="7">
        <v>0</v>
      </c>
      <c r="C1919">
        <f t="shared" si="61"/>
        <v>0.75586055390364359</v>
      </c>
      <c r="D1919">
        <f t="shared" si="62"/>
        <v>-0.27989837232446807</v>
      </c>
    </row>
    <row r="1920" spans="1:4" x14ac:dyDescent="0.15">
      <c r="A1920" s="7">
        <v>1914</v>
      </c>
      <c r="B1920" s="7">
        <v>0</v>
      </c>
      <c r="C1920">
        <f t="shared" si="61"/>
        <v>0.75586055390364359</v>
      </c>
      <c r="D1920">
        <f t="shared" si="62"/>
        <v>-0.27989837232446807</v>
      </c>
    </row>
    <row r="1921" spans="1:4" x14ac:dyDescent="0.15">
      <c r="A1921" s="7">
        <v>1915</v>
      </c>
      <c r="B1921" s="7">
        <v>0</v>
      </c>
      <c r="C1921">
        <f t="shared" si="61"/>
        <v>0.75586055390364359</v>
      </c>
      <c r="D1921">
        <f t="shared" si="62"/>
        <v>-0.27989837232446807</v>
      </c>
    </row>
    <row r="1922" spans="1:4" x14ac:dyDescent="0.15">
      <c r="A1922" s="7">
        <v>1916</v>
      </c>
      <c r="B1922" s="7">
        <v>0</v>
      </c>
      <c r="C1922">
        <f t="shared" si="61"/>
        <v>0.75586055390364359</v>
      </c>
      <c r="D1922">
        <f t="shared" si="62"/>
        <v>-0.27989837232446807</v>
      </c>
    </row>
    <row r="1923" spans="1:4" x14ac:dyDescent="0.15">
      <c r="A1923" s="7">
        <v>1917</v>
      </c>
      <c r="B1923" s="7">
        <v>3</v>
      </c>
      <c r="C1923">
        <f t="shared" si="61"/>
        <v>2.7467996558433502E-2</v>
      </c>
      <c r="D1923">
        <f t="shared" si="62"/>
        <v>-3.594733713517384</v>
      </c>
    </row>
    <row r="1924" spans="1:4" x14ac:dyDescent="0.15">
      <c r="A1924" s="7">
        <v>1918</v>
      </c>
      <c r="B1924" s="7">
        <v>0</v>
      </c>
      <c r="C1924">
        <f t="shared" si="61"/>
        <v>0.75586055390364359</v>
      </c>
      <c r="D1924">
        <f t="shared" si="62"/>
        <v>-0.27989837232446807</v>
      </c>
    </row>
    <row r="1925" spans="1:4" x14ac:dyDescent="0.15">
      <c r="A1925" s="7">
        <v>1919</v>
      </c>
      <c r="B1925" s="7">
        <v>0</v>
      </c>
      <c r="C1925">
        <f t="shared" si="61"/>
        <v>0.75586055390364359</v>
      </c>
      <c r="D1925">
        <f t="shared" si="62"/>
        <v>-0.27989837232446807</v>
      </c>
    </row>
    <row r="1926" spans="1:4" x14ac:dyDescent="0.15">
      <c r="A1926" s="7">
        <v>1920</v>
      </c>
      <c r="B1926" s="7">
        <v>0</v>
      </c>
      <c r="C1926">
        <f t="shared" si="61"/>
        <v>0.75586055390364359</v>
      </c>
      <c r="D1926">
        <f t="shared" si="62"/>
        <v>-0.27989837232446807</v>
      </c>
    </row>
    <row r="1927" spans="1:4" x14ac:dyDescent="0.15">
      <c r="A1927" s="7">
        <v>1921</v>
      </c>
      <c r="B1927" s="7">
        <v>0</v>
      </c>
      <c r="C1927">
        <f t="shared" si="61"/>
        <v>0.75586055390364359</v>
      </c>
      <c r="D1927">
        <f t="shared" si="62"/>
        <v>-0.27989837232446807</v>
      </c>
    </row>
    <row r="1928" spans="1:4" x14ac:dyDescent="0.15">
      <c r="A1928" s="7">
        <v>1922</v>
      </c>
      <c r="B1928" s="7">
        <v>0</v>
      </c>
      <c r="C1928">
        <f t="shared" ref="C1928:C1991" si="63">(_xlfn.GAMMA($B$1+B1928)/(_xlfn.GAMMA($B$1)*FACT(B1928))) * ($B$2/($B$2+$B$4))^$B$1 * (1/($B$2 +$B$4))^B1928</f>
        <v>0.75586055390364359</v>
      </c>
      <c r="D1928">
        <f t="shared" ref="D1928:D1991" si="64">LN(C1928)</f>
        <v>-0.27989837232446807</v>
      </c>
    </row>
    <row r="1929" spans="1:4" x14ac:dyDescent="0.15">
      <c r="A1929" s="7">
        <v>1923</v>
      </c>
      <c r="B1929" s="7">
        <v>0</v>
      </c>
      <c r="C1929">
        <f t="shared" si="63"/>
        <v>0.75586055390364359</v>
      </c>
      <c r="D1929">
        <f t="shared" si="64"/>
        <v>-0.27989837232446807</v>
      </c>
    </row>
    <row r="1930" spans="1:4" x14ac:dyDescent="0.15">
      <c r="A1930" s="7">
        <v>1924</v>
      </c>
      <c r="B1930" s="7">
        <v>0</v>
      </c>
      <c r="C1930">
        <f t="shared" si="63"/>
        <v>0.75586055390364359</v>
      </c>
      <c r="D1930">
        <f t="shared" si="64"/>
        <v>-0.27989837232446807</v>
      </c>
    </row>
    <row r="1931" spans="1:4" x14ac:dyDescent="0.15">
      <c r="A1931" s="7">
        <v>1925</v>
      </c>
      <c r="B1931" s="7">
        <v>0</v>
      </c>
      <c r="C1931">
        <f t="shared" si="63"/>
        <v>0.75586055390364359</v>
      </c>
      <c r="D1931">
        <f t="shared" si="64"/>
        <v>-0.27989837232446807</v>
      </c>
    </row>
    <row r="1932" spans="1:4" x14ac:dyDescent="0.15">
      <c r="A1932" s="7">
        <v>1926</v>
      </c>
      <c r="B1932" s="7">
        <v>0</v>
      </c>
      <c r="C1932">
        <f t="shared" si="63"/>
        <v>0.75586055390364359</v>
      </c>
      <c r="D1932">
        <f t="shared" si="64"/>
        <v>-0.27989837232446807</v>
      </c>
    </row>
    <row r="1933" spans="1:4" x14ac:dyDescent="0.15">
      <c r="A1933" s="7">
        <v>1927</v>
      </c>
      <c r="B1933" s="7">
        <v>0</v>
      </c>
      <c r="C1933">
        <f t="shared" si="63"/>
        <v>0.75586055390364359</v>
      </c>
      <c r="D1933">
        <f t="shared" si="64"/>
        <v>-0.27989837232446807</v>
      </c>
    </row>
    <row r="1934" spans="1:4" x14ac:dyDescent="0.15">
      <c r="A1934" s="7">
        <v>1928</v>
      </c>
      <c r="B1934" s="7">
        <v>0</v>
      </c>
      <c r="C1934">
        <f t="shared" si="63"/>
        <v>0.75586055390364359</v>
      </c>
      <c r="D1934">
        <f t="shared" si="64"/>
        <v>-0.27989837232446807</v>
      </c>
    </row>
    <row r="1935" spans="1:4" x14ac:dyDescent="0.15">
      <c r="A1935" s="7">
        <v>1929</v>
      </c>
      <c r="B1935" s="7">
        <v>0</v>
      </c>
      <c r="C1935">
        <f t="shared" si="63"/>
        <v>0.75586055390364359</v>
      </c>
      <c r="D1935">
        <f t="shared" si="64"/>
        <v>-0.27989837232446807</v>
      </c>
    </row>
    <row r="1936" spans="1:4" x14ac:dyDescent="0.15">
      <c r="A1936" s="7">
        <v>1930</v>
      </c>
      <c r="B1936" s="7">
        <v>1</v>
      </c>
      <c r="C1936">
        <f t="shared" si="63"/>
        <v>8.8678581416840763E-2</v>
      </c>
      <c r="D1936">
        <f t="shared" si="64"/>
        <v>-2.4227368910146492</v>
      </c>
    </row>
    <row r="1937" spans="1:4" x14ac:dyDescent="0.15">
      <c r="A1937" s="7">
        <v>1931</v>
      </c>
      <c r="B1937" s="7">
        <v>0</v>
      </c>
      <c r="C1937">
        <f t="shared" si="63"/>
        <v>0.75586055390364359</v>
      </c>
      <c r="D1937">
        <f t="shared" si="64"/>
        <v>-0.27989837232446807</v>
      </c>
    </row>
    <row r="1938" spans="1:4" x14ac:dyDescent="0.15">
      <c r="A1938" s="7">
        <v>1932</v>
      </c>
      <c r="B1938" s="7">
        <v>0</v>
      </c>
      <c r="C1938">
        <f t="shared" si="63"/>
        <v>0.75586055390364359</v>
      </c>
      <c r="D1938">
        <f t="shared" si="64"/>
        <v>-0.27989837232446807</v>
      </c>
    </row>
    <row r="1939" spans="1:4" x14ac:dyDescent="0.15">
      <c r="A1939" s="7">
        <v>1933</v>
      </c>
      <c r="B1939" s="7">
        <v>1</v>
      </c>
      <c r="C1939">
        <f t="shared" si="63"/>
        <v>8.8678581416840763E-2</v>
      </c>
      <c r="D1939">
        <f t="shared" si="64"/>
        <v>-2.4227368910146492</v>
      </c>
    </row>
    <row r="1940" spans="1:4" x14ac:dyDescent="0.15">
      <c r="A1940" s="7">
        <v>1934</v>
      </c>
      <c r="B1940" s="7">
        <v>0</v>
      </c>
      <c r="C1940">
        <f t="shared" si="63"/>
        <v>0.75586055390364359</v>
      </c>
      <c r="D1940">
        <f t="shared" si="64"/>
        <v>-0.27989837232446807</v>
      </c>
    </row>
    <row r="1941" spans="1:4" x14ac:dyDescent="0.15">
      <c r="A1941" s="7">
        <v>1935</v>
      </c>
      <c r="B1941" s="7">
        <v>1</v>
      </c>
      <c r="C1941">
        <f t="shared" si="63"/>
        <v>8.8678581416840763E-2</v>
      </c>
      <c r="D1941">
        <f t="shared" si="64"/>
        <v>-2.4227368910146492</v>
      </c>
    </row>
    <row r="1942" spans="1:4" x14ac:dyDescent="0.15">
      <c r="A1942" s="7">
        <v>1936</v>
      </c>
      <c r="B1942" s="7">
        <v>0</v>
      </c>
      <c r="C1942">
        <f t="shared" si="63"/>
        <v>0.75586055390364359</v>
      </c>
      <c r="D1942">
        <f t="shared" si="64"/>
        <v>-0.27989837232446807</v>
      </c>
    </row>
    <row r="1943" spans="1:4" x14ac:dyDescent="0.15">
      <c r="A1943" s="7">
        <v>1937</v>
      </c>
      <c r="B1943" s="7">
        <v>0</v>
      </c>
      <c r="C1943">
        <f t="shared" si="63"/>
        <v>0.75586055390364359</v>
      </c>
      <c r="D1943">
        <f t="shared" si="64"/>
        <v>-0.27989837232446807</v>
      </c>
    </row>
    <row r="1944" spans="1:4" x14ac:dyDescent="0.15">
      <c r="A1944" s="7">
        <v>1938</v>
      </c>
      <c r="B1944" s="7">
        <v>0</v>
      </c>
      <c r="C1944">
        <f t="shared" si="63"/>
        <v>0.75586055390364359</v>
      </c>
      <c r="D1944">
        <f t="shared" si="64"/>
        <v>-0.27989837232446807</v>
      </c>
    </row>
    <row r="1945" spans="1:4" x14ac:dyDescent="0.15">
      <c r="A1945" s="7">
        <v>1939</v>
      </c>
      <c r="B1945" s="7">
        <v>0</v>
      </c>
      <c r="C1945">
        <f t="shared" si="63"/>
        <v>0.75586055390364359</v>
      </c>
      <c r="D1945">
        <f t="shared" si="64"/>
        <v>-0.27989837232446807</v>
      </c>
    </row>
    <row r="1946" spans="1:4" x14ac:dyDescent="0.15">
      <c r="A1946" s="7">
        <v>1940</v>
      </c>
      <c r="B1946" s="7">
        <v>0</v>
      </c>
      <c r="C1946">
        <f t="shared" si="63"/>
        <v>0.75586055390364359</v>
      </c>
      <c r="D1946">
        <f t="shared" si="64"/>
        <v>-0.27989837232446807</v>
      </c>
    </row>
    <row r="1947" spans="1:4" x14ac:dyDescent="0.15">
      <c r="A1947" s="7">
        <v>1941</v>
      </c>
      <c r="B1947" s="7">
        <v>0</v>
      </c>
      <c r="C1947">
        <f t="shared" si="63"/>
        <v>0.75586055390364359</v>
      </c>
      <c r="D1947">
        <f t="shared" si="64"/>
        <v>-0.27989837232446807</v>
      </c>
    </row>
    <row r="1948" spans="1:4" x14ac:dyDescent="0.15">
      <c r="A1948" s="7">
        <v>1942</v>
      </c>
      <c r="B1948" s="7">
        <v>1</v>
      </c>
      <c r="C1948">
        <f t="shared" si="63"/>
        <v>8.8678581416840763E-2</v>
      </c>
      <c r="D1948">
        <f t="shared" si="64"/>
        <v>-2.4227368910146492</v>
      </c>
    </row>
    <row r="1949" spans="1:4" x14ac:dyDescent="0.15">
      <c r="A1949" s="7">
        <v>1943</v>
      </c>
      <c r="B1949" s="7">
        <v>0</v>
      </c>
      <c r="C1949">
        <f t="shared" si="63"/>
        <v>0.75586055390364359</v>
      </c>
      <c r="D1949">
        <f t="shared" si="64"/>
        <v>-0.27989837232446807</v>
      </c>
    </row>
    <row r="1950" spans="1:4" x14ac:dyDescent="0.15">
      <c r="A1950" s="7">
        <v>1944</v>
      </c>
      <c r="B1950" s="7">
        <v>0</v>
      </c>
      <c r="C1950">
        <f t="shared" si="63"/>
        <v>0.75586055390364359</v>
      </c>
      <c r="D1950">
        <f t="shared" si="64"/>
        <v>-0.27989837232446807</v>
      </c>
    </row>
    <row r="1951" spans="1:4" x14ac:dyDescent="0.15">
      <c r="A1951" s="7">
        <v>1945</v>
      </c>
      <c r="B1951" s="7">
        <v>0</v>
      </c>
      <c r="C1951">
        <f t="shared" si="63"/>
        <v>0.75586055390364359</v>
      </c>
      <c r="D1951">
        <f t="shared" si="64"/>
        <v>-0.27989837232446807</v>
      </c>
    </row>
    <row r="1952" spans="1:4" x14ac:dyDescent="0.15">
      <c r="A1952" s="7">
        <v>1946</v>
      </c>
      <c r="B1952" s="7">
        <v>0</v>
      </c>
      <c r="C1952">
        <f t="shared" si="63"/>
        <v>0.75586055390364359</v>
      </c>
      <c r="D1952">
        <f t="shared" si="64"/>
        <v>-0.27989837232446807</v>
      </c>
    </row>
    <row r="1953" spans="1:4" x14ac:dyDescent="0.15">
      <c r="A1953" s="7">
        <v>1947</v>
      </c>
      <c r="B1953" s="7">
        <v>0</v>
      </c>
      <c r="C1953">
        <f t="shared" si="63"/>
        <v>0.75586055390364359</v>
      </c>
      <c r="D1953">
        <f t="shared" si="64"/>
        <v>-0.27989837232446807</v>
      </c>
    </row>
    <row r="1954" spans="1:4" x14ac:dyDescent="0.15">
      <c r="A1954" s="7">
        <v>1948</v>
      </c>
      <c r="B1954" s="7">
        <v>25</v>
      </c>
      <c r="C1954">
        <f t="shared" si="63"/>
        <v>2.4475226455719103E-4</v>
      </c>
      <c r="D1954">
        <f t="shared" si="64"/>
        <v>-8.3152640240645237</v>
      </c>
    </row>
    <row r="1955" spans="1:4" x14ac:dyDescent="0.15">
      <c r="A1955" s="7">
        <v>1949</v>
      </c>
      <c r="B1955" s="7">
        <v>2</v>
      </c>
      <c r="C1955">
        <f t="shared" si="63"/>
        <v>4.4062133811825943E-2</v>
      </c>
      <c r="D1955">
        <f t="shared" si="64"/>
        <v>-3.1221545090977791</v>
      </c>
    </row>
    <row r="1956" spans="1:4" x14ac:dyDescent="0.15">
      <c r="A1956" s="7">
        <v>1950</v>
      </c>
      <c r="B1956" s="7">
        <v>0</v>
      </c>
      <c r="C1956">
        <f t="shared" si="63"/>
        <v>0.75586055390364359</v>
      </c>
      <c r="D1956">
        <f t="shared" si="64"/>
        <v>-0.27989837232446807</v>
      </c>
    </row>
    <row r="1957" spans="1:4" x14ac:dyDescent="0.15">
      <c r="A1957" s="7">
        <v>1951</v>
      </c>
      <c r="B1957" s="7">
        <v>3</v>
      </c>
      <c r="C1957">
        <f t="shared" si="63"/>
        <v>2.7467996558433502E-2</v>
      </c>
      <c r="D1957">
        <f t="shared" si="64"/>
        <v>-3.594733713517384</v>
      </c>
    </row>
    <row r="1958" spans="1:4" x14ac:dyDescent="0.15">
      <c r="A1958" s="7">
        <v>1952</v>
      </c>
      <c r="B1958" s="7">
        <v>0</v>
      </c>
      <c r="C1958">
        <f t="shared" si="63"/>
        <v>0.75586055390364359</v>
      </c>
      <c r="D1958">
        <f t="shared" si="64"/>
        <v>-0.27989837232446807</v>
      </c>
    </row>
    <row r="1959" spans="1:4" x14ac:dyDescent="0.15">
      <c r="A1959" s="7">
        <v>1953</v>
      </c>
      <c r="B1959" s="7">
        <v>0</v>
      </c>
      <c r="C1959">
        <f t="shared" si="63"/>
        <v>0.75586055390364359</v>
      </c>
      <c r="D1959">
        <f t="shared" si="64"/>
        <v>-0.27989837232446807</v>
      </c>
    </row>
    <row r="1960" spans="1:4" x14ac:dyDescent="0.15">
      <c r="A1960" s="7">
        <v>1954</v>
      </c>
      <c r="B1960" s="7">
        <v>0</v>
      </c>
      <c r="C1960">
        <f t="shared" si="63"/>
        <v>0.75586055390364359</v>
      </c>
      <c r="D1960">
        <f t="shared" si="64"/>
        <v>-0.27989837232446807</v>
      </c>
    </row>
    <row r="1961" spans="1:4" x14ac:dyDescent="0.15">
      <c r="A1961" s="7">
        <v>1955</v>
      </c>
      <c r="B1961" s="7">
        <v>0</v>
      </c>
      <c r="C1961">
        <f t="shared" si="63"/>
        <v>0.75586055390364359</v>
      </c>
      <c r="D1961">
        <f t="shared" si="64"/>
        <v>-0.27989837232446807</v>
      </c>
    </row>
    <row r="1962" spans="1:4" x14ac:dyDescent="0.15">
      <c r="A1962" s="7">
        <v>1956</v>
      </c>
      <c r="B1962" s="7">
        <v>0</v>
      </c>
      <c r="C1962">
        <f t="shared" si="63"/>
        <v>0.75586055390364359</v>
      </c>
      <c r="D1962">
        <f t="shared" si="64"/>
        <v>-0.27989837232446807</v>
      </c>
    </row>
    <row r="1963" spans="1:4" x14ac:dyDescent="0.15">
      <c r="A1963" s="7">
        <v>1957</v>
      </c>
      <c r="B1963" s="7">
        <v>0</v>
      </c>
      <c r="C1963">
        <f t="shared" si="63"/>
        <v>0.75586055390364359</v>
      </c>
      <c r="D1963">
        <f t="shared" si="64"/>
        <v>-0.27989837232446807</v>
      </c>
    </row>
    <row r="1964" spans="1:4" x14ac:dyDescent="0.15">
      <c r="A1964" s="7">
        <v>1958</v>
      </c>
      <c r="B1964" s="7">
        <v>0</v>
      </c>
      <c r="C1964">
        <f t="shared" si="63"/>
        <v>0.75586055390364359</v>
      </c>
      <c r="D1964">
        <f t="shared" si="64"/>
        <v>-0.27989837232446807</v>
      </c>
    </row>
    <row r="1965" spans="1:4" x14ac:dyDescent="0.15">
      <c r="A1965" s="7">
        <v>1959</v>
      </c>
      <c r="B1965" s="7">
        <v>0</v>
      </c>
      <c r="C1965">
        <f t="shared" si="63"/>
        <v>0.75586055390364359</v>
      </c>
      <c r="D1965">
        <f t="shared" si="64"/>
        <v>-0.27989837232446807</v>
      </c>
    </row>
    <row r="1966" spans="1:4" x14ac:dyDescent="0.15">
      <c r="A1966" s="7">
        <v>1960</v>
      </c>
      <c r="B1966" s="7">
        <v>0</v>
      </c>
      <c r="C1966">
        <f t="shared" si="63"/>
        <v>0.75586055390364359</v>
      </c>
      <c r="D1966">
        <f t="shared" si="64"/>
        <v>-0.27989837232446807</v>
      </c>
    </row>
    <row r="1967" spans="1:4" x14ac:dyDescent="0.15">
      <c r="A1967" s="7">
        <v>1961</v>
      </c>
      <c r="B1967" s="7">
        <v>1</v>
      </c>
      <c r="C1967">
        <f t="shared" si="63"/>
        <v>8.8678581416840763E-2</v>
      </c>
      <c r="D1967">
        <f t="shared" si="64"/>
        <v>-2.4227368910146492</v>
      </c>
    </row>
    <row r="1968" spans="1:4" x14ac:dyDescent="0.15">
      <c r="A1968" s="7">
        <v>1962</v>
      </c>
      <c r="B1968" s="7">
        <v>0</v>
      </c>
      <c r="C1968">
        <f t="shared" si="63"/>
        <v>0.75586055390364359</v>
      </c>
      <c r="D1968">
        <f t="shared" si="64"/>
        <v>-0.27989837232446807</v>
      </c>
    </row>
    <row r="1969" spans="1:4" x14ac:dyDescent="0.15">
      <c r="A1969" s="7">
        <v>1963</v>
      </c>
      <c r="B1969" s="7">
        <v>0</v>
      </c>
      <c r="C1969">
        <f t="shared" si="63"/>
        <v>0.75586055390364359</v>
      </c>
      <c r="D1969">
        <f t="shared" si="64"/>
        <v>-0.27989837232446807</v>
      </c>
    </row>
    <row r="1970" spans="1:4" x14ac:dyDescent="0.15">
      <c r="A1970" s="7">
        <v>1964</v>
      </c>
      <c r="B1970" s="7">
        <v>0</v>
      </c>
      <c r="C1970">
        <f t="shared" si="63"/>
        <v>0.75586055390364359</v>
      </c>
      <c r="D1970">
        <f t="shared" si="64"/>
        <v>-0.27989837232446807</v>
      </c>
    </row>
    <row r="1971" spans="1:4" x14ac:dyDescent="0.15">
      <c r="A1971" s="7">
        <v>1965</v>
      </c>
      <c r="B1971" s="7">
        <v>0</v>
      </c>
      <c r="C1971">
        <f t="shared" si="63"/>
        <v>0.75586055390364359</v>
      </c>
      <c r="D1971">
        <f t="shared" si="64"/>
        <v>-0.27989837232446807</v>
      </c>
    </row>
    <row r="1972" spans="1:4" x14ac:dyDescent="0.15">
      <c r="A1972" s="7">
        <v>1966</v>
      </c>
      <c r="B1972" s="7">
        <v>0</v>
      </c>
      <c r="C1972">
        <f t="shared" si="63"/>
        <v>0.75586055390364359</v>
      </c>
      <c r="D1972">
        <f t="shared" si="64"/>
        <v>-0.27989837232446807</v>
      </c>
    </row>
    <row r="1973" spans="1:4" x14ac:dyDescent="0.15">
      <c r="A1973" s="7">
        <v>1967</v>
      </c>
      <c r="B1973" s="7">
        <v>0</v>
      </c>
      <c r="C1973">
        <f t="shared" si="63"/>
        <v>0.75586055390364359</v>
      </c>
      <c r="D1973">
        <f t="shared" si="64"/>
        <v>-0.27989837232446807</v>
      </c>
    </row>
    <row r="1974" spans="1:4" x14ac:dyDescent="0.15">
      <c r="A1974" s="7">
        <v>1968</v>
      </c>
      <c r="B1974" s="7">
        <v>4</v>
      </c>
      <c r="C1974">
        <f t="shared" si="63"/>
        <v>1.8860933071470173E-2</v>
      </c>
      <c r="D1974">
        <f t="shared" si="64"/>
        <v>-3.9706625294337847</v>
      </c>
    </row>
    <row r="1975" spans="1:4" x14ac:dyDescent="0.15">
      <c r="A1975" s="7">
        <v>1969</v>
      </c>
      <c r="B1975" s="7">
        <v>4</v>
      </c>
      <c r="C1975">
        <f t="shared" si="63"/>
        <v>1.8860933071470173E-2</v>
      </c>
      <c r="D1975">
        <f t="shared" si="64"/>
        <v>-3.9706625294337847</v>
      </c>
    </row>
    <row r="1976" spans="1:4" x14ac:dyDescent="0.15">
      <c r="A1976" s="7">
        <v>1970</v>
      </c>
      <c r="B1976" s="7">
        <v>0</v>
      </c>
      <c r="C1976">
        <f t="shared" si="63"/>
        <v>0.75586055390364359</v>
      </c>
      <c r="D1976">
        <f t="shared" si="64"/>
        <v>-0.27989837232446807</v>
      </c>
    </row>
    <row r="1977" spans="1:4" x14ac:dyDescent="0.15">
      <c r="A1977" s="7">
        <v>1971</v>
      </c>
      <c r="B1977" s="7">
        <v>0</v>
      </c>
      <c r="C1977">
        <f t="shared" si="63"/>
        <v>0.75586055390364359</v>
      </c>
      <c r="D1977">
        <f t="shared" si="64"/>
        <v>-0.27989837232446807</v>
      </c>
    </row>
    <row r="1978" spans="1:4" x14ac:dyDescent="0.15">
      <c r="A1978" s="7">
        <v>1972</v>
      </c>
      <c r="B1978" s="7">
        <v>0</v>
      </c>
      <c r="C1978">
        <f t="shared" si="63"/>
        <v>0.75586055390364359</v>
      </c>
      <c r="D1978">
        <f t="shared" si="64"/>
        <v>-0.27989837232446807</v>
      </c>
    </row>
    <row r="1979" spans="1:4" x14ac:dyDescent="0.15">
      <c r="A1979" s="7">
        <v>1973</v>
      </c>
      <c r="B1979" s="7">
        <v>0</v>
      </c>
      <c r="C1979">
        <f t="shared" si="63"/>
        <v>0.75586055390364359</v>
      </c>
      <c r="D1979">
        <f t="shared" si="64"/>
        <v>-0.27989837232446807</v>
      </c>
    </row>
    <row r="1980" spans="1:4" x14ac:dyDescent="0.15">
      <c r="A1980" s="7">
        <v>1974</v>
      </c>
      <c r="B1980" s="7">
        <v>0</v>
      </c>
      <c r="C1980">
        <f t="shared" si="63"/>
        <v>0.75586055390364359</v>
      </c>
      <c r="D1980">
        <f t="shared" si="64"/>
        <v>-0.27989837232446807</v>
      </c>
    </row>
    <row r="1981" spans="1:4" x14ac:dyDescent="0.15">
      <c r="A1981" s="7">
        <v>1975</v>
      </c>
      <c r="B1981" s="7">
        <v>0</v>
      </c>
      <c r="C1981">
        <f t="shared" si="63"/>
        <v>0.75586055390364359</v>
      </c>
      <c r="D1981">
        <f t="shared" si="64"/>
        <v>-0.27989837232446807</v>
      </c>
    </row>
    <row r="1982" spans="1:4" x14ac:dyDescent="0.15">
      <c r="A1982" s="7">
        <v>1976</v>
      </c>
      <c r="B1982" s="7">
        <v>1</v>
      </c>
      <c r="C1982">
        <f t="shared" si="63"/>
        <v>8.8678581416840763E-2</v>
      </c>
      <c r="D1982">
        <f t="shared" si="64"/>
        <v>-2.4227368910146492</v>
      </c>
    </row>
    <row r="1983" spans="1:4" x14ac:dyDescent="0.15">
      <c r="A1983" s="7">
        <v>1977</v>
      </c>
      <c r="B1983" s="7">
        <v>0</v>
      </c>
      <c r="C1983">
        <f t="shared" si="63"/>
        <v>0.75586055390364359</v>
      </c>
      <c r="D1983">
        <f t="shared" si="64"/>
        <v>-0.27989837232446807</v>
      </c>
    </row>
    <row r="1984" spans="1:4" x14ac:dyDescent="0.15">
      <c r="A1984" s="7">
        <v>1978</v>
      </c>
      <c r="B1984" s="7">
        <v>0</v>
      </c>
      <c r="C1984">
        <f t="shared" si="63"/>
        <v>0.75586055390364359</v>
      </c>
      <c r="D1984">
        <f t="shared" si="64"/>
        <v>-0.27989837232446807</v>
      </c>
    </row>
    <row r="1985" spans="1:4" x14ac:dyDescent="0.15">
      <c r="A1985" s="7">
        <v>1979</v>
      </c>
      <c r="B1985" s="7">
        <v>2</v>
      </c>
      <c r="C1985">
        <f t="shared" si="63"/>
        <v>4.4062133811825943E-2</v>
      </c>
      <c r="D1985">
        <f t="shared" si="64"/>
        <v>-3.1221545090977791</v>
      </c>
    </row>
    <row r="1986" spans="1:4" x14ac:dyDescent="0.15">
      <c r="A1986" s="7">
        <v>1980</v>
      </c>
      <c r="B1986" s="7">
        <v>0</v>
      </c>
      <c r="C1986">
        <f t="shared" si="63"/>
        <v>0.75586055390364359</v>
      </c>
      <c r="D1986">
        <f t="shared" si="64"/>
        <v>-0.27989837232446807</v>
      </c>
    </row>
    <row r="1987" spans="1:4" x14ac:dyDescent="0.15">
      <c r="A1987" s="7">
        <v>1981</v>
      </c>
      <c r="B1987" s="7">
        <v>0</v>
      </c>
      <c r="C1987">
        <f t="shared" si="63"/>
        <v>0.75586055390364359</v>
      </c>
      <c r="D1987">
        <f t="shared" si="64"/>
        <v>-0.27989837232446807</v>
      </c>
    </row>
    <row r="1988" spans="1:4" x14ac:dyDescent="0.15">
      <c r="A1988" s="7">
        <v>1982</v>
      </c>
      <c r="B1988" s="7">
        <v>0</v>
      </c>
      <c r="C1988">
        <f t="shared" si="63"/>
        <v>0.75586055390364359</v>
      </c>
      <c r="D1988">
        <f t="shared" si="64"/>
        <v>-0.27989837232446807</v>
      </c>
    </row>
    <row r="1989" spans="1:4" x14ac:dyDescent="0.15">
      <c r="A1989" s="7">
        <v>1983</v>
      </c>
      <c r="B1989" s="7">
        <v>2</v>
      </c>
      <c r="C1989">
        <f t="shared" si="63"/>
        <v>4.4062133811825943E-2</v>
      </c>
      <c r="D1989">
        <f t="shared" si="64"/>
        <v>-3.1221545090977791</v>
      </c>
    </row>
    <row r="1990" spans="1:4" x14ac:dyDescent="0.15">
      <c r="A1990" s="7">
        <v>1984</v>
      </c>
      <c r="B1990" s="7">
        <v>0</v>
      </c>
      <c r="C1990">
        <f t="shared" si="63"/>
        <v>0.75586055390364359</v>
      </c>
      <c r="D1990">
        <f t="shared" si="64"/>
        <v>-0.27989837232446807</v>
      </c>
    </row>
    <row r="1991" spans="1:4" x14ac:dyDescent="0.15">
      <c r="A1991" s="7">
        <v>1985</v>
      </c>
      <c r="B1991" s="7">
        <v>14</v>
      </c>
      <c r="C1991">
        <f t="shared" si="63"/>
        <v>1.7224662736318389E-3</v>
      </c>
      <c r="D1991">
        <f t="shared" si="64"/>
        <v>-6.3639981351625821</v>
      </c>
    </row>
    <row r="1992" spans="1:4" x14ac:dyDescent="0.15">
      <c r="A1992" s="7">
        <v>1986</v>
      </c>
      <c r="B1992" s="7">
        <v>0</v>
      </c>
      <c r="C1992">
        <f t="shared" ref="C1992:C2055" si="65">(_xlfn.GAMMA($B$1+B1992)/(_xlfn.GAMMA($B$1)*FACT(B1992))) * ($B$2/($B$2+$B$4))^$B$1 * (1/($B$2 +$B$4))^B1992</f>
        <v>0.75586055390364359</v>
      </c>
      <c r="D1992">
        <f t="shared" ref="D1992:D2055" si="66">LN(C1992)</f>
        <v>-0.27989837232446807</v>
      </c>
    </row>
    <row r="1993" spans="1:4" x14ac:dyDescent="0.15">
      <c r="A1993" s="7">
        <v>1987</v>
      </c>
      <c r="B1993" s="7">
        <v>1</v>
      </c>
      <c r="C1993">
        <f t="shared" si="65"/>
        <v>8.8678581416840763E-2</v>
      </c>
      <c r="D1993">
        <f t="shared" si="66"/>
        <v>-2.4227368910146492</v>
      </c>
    </row>
    <row r="1994" spans="1:4" x14ac:dyDescent="0.15">
      <c r="A1994" s="7">
        <v>1988</v>
      </c>
      <c r="B1994" s="7">
        <v>0</v>
      </c>
      <c r="C1994">
        <f t="shared" si="65"/>
        <v>0.75586055390364359</v>
      </c>
      <c r="D1994">
        <f t="shared" si="66"/>
        <v>-0.27989837232446807</v>
      </c>
    </row>
    <row r="1995" spans="1:4" x14ac:dyDescent="0.15">
      <c r="A1995" s="7">
        <v>1989</v>
      </c>
      <c r="B1995" s="7">
        <v>2</v>
      </c>
      <c r="C1995">
        <f t="shared" si="65"/>
        <v>4.4062133811825943E-2</v>
      </c>
      <c r="D1995">
        <f t="shared" si="66"/>
        <v>-3.1221545090977791</v>
      </c>
    </row>
    <row r="1996" spans="1:4" x14ac:dyDescent="0.15">
      <c r="A1996" s="7">
        <v>1990</v>
      </c>
      <c r="B1996" s="7">
        <v>0</v>
      </c>
      <c r="C1996">
        <f t="shared" si="65"/>
        <v>0.75586055390364359</v>
      </c>
      <c r="D1996">
        <f t="shared" si="66"/>
        <v>-0.27989837232446807</v>
      </c>
    </row>
    <row r="1997" spans="1:4" x14ac:dyDescent="0.15">
      <c r="A1997" s="7">
        <v>1991</v>
      </c>
      <c r="B1997" s="7">
        <v>0</v>
      </c>
      <c r="C1997">
        <f t="shared" si="65"/>
        <v>0.75586055390364359</v>
      </c>
      <c r="D1997">
        <f t="shared" si="66"/>
        <v>-0.27989837232446807</v>
      </c>
    </row>
    <row r="1998" spans="1:4" x14ac:dyDescent="0.15">
      <c r="A1998" s="7">
        <v>1992</v>
      </c>
      <c r="B1998" s="7">
        <v>0</v>
      </c>
      <c r="C1998">
        <f t="shared" si="65"/>
        <v>0.75586055390364359</v>
      </c>
      <c r="D1998">
        <f t="shared" si="66"/>
        <v>-0.27989837232446807</v>
      </c>
    </row>
    <row r="1999" spans="1:4" x14ac:dyDescent="0.15">
      <c r="A1999" s="7">
        <v>1993</v>
      </c>
      <c r="B1999" s="7">
        <v>8</v>
      </c>
      <c r="C1999">
        <f t="shared" si="65"/>
        <v>6.1514536381425521E-3</v>
      </c>
      <c r="D1999">
        <f t="shared" si="66"/>
        <v>-5.0910668611676444</v>
      </c>
    </row>
    <row r="2000" spans="1:4" x14ac:dyDescent="0.15">
      <c r="A2000" s="7">
        <v>1994</v>
      </c>
      <c r="B2000" s="7">
        <v>0</v>
      </c>
      <c r="C2000">
        <f t="shared" si="65"/>
        <v>0.75586055390364359</v>
      </c>
      <c r="D2000">
        <f t="shared" si="66"/>
        <v>-0.27989837232446807</v>
      </c>
    </row>
    <row r="2001" spans="1:4" x14ac:dyDescent="0.15">
      <c r="A2001" s="7">
        <v>1995</v>
      </c>
      <c r="B2001" s="7">
        <v>0</v>
      </c>
      <c r="C2001">
        <f t="shared" si="65"/>
        <v>0.75586055390364359</v>
      </c>
      <c r="D2001">
        <f t="shared" si="66"/>
        <v>-0.27989837232446807</v>
      </c>
    </row>
    <row r="2002" spans="1:4" x14ac:dyDescent="0.15">
      <c r="A2002" s="7">
        <v>1996</v>
      </c>
      <c r="B2002" s="7">
        <v>0</v>
      </c>
      <c r="C2002">
        <f t="shared" si="65"/>
        <v>0.75586055390364359</v>
      </c>
      <c r="D2002">
        <f t="shared" si="66"/>
        <v>-0.27989837232446807</v>
      </c>
    </row>
    <row r="2003" spans="1:4" x14ac:dyDescent="0.15">
      <c r="A2003" s="7">
        <v>1997</v>
      </c>
      <c r="B2003" s="7">
        <v>0</v>
      </c>
      <c r="C2003">
        <f t="shared" si="65"/>
        <v>0.75586055390364359</v>
      </c>
      <c r="D2003">
        <f t="shared" si="66"/>
        <v>-0.27989837232446807</v>
      </c>
    </row>
    <row r="2004" spans="1:4" x14ac:dyDescent="0.15">
      <c r="A2004" s="7">
        <v>1998</v>
      </c>
      <c r="B2004" s="7">
        <v>0</v>
      </c>
      <c r="C2004">
        <f t="shared" si="65"/>
        <v>0.75586055390364359</v>
      </c>
      <c r="D2004">
        <f t="shared" si="66"/>
        <v>-0.27989837232446807</v>
      </c>
    </row>
    <row r="2005" spans="1:4" x14ac:dyDescent="0.15">
      <c r="A2005" s="7">
        <v>1999</v>
      </c>
      <c r="B2005" s="7">
        <v>7</v>
      </c>
      <c r="C2005">
        <f t="shared" si="65"/>
        <v>7.8709438009233242E-3</v>
      </c>
      <c r="D2005">
        <f t="shared" si="66"/>
        <v>-4.8445772998646781</v>
      </c>
    </row>
    <row r="2006" spans="1:4" x14ac:dyDescent="0.15">
      <c r="A2006" s="7">
        <v>2000</v>
      </c>
      <c r="B2006" s="7">
        <v>0</v>
      </c>
      <c r="C2006">
        <f t="shared" si="65"/>
        <v>0.75586055390364359</v>
      </c>
      <c r="D2006">
        <f t="shared" si="66"/>
        <v>-0.27989837232446807</v>
      </c>
    </row>
    <row r="2007" spans="1:4" x14ac:dyDescent="0.15">
      <c r="A2007" s="7">
        <v>2001</v>
      </c>
      <c r="B2007" s="7">
        <v>2</v>
      </c>
      <c r="C2007">
        <f t="shared" si="65"/>
        <v>4.4062133811825943E-2</v>
      </c>
      <c r="D2007">
        <f t="shared" si="66"/>
        <v>-3.1221545090977791</v>
      </c>
    </row>
    <row r="2008" spans="1:4" x14ac:dyDescent="0.15">
      <c r="A2008" s="7">
        <v>2002</v>
      </c>
      <c r="B2008" s="7">
        <v>0</v>
      </c>
      <c r="C2008">
        <f t="shared" si="65"/>
        <v>0.75586055390364359</v>
      </c>
      <c r="D2008">
        <f t="shared" si="66"/>
        <v>-0.27989837232446807</v>
      </c>
    </row>
    <row r="2009" spans="1:4" x14ac:dyDescent="0.15">
      <c r="A2009" s="7">
        <v>2003</v>
      </c>
      <c r="B2009" s="7">
        <v>1</v>
      </c>
      <c r="C2009">
        <f t="shared" si="65"/>
        <v>8.8678581416840763E-2</v>
      </c>
      <c r="D2009">
        <f t="shared" si="66"/>
        <v>-2.4227368910146492</v>
      </c>
    </row>
    <row r="2010" spans="1:4" x14ac:dyDescent="0.15">
      <c r="A2010" s="7">
        <v>2004</v>
      </c>
      <c r="B2010" s="7">
        <v>0</v>
      </c>
      <c r="C2010">
        <f t="shared" si="65"/>
        <v>0.75586055390364359</v>
      </c>
      <c r="D2010">
        <f t="shared" si="66"/>
        <v>-0.27989837232446807</v>
      </c>
    </row>
    <row r="2011" spans="1:4" x14ac:dyDescent="0.15">
      <c r="A2011" s="7">
        <v>2005</v>
      </c>
      <c r="B2011" s="7">
        <v>0</v>
      </c>
      <c r="C2011">
        <f t="shared" si="65"/>
        <v>0.75586055390364359</v>
      </c>
      <c r="D2011">
        <f t="shared" si="66"/>
        <v>-0.27989837232446807</v>
      </c>
    </row>
    <row r="2012" spans="1:4" x14ac:dyDescent="0.15">
      <c r="A2012" s="7">
        <v>2006</v>
      </c>
      <c r="B2012" s="7">
        <v>1</v>
      </c>
      <c r="C2012">
        <f t="shared" si="65"/>
        <v>8.8678581416840763E-2</v>
      </c>
      <c r="D2012">
        <f t="shared" si="66"/>
        <v>-2.4227368910146492</v>
      </c>
    </row>
    <row r="2013" spans="1:4" x14ac:dyDescent="0.15">
      <c r="A2013" s="7">
        <v>2007</v>
      </c>
      <c r="B2013" s="7">
        <v>0</v>
      </c>
      <c r="C2013">
        <f t="shared" si="65"/>
        <v>0.75586055390364359</v>
      </c>
      <c r="D2013">
        <f t="shared" si="66"/>
        <v>-0.27989837232446807</v>
      </c>
    </row>
    <row r="2014" spans="1:4" x14ac:dyDescent="0.15">
      <c r="A2014" s="7">
        <v>2008</v>
      </c>
      <c r="B2014" s="7">
        <v>0</v>
      </c>
      <c r="C2014">
        <f t="shared" si="65"/>
        <v>0.75586055390364359</v>
      </c>
      <c r="D2014">
        <f t="shared" si="66"/>
        <v>-0.27989837232446807</v>
      </c>
    </row>
    <row r="2015" spans="1:4" x14ac:dyDescent="0.15">
      <c r="A2015" s="7">
        <v>2009</v>
      </c>
      <c r="B2015" s="7">
        <v>7</v>
      </c>
      <c r="C2015">
        <f t="shared" si="65"/>
        <v>7.8709438009233242E-3</v>
      </c>
      <c r="D2015">
        <f t="shared" si="66"/>
        <v>-4.8445772998646781</v>
      </c>
    </row>
    <row r="2016" spans="1:4" x14ac:dyDescent="0.15">
      <c r="A2016" s="7">
        <v>2010</v>
      </c>
      <c r="B2016" s="7">
        <v>34</v>
      </c>
      <c r="C2016">
        <f t="shared" si="65"/>
        <v>5.7250330177576505E-5</v>
      </c>
      <c r="D2016">
        <f t="shared" si="66"/>
        <v>-9.7680771482526438</v>
      </c>
    </row>
    <row r="2017" spans="1:4" x14ac:dyDescent="0.15">
      <c r="A2017" s="7">
        <v>2011</v>
      </c>
      <c r="B2017" s="7">
        <v>0</v>
      </c>
      <c r="C2017">
        <f t="shared" si="65"/>
        <v>0.75586055390364359</v>
      </c>
      <c r="D2017">
        <f t="shared" si="66"/>
        <v>-0.27989837232446807</v>
      </c>
    </row>
    <row r="2018" spans="1:4" x14ac:dyDescent="0.15">
      <c r="A2018" s="7">
        <v>2012</v>
      </c>
      <c r="B2018" s="7">
        <v>0</v>
      </c>
      <c r="C2018">
        <f t="shared" si="65"/>
        <v>0.75586055390364359</v>
      </c>
      <c r="D2018">
        <f t="shared" si="66"/>
        <v>-0.27989837232446807</v>
      </c>
    </row>
    <row r="2019" spans="1:4" x14ac:dyDescent="0.15">
      <c r="A2019" s="7">
        <v>2013</v>
      </c>
      <c r="B2019" s="7">
        <v>0</v>
      </c>
      <c r="C2019">
        <f t="shared" si="65"/>
        <v>0.75586055390364359</v>
      </c>
      <c r="D2019">
        <f t="shared" si="66"/>
        <v>-0.27989837232446807</v>
      </c>
    </row>
    <row r="2020" spans="1:4" x14ac:dyDescent="0.15">
      <c r="A2020" s="7">
        <v>2014</v>
      </c>
      <c r="B2020" s="7">
        <v>2</v>
      </c>
      <c r="C2020">
        <f t="shared" si="65"/>
        <v>4.4062133811825943E-2</v>
      </c>
      <c r="D2020">
        <f t="shared" si="66"/>
        <v>-3.1221545090977791</v>
      </c>
    </row>
    <row r="2021" spans="1:4" x14ac:dyDescent="0.15">
      <c r="A2021" s="7">
        <v>2015</v>
      </c>
      <c r="B2021" s="7">
        <v>0</v>
      </c>
      <c r="C2021">
        <f t="shared" si="65"/>
        <v>0.75586055390364359</v>
      </c>
      <c r="D2021">
        <f t="shared" si="66"/>
        <v>-0.27989837232446807</v>
      </c>
    </row>
    <row r="2022" spans="1:4" x14ac:dyDescent="0.15">
      <c r="A2022" s="7">
        <v>2016</v>
      </c>
      <c r="B2022" s="7">
        <v>2</v>
      </c>
      <c r="C2022">
        <f t="shared" si="65"/>
        <v>4.4062133811825943E-2</v>
      </c>
      <c r="D2022">
        <f t="shared" si="66"/>
        <v>-3.1221545090977791</v>
      </c>
    </row>
    <row r="2023" spans="1:4" x14ac:dyDescent="0.15">
      <c r="A2023" s="7">
        <v>2017</v>
      </c>
      <c r="B2023" s="7">
        <v>0</v>
      </c>
      <c r="C2023">
        <f t="shared" si="65"/>
        <v>0.75586055390364359</v>
      </c>
      <c r="D2023">
        <f t="shared" si="66"/>
        <v>-0.27989837232446807</v>
      </c>
    </row>
    <row r="2024" spans="1:4" x14ac:dyDescent="0.15">
      <c r="A2024" s="7">
        <v>2018</v>
      </c>
      <c r="B2024" s="7">
        <v>0</v>
      </c>
      <c r="C2024">
        <f t="shared" si="65"/>
        <v>0.75586055390364359</v>
      </c>
      <c r="D2024">
        <f t="shared" si="66"/>
        <v>-0.27989837232446807</v>
      </c>
    </row>
    <row r="2025" spans="1:4" x14ac:dyDescent="0.15">
      <c r="A2025" s="7">
        <v>2019</v>
      </c>
      <c r="B2025" s="7">
        <v>0</v>
      </c>
      <c r="C2025">
        <f t="shared" si="65"/>
        <v>0.75586055390364359</v>
      </c>
      <c r="D2025">
        <f t="shared" si="66"/>
        <v>-0.27989837232446807</v>
      </c>
    </row>
    <row r="2026" spans="1:4" x14ac:dyDescent="0.15">
      <c r="A2026" s="7">
        <v>2020</v>
      </c>
      <c r="B2026" s="7">
        <v>0</v>
      </c>
      <c r="C2026">
        <f t="shared" si="65"/>
        <v>0.75586055390364359</v>
      </c>
      <c r="D2026">
        <f t="shared" si="66"/>
        <v>-0.27989837232446807</v>
      </c>
    </row>
    <row r="2027" spans="1:4" x14ac:dyDescent="0.15">
      <c r="A2027" s="7">
        <v>2021</v>
      </c>
      <c r="B2027" s="7">
        <v>0</v>
      </c>
      <c r="C2027">
        <f t="shared" si="65"/>
        <v>0.75586055390364359</v>
      </c>
      <c r="D2027">
        <f t="shared" si="66"/>
        <v>-0.27989837232446807</v>
      </c>
    </row>
    <row r="2028" spans="1:4" x14ac:dyDescent="0.15">
      <c r="A2028" s="7">
        <v>2022</v>
      </c>
      <c r="B2028" s="7">
        <v>0</v>
      </c>
      <c r="C2028">
        <f t="shared" si="65"/>
        <v>0.75586055390364359</v>
      </c>
      <c r="D2028">
        <f t="shared" si="66"/>
        <v>-0.27989837232446807</v>
      </c>
    </row>
    <row r="2029" spans="1:4" x14ac:dyDescent="0.15">
      <c r="A2029" s="7">
        <v>2023</v>
      </c>
      <c r="B2029" s="7">
        <v>0</v>
      </c>
      <c r="C2029">
        <f t="shared" si="65"/>
        <v>0.75586055390364359</v>
      </c>
      <c r="D2029">
        <f t="shared" si="66"/>
        <v>-0.27989837232446807</v>
      </c>
    </row>
    <row r="2030" spans="1:4" x14ac:dyDescent="0.15">
      <c r="A2030" s="7">
        <v>2024</v>
      </c>
      <c r="B2030" s="7">
        <v>0</v>
      </c>
      <c r="C2030">
        <f t="shared" si="65"/>
        <v>0.75586055390364359</v>
      </c>
      <c r="D2030">
        <f t="shared" si="66"/>
        <v>-0.27989837232446807</v>
      </c>
    </row>
    <row r="2031" spans="1:4" x14ac:dyDescent="0.15">
      <c r="A2031" s="7">
        <v>2025</v>
      </c>
      <c r="B2031" s="7">
        <v>4</v>
      </c>
      <c r="C2031">
        <f t="shared" si="65"/>
        <v>1.8860933071470173E-2</v>
      </c>
      <c r="D2031">
        <f t="shared" si="66"/>
        <v>-3.9706625294337847</v>
      </c>
    </row>
    <row r="2032" spans="1:4" x14ac:dyDescent="0.15">
      <c r="A2032" s="7">
        <v>2026</v>
      </c>
      <c r="B2032" s="7">
        <v>0</v>
      </c>
      <c r="C2032">
        <f t="shared" si="65"/>
        <v>0.75586055390364359</v>
      </c>
      <c r="D2032">
        <f t="shared" si="66"/>
        <v>-0.27989837232446807</v>
      </c>
    </row>
    <row r="2033" spans="1:4" x14ac:dyDescent="0.15">
      <c r="A2033" s="7">
        <v>2027</v>
      </c>
      <c r="B2033" s="7">
        <v>0</v>
      </c>
      <c r="C2033">
        <f t="shared" si="65"/>
        <v>0.75586055390364359</v>
      </c>
      <c r="D2033">
        <f t="shared" si="66"/>
        <v>-0.27989837232446807</v>
      </c>
    </row>
    <row r="2034" spans="1:4" x14ac:dyDescent="0.15">
      <c r="A2034" s="7">
        <v>2028</v>
      </c>
      <c r="B2034" s="7">
        <v>0</v>
      </c>
      <c r="C2034">
        <f t="shared" si="65"/>
        <v>0.75586055390364359</v>
      </c>
      <c r="D2034">
        <f t="shared" si="66"/>
        <v>-0.27989837232446807</v>
      </c>
    </row>
    <row r="2035" spans="1:4" x14ac:dyDescent="0.15">
      <c r="A2035" s="7">
        <v>2029</v>
      </c>
      <c r="B2035" s="7">
        <v>0</v>
      </c>
      <c r="C2035">
        <f t="shared" si="65"/>
        <v>0.75586055390364359</v>
      </c>
      <c r="D2035">
        <f t="shared" si="66"/>
        <v>-0.27989837232446807</v>
      </c>
    </row>
    <row r="2036" spans="1:4" x14ac:dyDescent="0.15">
      <c r="A2036" s="7">
        <v>2030</v>
      </c>
      <c r="B2036" s="7">
        <v>0</v>
      </c>
      <c r="C2036">
        <f t="shared" si="65"/>
        <v>0.75586055390364359</v>
      </c>
      <c r="D2036">
        <f t="shared" si="66"/>
        <v>-0.27989837232446807</v>
      </c>
    </row>
    <row r="2037" spans="1:4" x14ac:dyDescent="0.15">
      <c r="A2037" s="7">
        <v>2031</v>
      </c>
      <c r="B2037" s="7">
        <v>0</v>
      </c>
      <c r="C2037">
        <f t="shared" si="65"/>
        <v>0.75586055390364359</v>
      </c>
      <c r="D2037">
        <f t="shared" si="66"/>
        <v>-0.27989837232446807</v>
      </c>
    </row>
    <row r="2038" spans="1:4" x14ac:dyDescent="0.15">
      <c r="A2038" s="7">
        <v>2032</v>
      </c>
      <c r="B2038" s="7">
        <v>0</v>
      </c>
      <c r="C2038">
        <f t="shared" si="65"/>
        <v>0.75586055390364359</v>
      </c>
      <c r="D2038">
        <f t="shared" si="66"/>
        <v>-0.27989837232446807</v>
      </c>
    </row>
    <row r="2039" spans="1:4" x14ac:dyDescent="0.15">
      <c r="A2039" s="7">
        <v>2033</v>
      </c>
      <c r="B2039" s="7">
        <v>0</v>
      </c>
      <c r="C2039">
        <f t="shared" si="65"/>
        <v>0.75586055390364359</v>
      </c>
      <c r="D2039">
        <f t="shared" si="66"/>
        <v>-0.27989837232446807</v>
      </c>
    </row>
    <row r="2040" spans="1:4" x14ac:dyDescent="0.15">
      <c r="A2040" s="7">
        <v>2034</v>
      </c>
      <c r="B2040" s="7">
        <v>0</v>
      </c>
      <c r="C2040">
        <f t="shared" si="65"/>
        <v>0.75586055390364359</v>
      </c>
      <c r="D2040">
        <f t="shared" si="66"/>
        <v>-0.27989837232446807</v>
      </c>
    </row>
    <row r="2041" spans="1:4" x14ac:dyDescent="0.15">
      <c r="A2041" s="7">
        <v>2035</v>
      </c>
      <c r="B2041" s="7">
        <v>1</v>
      </c>
      <c r="C2041">
        <f t="shared" si="65"/>
        <v>8.8678581416840763E-2</v>
      </c>
      <c r="D2041">
        <f t="shared" si="66"/>
        <v>-2.4227368910146492</v>
      </c>
    </row>
    <row r="2042" spans="1:4" x14ac:dyDescent="0.15">
      <c r="A2042" s="7">
        <v>2036</v>
      </c>
      <c r="B2042" s="7">
        <v>0</v>
      </c>
      <c r="C2042">
        <f t="shared" si="65"/>
        <v>0.75586055390364359</v>
      </c>
      <c r="D2042">
        <f t="shared" si="66"/>
        <v>-0.27989837232446807</v>
      </c>
    </row>
    <row r="2043" spans="1:4" x14ac:dyDescent="0.15">
      <c r="A2043" s="7">
        <v>2037</v>
      </c>
      <c r="B2043" s="7">
        <v>2</v>
      </c>
      <c r="C2043">
        <f t="shared" si="65"/>
        <v>4.4062133811825943E-2</v>
      </c>
      <c r="D2043">
        <f t="shared" si="66"/>
        <v>-3.1221545090977791</v>
      </c>
    </row>
    <row r="2044" spans="1:4" x14ac:dyDescent="0.15">
      <c r="A2044" s="7">
        <v>2038</v>
      </c>
      <c r="B2044" s="7">
        <v>0</v>
      </c>
      <c r="C2044">
        <f t="shared" si="65"/>
        <v>0.75586055390364359</v>
      </c>
      <c r="D2044">
        <f t="shared" si="66"/>
        <v>-0.27989837232446807</v>
      </c>
    </row>
    <row r="2045" spans="1:4" x14ac:dyDescent="0.15">
      <c r="A2045" s="7">
        <v>2039</v>
      </c>
      <c r="B2045" s="7">
        <v>0</v>
      </c>
      <c r="C2045">
        <f t="shared" si="65"/>
        <v>0.75586055390364359</v>
      </c>
      <c r="D2045">
        <f t="shared" si="66"/>
        <v>-0.27989837232446807</v>
      </c>
    </row>
    <row r="2046" spans="1:4" x14ac:dyDescent="0.15">
      <c r="A2046" s="7">
        <v>2040</v>
      </c>
      <c r="B2046" s="7">
        <v>1</v>
      </c>
      <c r="C2046">
        <f t="shared" si="65"/>
        <v>8.8678581416840763E-2</v>
      </c>
      <c r="D2046">
        <f t="shared" si="66"/>
        <v>-2.4227368910146492</v>
      </c>
    </row>
    <row r="2047" spans="1:4" x14ac:dyDescent="0.15">
      <c r="A2047" s="7">
        <v>2041</v>
      </c>
      <c r="B2047" s="7">
        <v>0</v>
      </c>
      <c r="C2047">
        <f t="shared" si="65"/>
        <v>0.75586055390364359</v>
      </c>
      <c r="D2047">
        <f t="shared" si="66"/>
        <v>-0.27989837232446807</v>
      </c>
    </row>
    <row r="2048" spans="1:4" x14ac:dyDescent="0.15">
      <c r="A2048" s="7">
        <v>2042</v>
      </c>
      <c r="B2048" s="7">
        <v>1</v>
      </c>
      <c r="C2048">
        <f t="shared" si="65"/>
        <v>8.8678581416840763E-2</v>
      </c>
      <c r="D2048">
        <f t="shared" si="66"/>
        <v>-2.4227368910146492</v>
      </c>
    </row>
    <row r="2049" spans="1:4" x14ac:dyDescent="0.15">
      <c r="A2049" s="7">
        <v>2043</v>
      </c>
      <c r="B2049" s="7">
        <v>0</v>
      </c>
      <c r="C2049">
        <f t="shared" si="65"/>
        <v>0.75586055390364359</v>
      </c>
      <c r="D2049">
        <f t="shared" si="66"/>
        <v>-0.27989837232446807</v>
      </c>
    </row>
    <row r="2050" spans="1:4" x14ac:dyDescent="0.15">
      <c r="A2050" s="7">
        <v>2044</v>
      </c>
      <c r="B2050" s="7">
        <v>0</v>
      </c>
      <c r="C2050">
        <f t="shared" si="65"/>
        <v>0.75586055390364359</v>
      </c>
      <c r="D2050">
        <f t="shared" si="66"/>
        <v>-0.27989837232446807</v>
      </c>
    </row>
    <row r="2051" spans="1:4" x14ac:dyDescent="0.15">
      <c r="A2051" s="7">
        <v>2045</v>
      </c>
      <c r="B2051" s="7">
        <v>1</v>
      </c>
      <c r="C2051">
        <f t="shared" si="65"/>
        <v>8.8678581416840763E-2</v>
      </c>
      <c r="D2051">
        <f t="shared" si="66"/>
        <v>-2.4227368910146492</v>
      </c>
    </row>
    <row r="2052" spans="1:4" x14ac:dyDescent="0.15">
      <c r="A2052" s="7">
        <v>2046</v>
      </c>
      <c r="B2052" s="7">
        <v>2</v>
      </c>
      <c r="C2052">
        <f t="shared" si="65"/>
        <v>4.4062133811825943E-2</v>
      </c>
      <c r="D2052">
        <f t="shared" si="66"/>
        <v>-3.1221545090977791</v>
      </c>
    </row>
    <row r="2053" spans="1:4" x14ac:dyDescent="0.15">
      <c r="A2053" s="7">
        <v>2047</v>
      </c>
      <c r="B2053" s="7">
        <v>0</v>
      </c>
      <c r="C2053">
        <f t="shared" si="65"/>
        <v>0.75586055390364359</v>
      </c>
      <c r="D2053">
        <f t="shared" si="66"/>
        <v>-0.27989837232446807</v>
      </c>
    </row>
    <row r="2054" spans="1:4" x14ac:dyDescent="0.15">
      <c r="A2054" s="7">
        <v>2048</v>
      </c>
      <c r="B2054" s="7">
        <v>0</v>
      </c>
      <c r="C2054">
        <f t="shared" si="65"/>
        <v>0.75586055390364359</v>
      </c>
      <c r="D2054">
        <f t="shared" si="66"/>
        <v>-0.27989837232446807</v>
      </c>
    </row>
    <row r="2055" spans="1:4" x14ac:dyDescent="0.15">
      <c r="A2055" s="7">
        <v>2049</v>
      </c>
      <c r="B2055" s="7">
        <v>0</v>
      </c>
      <c r="C2055">
        <f t="shared" si="65"/>
        <v>0.75586055390364359</v>
      </c>
      <c r="D2055">
        <f t="shared" si="66"/>
        <v>-0.27989837232446807</v>
      </c>
    </row>
    <row r="2056" spans="1:4" x14ac:dyDescent="0.15">
      <c r="A2056" s="7">
        <v>2050</v>
      </c>
      <c r="B2056" s="7">
        <v>0</v>
      </c>
      <c r="C2056">
        <f t="shared" ref="C2056:C2119" si="67">(_xlfn.GAMMA($B$1+B2056)/(_xlfn.GAMMA($B$1)*FACT(B2056))) * ($B$2/($B$2+$B$4))^$B$1 * (1/($B$2 +$B$4))^B2056</f>
        <v>0.75586055390364359</v>
      </c>
      <c r="D2056">
        <f t="shared" ref="D2056:D2119" si="68">LN(C2056)</f>
        <v>-0.27989837232446807</v>
      </c>
    </row>
    <row r="2057" spans="1:4" x14ac:dyDescent="0.15">
      <c r="A2057" s="7">
        <v>2051</v>
      </c>
      <c r="B2057" s="7">
        <v>0</v>
      </c>
      <c r="C2057">
        <f t="shared" si="67"/>
        <v>0.75586055390364359</v>
      </c>
      <c r="D2057">
        <f t="shared" si="68"/>
        <v>-0.27989837232446807</v>
      </c>
    </row>
    <row r="2058" spans="1:4" x14ac:dyDescent="0.15">
      <c r="A2058" s="7">
        <v>2052</v>
      </c>
      <c r="B2058" s="7">
        <v>0</v>
      </c>
      <c r="C2058">
        <f t="shared" si="67"/>
        <v>0.75586055390364359</v>
      </c>
      <c r="D2058">
        <f t="shared" si="68"/>
        <v>-0.27989837232446807</v>
      </c>
    </row>
    <row r="2059" spans="1:4" x14ac:dyDescent="0.15">
      <c r="A2059" s="7">
        <v>2053</v>
      </c>
      <c r="B2059" s="7">
        <v>0</v>
      </c>
      <c r="C2059">
        <f t="shared" si="67"/>
        <v>0.75586055390364359</v>
      </c>
      <c r="D2059">
        <f t="shared" si="68"/>
        <v>-0.27989837232446807</v>
      </c>
    </row>
    <row r="2060" spans="1:4" x14ac:dyDescent="0.15">
      <c r="A2060" s="7">
        <v>2054</v>
      </c>
      <c r="B2060" s="7">
        <v>0</v>
      </c>
      <c r="C2060">
        <f t="shared" si="67"/>
        <v>0.75586055390364359</v>
      </c>
      <c r="D2060">
        <f t="shared" si="68"/>
        <v>-0.27989837232446807</v>
      </c>
    </row>
    <row r="2061" spans="1:4" x14ac:dyDescent="0.15">
      <c r="A2061" s="7">
        <v>2055</v>
      </c>
      <c r="B2061" s="7">
        <v>0</v>
      </c>
      <c r="C2061">
        <f t="shared" si="67"/>
        <v>0.75586055390364359</v>
      </c>
      <c r="D2061">
        <f t="shared" si="68"/>
        <v>-0.27989837232446807</v>
      </c>
    </row>
    <row r="2062" spans="1:4" x14ac:dyDescent="0.15">
      <c r="A2062" s="7">
        <v>2056</v>
      </c>
      <c r="B2062" s="7">
        <v>0</v>
      </c>
      <c r="C2062">
        <f t="shared" si="67"/>
        <v>0.75586055390364359</v>
      </c>
      <c r="D2062">
        <f t="shared" si="68"/>
        <v>-0.27989837232446807</v>
      </c>
    </row>
    <row r="2063" spans="1:4" x14ac:dyDescent="0.15">
      <c r="A2063" s="7">
        <v>2057</v>
      </c>
      <c r="B2063" s="7">
        <v>0</v>
      </c>
      <c r="C2063">
        <f t="shared" si="67"/>
        <v>0.75586055390364359</v>
      </c>
      <c r="D2063">
        <f t="shared" si="68"/>
        <v>-0.27989837232446807</v>
      </c>
    </row>
    <row r="2064" spans="1:4" x14ac:dyDescent="0.15">
      <c r="A2064" s="7">
        <v>2058</v>
      </c>
      <c r="B2064" s="7">
        <v>0</v>
      </c>
      <c r="C2064">
        <f t="shared" si="67"/>
        <v>0.75586055390364359</v>
      </c>
      <c r="D2064">
        <f t="shared" si="68"/>
        <v>-0.27989837232446807</v>
      </c>
    </row>
    <row r="2065" spans="1:4" x14ac:dyDescent="0.15">
      <c r="A2065" s="7">
        <v>2059</v>
      </c>
      <c r="B2065" s="7">
        <v>0</v>
      </c>
      <c r="C2065">
        <f t="shared" si="67"/>
        <v>0.75586055390364359</v>
      </c>
      <c r="D2065">
        <f t="shared" si="68"/>
        <v>-0.27989837232446807</v>
      </c>
    </row>
    <row r="2066" spans="1:4" x14ac:dyDescent="0.15">
      <c r="A2066" s="7">
        <v>2060</v>
      </c>
      <c r="B2066" s="7">
        <v>0</v>
      </c>
      <c r="C2066">
        <f t="shared" si="67"/>
        <v>0.75586055390364359</v>
      </c>
      <c r="D2066">
        <f t="shared" si="68"/>
        <v>-0.27989837232446807</v>
      </c>
    </row>
    <row r="2067" spans="1:4" x14ac:dyDescent="0.15">
      <c r="A2067" s="7">
        <v>2061</v>
      </c>
      <c r="B2067" s="7">
        <v>0</v>
      </c>
      <c r="C2067">
        <f t="shared" si="67"/>
        <v>0.75586055390364359</v>
      </c>
      <c r="D2067">
        <f t="shared" si="68"/>
        <v>-0.27989837232446807</v>
      </c>
    </row>
    <row r="2068" spans="1:4" x14ac:dyDescent="0.15">
      <c r="A2068" s="7">
        <v>2062</v>
      </c>
      <c r="B2068" s="7">
        <v>0</v>
      </c>
      <c r="C2068">
        <f t="shared" si="67"/>
        <v>0.75586055390364359</v>
      </c>
      <c r="D2068">
        <f t="shared" si="68"/>
        <v>-0.27989837232446807</v>
      </c>
    </row>
    <row r="2069" spans="1:4" x14ac:dyDescent="0.15">
      <c r="A2069" s="7">
        <v>2063</v>
      </c>
      <c r="B2069" s="7">
        <v>0</v>
      </c>
      <c r="C2069">
        <f t="shared" si="67"/>
        <v>0.75586055390364359</v>
      </c>
      <c r="D2069">
        <f t="shared" si="68"/>
        <v>-0.27989837232446807</v>
      </c>
    </row>
    <row r="2070" spans="1:4" x14ac:dyDescent="0.15">
      <c r="A2070" s="7">
        <v>2064</v>
      </c>
      <c r="B2070" s="7">
        <v>4</v>
      </c>
      <c r="C2070">
        <f t="shared" si="67"/>
        <v>1.8860933071470173E-2</v>
      </c>
      <c r="D2070">
        <f t="shared" si="68"/>
        <v>-3.9706625294337847</v>
      </c>
    </row>
    <row r="2071" spans="1:4" x14ac:dyDescent="0.15">
      <c r="A2071" s="7">
        <v>2065</v>
      </c>
      <c r="B2071" s="7">
        <v>0</v>
      </c>
      <c r="C2071">
        <f t="shared" si="67"/>
        <v>0.75586055390364359</v>
      </c>
      <c r="D2071">
        <f t="shared" si="68"/>
        <v>-0.27989837232446807</v>
      </c>
    </row>
    <row r="2072" spans="1:4" x14ac:dyDescent="0.15">
      <c r="A2072" s="7">
        <v>2066</v>
      </c>
      <c r="B2072" s="7">
        <v>0</v>
      </c>
      <c r="C2072">
        <f t="shared" si="67"/>
        <v>0.75586055390364359</v>
      </c>
      <c r="D2072">
        <f t="shared" si="68"/>
        <v>-0.27989837232446807</v>
      </c>
    </row>
    <row r="2073" spans="1:4" x14ac:dyDescent="0.15">
      <c r="A2073" s="7">
        <v>2067</v>
      </c>
      <c r="B2073" s="7">
        <v>1</v>
      </c>
      <c r="C2073">
        <f t="shared" si="67"/>
        <v>8.8678581416840763E-2</v>
      </c>
      <c r="D2073">
        <f t="shared" si="68"/>
        <v>-2.4227368910146492</v>
      </c>
    </row>
    <row r="2074" spans="1:4" x14ac:dyDescent="0.15">
      <c r="A2074" s="7">
        <v>2068</v>
      </c>
      <c r="B2074" s="7">
        <v>1</v>
      </c>
      <c r="C2074">
        <f t="shared" si="67"/>
        <v>8.8678581416840763E-2</v>
      </c>
      <c r="D2074">
        <f t="shared" si="68"/>
        <v>-2.4227368910146492</v>
      </c>
    </row>
    <row r="2075" spans="1:4" x14ac:dyDescent="0.15">
      <c r="A2075" s="7">
        <v>2069</v>
      </c>
      <c r="B2075" s="7">
        <v>2</v>
      </c>
      <c r="C2075">
        <f t="shared" si="67"/>
        <v>4.4062133811825943E-2</v>
      </c>
      <c r="D2075">
        <f t="shared" si="68"/>
        <v>-3.1221545090977791</v>
      </c>
    </row>
    <row r="2076" spans="1:4" x14ac:dyDescent="0.15">
      <c r="A2076" s="7">
        <v>2070</v>
      </c>
      <c r="B2076" s="7">
        <v>18</v>
      </c>
      <c r="C2076">
        <f t="shared" si="67"/>
        <v>8.1825193081216691E-4</v>
      </c>
      <c r="D2076">
        <f t="shared" si="68"/>
        <v>-7.108340284900871</v>
      </c>
    </row>
    <row r="2077" spans="1:4" x14ac:dyDescent="0.15">
      <c r="A2077" s="7">
        <v>2071</v>
      </c>
      <c r="B2077" s="7">
        <v>0</v>
      </c>
      <c r="C2077">
        <f t="shared" si="67"/>
        <v>0.75586055390364359</v>
      </c>
      <c r="D2077">
        <f t="shared" si="68"/>
        <v>-0.27989837232446807</v>
      </c>
    </row>
    <row r="2078" spans="1:4" x14ac:dyDescent="0.15">
      <c r="A2078" s="7">
        <v>2072</v>
      </c>
      <c r="B2078" s="7">
        <v>7</v>
      </c>
      <c r="C2078">
        <f t="shared" si="67"/>
        <v>7.8709438009233242E-3</v>
      </c>
      <c r="D2078">
        <f t="shared" si="68"/>
        <v>-4.8445772998646781</v>
      </c>
    </row>
    <row r="2079" spans="1:4" x14ac:dyDescent="0.15">
      <c r="A2079" s="7">
        <v>2073</v>
      </c>
      <c r="B2079" s="7">
        <v>1</v>
      </c>
      <c r="C2079">
        <f t="shared" si="67"/>
        <v>8.8678581416840763E-2</v>
      </c>
      <c r="D2079">
        <f t="shared" si="68"/>
        <v>-2.4227368910146492</v>
      </c>
    </row>
    <row r="2080" spans="1:4" x14ac:dyDescent="0.15">
      <c r="A2080" s="7">
        <v>2074</v>
      </c>
      <c r="B2080" s="7">
        <v>0</v>
      </c>
      <c r="C2080">
        <f t="shared" si="67"/>
        <v>0.75586055390364359</v>
      </c>
      <c r="D2080">
        <f t="shared" si="68"/>
        <v>-0.27989837232446807</v>
      </c>
    </row>
    <row r="2081" spans="1:4" x14ac:dyDescent="0.15">
      <c r="A2081" s="7">
        <v>2075</v>
      </c>
      <c r="B2081" s="7">
        <v>0</v>
      </c>
      <c r="C2081">
        <f t="shared" si="67"/>
        <v>0.75586055390364359</v>
      </c>
      <c r="D2081">
        <f t="shared" si="68"/>
        <v>-0.27989837232446807</v>
      </c>
    </row>
    <row r="2082" spans="1:4" x14ac:dyDescent="0.15">
      <c r="A2082" s="7">
        <v>2076</v>
      </c>
      <c r="B2082" s="7">
        <v>0</v>
      </c>
      <c r="C2082">
        <f t="shared" si="67"/>
        <v>0.75586055390364359</v>
      </c>
      <c r="D2082">
        <f t="shared" si="68"/>
        <v>-0.27989837232446807</v>
      </c>
    </row>
    <row r="2083" spans="1:4" x14ac:dyDescent="0.15">
      <c r="A2083" s="7">
        <v>2077</v>
      </c>
      <c r="B2083" s="7">
        <v>0</v>
      </c>
      <c r="C2083">
        <f t="shared" si="67"/>
        <v>0.75586055390364359</v>
      </c>
      <c r="D2083">
        <f t="shared" si="68"/>
        <v>-0.27989837232446807</v>
      </c>
    </row>
    <row r="2084" spans="1:4" x14ac:dyDescent="0.15">
      <c r="A2084" s="7">
        <v>2078</v>
      </c>
      <c r="B2084" s="7">
        <v>0</v>
      </c>
      <c r="C2084">
        <f t="shared" si="67"/>
        <v>0.75586055390364359</v>
      </c>
      <c r="D2084">
        <f t="shared" si="68"/>
        <v>-0.27989837232446807</v>
      </c>
    </row>
    <row r="2085" spans="1:4" x14ac:dyDescent="0.15">
      <c r="A2085" s="7">
        <v>2079</v>
      </c>
      <c r="B2085" s="7">
        <v>2</v>
      </c>
      <c r="C2085">
        <f t="shared" si="67"/>
        <v>4.4062133811825943E-2</v>
      </c>
      <c r="D2085">
        <f t="shared" si="68"/>
        <v>-3.1221545090977791</v>
      </c>
    </row>
    <row r="2086" spans="1:4" x14ac:dyDescent="0.15">
      <c r="A2086" s="7">
        <v>2080</v>
      </c>
      <c r="B2086" s="7">
        <v>0</v>
      </c>
      <c r="C2086">
        <f t="shared" si="67"/>
        <v>0.75586055390364359</v>
      </c>
      <c r="D2086">
        <f t="shared" si="68"/>
        <v>-0.27989837232446807</v>
      </c>
    </row>
    <row r="2087" spans="1:4" x14ac:dyDescent="0.15">
      <c r="A2087" s="7">
        <v>2081</v>
      </c>
      <c r="B2087" s="7">
        <v>0</v>
      </c>
      <c r="C2087">
        <f t="shared" si="67"/>
        <v>0.75586055390364359</v>
      </c>
      <c r="D2087">
        <f t="shared" si="68"/>
        <v>-0.27989837232446807</v>
      </c>
    </row>
    <row r="2088" spans="1:4" x14ac:dyDescent="0.15">
      <c r="A2088" s="7">
        <v>2082</v>
      </c>
      <c r="B2088" s="7">
        <v>0</v>
      </c>
      <c r="C2088">
        <f t="shared" si="67"/>
        <v>0.75586055390364359</v>
      </c>
      <c r="D2088">
        <f t="shared" si="68"/>
        <v>-0.27989837232446807</v>
      </c>
    </row>
    <row r="2089" spans="1:4" x14ac:dyDescent="0.15">
      <c r="A2089" s="7">
        <v>2083</v>
      </c>
      <c r="B2089" s="7">
        <v>0</v>
      </c>
      <c r="C2089">
        <f t="shared" si="67"/>
        <v>0.75586055390364359</v>
      </c>
      <c r="D2089">
        <f t="shared" si="68"/>
        <v>-0.27989837232446807</v>
      </c>
    </row>
    <row r="2090" spans="1:4" x14ac:dyDescent="0.15">
      <c r="A2090" s="7">
        <v>2084</v>
      </c>
      <c r="B2090" s="7">
        <v>0</v>
      </c>
      <c r="C2090">
        <f t="shared" si="67"/>
        <v>0.75586055390364359</v>
      </c>
      <c r="D2090">
        <f t="shared" si="68"/>
        <v>-0.27989837232446807</v>
      </c>
    </row>
    <row r="2091" spans="1:4" x14ac:dyDescent="0.15">
      <c r="A2091" s="7">
        <v>2085</v>
      </c>
      <c r="B2091" s="7">
        <v>0</v>
      </c>
      <c r="C2091">
        <f t="shared" si="67"/>
        <v>0.75586055390364359</v>
      </c>
      <c r="D2091">
        <f t="shared" si="68"/>
        <v>-0.27989837232446807</v>
      </c>
    </row>
    <row r="2092" spans="1:4" x14ac:dyDescent="0.15">
      <c r="A2092" s="7">
        <v>2086</v>
      </c>
      <c r="B2092" s="7">
        <v>0</v>
      </c>
      <c r="C2092">
        <f t="shared" si="67"/>
        <v>0.75586055390364359</v>
      </c>
      <c r="D2092">
        <f t="shared" si="68"/>
        <v>-0.27989837232446807</v>
      </c>
    </row>
    <row r="2093" spans="1:4" x14ac:dyDescent="0.15">
      <c r="A2093" s="7">
        <v>2087</v>
      </c>
      <c r="B2093" s="7">
        <v>0</v>
      </c>
      <c r="C2093">
        <f t="shared" si="67"/>
        <v>0.75586055390364359</v>
      </c>
      <c r="D2093">
        <f t="shared" si="68"/>
        <v>-0.27989837232446807</v>
      </c>
    </row>
    <row r="2094" spans="1:4" x14ac:dyDescent="0.15">
      <c r="A2094" s="7">
        <v>2088</v>
      </c>
      <c r="B2094" s="7">
        <v>0</v>
      </c>
      <c r="C2094">
        <f t="shared" si="67"/>
        <v>0.75586055390364359</v>
      </c>
      <c r="D2094">
        <f t="shared" si="68"/>
        <v>-0.27989837232446807</v>
      </c>
    </row>
    <row r="2095" spans="1:4" x14ac:dyDescent="0.15">
      <c r="A2095" s="7">
        <v>2089</v>
      </c>
      <c r="B2095" s="7">
        <v>2</v>
      </c>
      <c r="C2095">
        <f t="shared" si="67"/>
        <v>4.4062133811825943E-2</v>
      </c>
      <c r="D2095">
        <f t="shared" si="68"/>
        <v>-3.1221545090977791</v>
      </c>
    </row>
    <row r="2096" spans="1:4" x14ac:dyDescent="0.15">
      <c r="A2096" s="7">
        <v>2090</v>
      </c>
      <c r="B2096" s="7">
        <v>0</v>
      </c>
      <c r="C2096">
        <f t="shared" si="67"/>
        <v>0.75586055390364359</v>
      </c>
      <c r="D2096">
        <f t="shared" si="68"/>
        <v>-0.27989837232446807</v>
      </c>
    </row>
    <row r="2097" spans="1:4" x14ac:dyDescent="0.15">
      <c r="A2097" s="7">
        <v>2091</v>
      </c>
      <c r="B2097" s="7">
        <v>0</v>
      </c>
      <c r="C2097">
        <f t="shared" si="67"/>
        <v>0.75586055390364359</v>
      </c>
      <c r="D2097">
        <f t="shared" si="68"/>
        <v>-0.27989837232446807</v>
      </c>
    </row>
    <row r="2098" spans="1:4" x14ac:dyDescent="0.15">
      <c r="A2098" s="7">
        <v>2092</v>
      </c>
      <c r="B2098" s="7">
        <v>0</v>
      </c>
      <c r="C2098">
        <f t="shared" si="67"/>
        <v>0.75586055390364359</v>
      </c>
      <c r="D2098">
        <f t="shared" si="68"/>
        <v>-0.27989837232446807</v>
      </c>
    </row>
    <row r="2099" spans="1:4" x14ac:dyDescent="0.15">
      <c r="A2099" s="7">
        <v>2093</v>
      </c>
      <c r="B2099" s="7">
        <v>0</v>
      </c>
      <c r="C2099">
        <f t="shared" si="67"/>
        <v>0.75586055390364359</v>
      </c>
      <c r="D2099">
        <f t="shared" si="68"/>
        <v>-0.27989837232446807</v>
      </c>
    </row>
    <row r="2100" spans="1:4" x14ac:dyDescent="0.15">
      <c r="A2100" s="7">
        <v>2094</v>
      </c>
      <c r="B2100" s="7">
        <v>0</v>
      </c>
      <c r="C2100">
        <f t="shared" si="67"/>
        <v>0.75586055390364359</v>
      </c>
      <c r="D2100">
        <f t="shared" si="68"/>
        <v>-0.27989837232446807</v>
      </c>
    </row>
    <row r="2101" spans="1:4" x14ac:dyDescent="0.15">
      <c r="A2101" s="7">
        <v>2095</v>
      </c>
      <c r="B2101" s="7">
        <v>0</v>
      </c>
      <c r="C2101">
        <f t="shared" si="67"/>
        <v>0.75586055390364359</v>
      </c>
      <c r="D2101">
        <f t="shared" si="68"/>
        <v>-0.27989837232446807</v>
      </c>
    </row>
    <row r="2102" spans="1:4" x14ac:dyDescent="0.15">
      <c r="A2102" s="7">
        <v>2096</v>
      </c>
      <c r="B2102" s="7">
        <v>0</v>
      </c>
      <c r="C2102">
        <f t="shared" si="67"/>
        <v>0.75586055390364359</v>
      </c>
      <c r="D2102">
        <f t="shared" si="68"/>
        <v>-0.27989837232446807</v>
      </c>
    </row>
    <row r="2103" spans="1:4" x14ac:dyDescent="0.15">
      <c r="A2103" s="7">
        <v>2097</v>
      </c>
      <c r="B2103" s="7">
        <v>0</v>
      </c>
      <c r="C2103">
        <f t="shared" si="67"/>
        <v>0.75586055390364359</v>
      </c>
      <c r="D2103">
        <f t="shared" si="68"/>
        <v>-0.27989837232446807</v>
      </c>
    </row>
    <row r="2104" spans="1:4" x14ac:dyDescent="0.15">
      <c r="A2104" s="7">
        <v>2098</v>
      </c>
      <c r="B2104" s="7">
        <v>1</v>
      </c>
      <c r="C2104">
        <f t="shared" si="67"/>
        <v>8.8678581416840763E-2</v>
      </c>
      <c r="D2104">
        <f t="shared" si="68"/>
        <v>-2.4227368910146492</v>
      </c>
    </row>
    <row r="2105" spans="1:4" x14ac:dyDescent="0.15">
      <c r="A2105" s="7">
        <v>2099</v>
      </c>
      <c r="B2105" s="7">
        <v>2</v>
      </c>
      <c r="C2105">
        <f t="shared" si="67"/>
        <v>4.4062133811825943E-2</v>
      </c>
      <c r="D2105">
        <f t="shared" si="68"/>
        <v>-3.1221545090977791</v>
      </c>
    </row>
    <row r="2106" spans="1:4" x14ac:dyDescent="0.15">
      <c r="A2106" s="7">
        <v>2100</v>
      </c>
      <c r="B2106" s="7">
        <v>1</v>
      </c>
      <c r="C2106">
        <f t="shared" si="67"/>
        <v>8.8678581416840763E-2</v>
      </c>
      <c r="D2106">
        <f t="shared" si="68"/>
        <v>-2.4227368910146492</v>
      </c>
    </row>
    <row r="2107" spans="1:4" x14ac:dyDescent="0.15">
      <c r="A2107" s="7">
        <v>2101</v>
      </c>
      <c r="B2107" s="7">
        <v>0</v>
      </c>
      <c r="C2107">
        <f t="shared" si="67"/>
        <v>0.75586055390364359</v>
      </c>
      <c r="D2107">
        <f t="shared" si="68"/>
        <v>-0.27989837232446807</v>
      </c>
    </row>
    <row r="2108" spans="1:4" x14ac:dyDescent="0.15">
      <c r="A2108" s="7">
        <v>2102</v>
      </c>
      <c r="B2108" s="7">
        <v>0</v>
      </c>
      <c r="C2108">
        <f t="shared" si="67"/>
        <v>0.75586055390364359</v>
      </c>
      <c r="D2108">
        <f t="shared" si="68"/>
        <v>-0.27989837232446807</v>
      </c>
    </row>
    <row r="2109" spans="1:4" x14ac:dyDescent="0.15">
      <c r="A2109" s="7">
        <v>2103</v>
      </c>
      <c r="B2109" s="7">
        <v>0</v>
      </c>
      <c r="C2109">
        <f t="shared" si="67"/>
        <v>0.75586055390364359</v>
      </c>
      <c r="D2109">
        <f t="shared" si="68"/>
        <v>-0.27989837232446807</v>
      </c>
    </row>
    <row r="2110" spans="1:4" x14ac:dyDescent="0.15">
      <c r="A2110" s="7">
        <v>2104</v>
      </c>
      <c r="B2110" s="7">
        <v>0</v>
      </c>
      <c r="C2110">
        <f t="shared" si="67"/>
        <v>0.75586055390364359</v>
      </c>
      <c r="D2110">
        <f t="shared" si="68"/>
        <v>-0.27989837232446807</v>
      </c>
    </row>
    <row r="2111" spans="1:4" x14ac:dyDescent="0.15">
      <c r="A2111" s="7">
        <v>2105</v>
      </c>
      <c r="B2111" s="7">
        <v>0</v>
      </c>
      <c r="C2111">
        <f t="shared" si="67"/>
        <v>0.75586055390364359</v>
      </c>
      <c r="D2111">
        <f t="shared" si="68"/>
        <v>-0.27989837232446807</v>
      </c>
    </row>
    <row r="2112" spans="1:4" x14ac:dyDescent="0.15">
      <c r="A2112" s="7">
        <v>2106</v>
      </c>
      <c r="B2112" s="7">
        <v>0</v>
      </c>
      <c r="C2112">
        <f t="shared" si="67"/>
        <v>0.75586055390364359</v>
      </c>
      <c r="D2112">
        <f t="shared" si="68"/>
        <v>-0.27989837232446807</v>
      </c>
    </row>
    <row r="2113" spans="1:4" x14ac:dyDescent="0.15">
      <c r="A2113" s="7">
        <v>2107</v>
      </c>
      <c r="B2113" s="7">
        <v>0</v>
      </c>
      <c r="C2113">
        <f t="shared" si="67"/>
        <v>0.75586055390364359</v>
      </c>
      <c r="D2113">
        <f t="shared" si="68"/>
        <v>-0.27989837232446807</v>
      </c>
    </row>
    <row r="2114" spans="1:4" x14ac:dyDescent="0.15">
      <c r="A2114" s="7">
        <v>2108</v>
      </c>
      <c r="B2114" s="7">
        <v>0</v>
      </c>
      <c r="C2114">
        <f t="shared" si="67"/>
        <v>0.75586055390364359</v>
      </c>
      <c r="D2114">
        <f t="shared" si="68"/>
        <v>-0.27989837232446807</v>
      </c>
    </row>
    <row r="2115" spans="1:4" x14ac:dyDescent="0.15">
      <c r="A2115" s="7">
        <v>2109</v>
      </c>
      <c r="B2115" s="7">
        <v>0</v>
      </c>
      <c r="C2115">
        <f t="shared" si="67"/>
        <v>0.75586055390364359</v>
      </c>
      <c r="D2115">
        <f t="shared" si="68"/>
        <v>-0.27989837232446807</v>
      </c>
    </row>
    <row r="2116" spans="1:4" x14ac:dyDescent="0.15">
      <c r="A2116" s="7">
        <v>2110</v>
      </c>
      <c r="B2116" s="7">
        <v>0</v>
      </c>
      <c r="C2116">
        <f t="shared" si="67"/>
        <v>0.75586055390364359</v>
      </c>
      <c r="D2116">
        <f t="shared" si="68"/>
        <v>-0.27989837232446807</v>
      </c>
    </row>
    <row r="2117" spans="1:4" x14ac:dyDescent="0.15">
      <c r="A2117" s="7">
        <v>2111</v>
      </c>
      <c r="B2117" s="7">
        <v>1</v>
      </c>
      <c r="C2117">
        <f t="shared" si="67"/>
        <v>8.8678581416840763E-2</v>
      </c>
      <c r="D2117">
        <f t="shared" si="68"/>
        <v>-2.4227368910146492</v>
      </c>
    </row>
    <row r="2118" spans="1:4" x14ac:dyDescent="0.15">
      <c r="A2118" s="7">
        <v>2112</v>
      </c>
      <c r="B2118" s="7">
        <v>0</v>
      </c>
      <c r="C2118">
        <f t="shared" si="67"/>
        <v>0.75586055390364359</v>
      </c>
      <c r="D2118">
        <f t="shared" si="68"/>
        <v>-0.27989837232446807</v>
      </c>
    </row>
    <row r="2119" spans="1:4" x14ac:dyDescent="0.15">
      <c r="A2119" s="7">
        <v>2113</v>
      </c>
      <c r="B2119" s="7">
        <v>1</v>
      </c>
      <c r="C2119">
        <f t="shared" si="67"/>
        <v>8.8678581416840763E-2</v>
      </c>
      <c r="D2119">
        <f t="shared" si="68"/>
        <v>-2.4227368910146492</v>
      </c>
    </row>
    <row r="2120" spans="1:4" x14ac:dyDescent="0.15">
      <c r="A2120" s="7">
        <v>2114</v>
      </c>
      <c r="B2120" s="7">
        <v>0</v>
      </c>
      <c r="C2120">
        <f t="shared" ref="C2120:C2183" si="69">(_xlfn.GAMMA($B$1+B2120)/(_xlfn.GAMMA($B$1)*FACT(B2120))) * ($B$2/($B$2+$B$4))^$B$1 * (1/($B$2 +$B$4))^B2120</f>
        <v>0.75586055390364359</v>
      </c>
      <c r="D2120">
        <f t="shared" ref="D2120:D2183" si="70">LN(C2120)</f>
        <v>-0.27989837232446807</v>
      </c>
    </row>
    <row r="2121" spans="1:4" x14ac:dyDescent="0.15">
      <c r="A2121" s="7">
        <v>2115</v>
      </c>
      <c r="B2121" s="7">
        <v>0</v>
      </c>
      <c r="C2121">
        <f t="shared" si="69"/>
        <v>0.75586055390364359</v>
      </c>
      <c r="D2121">
        <f t="shared" si="70"/>
        <v>-0.27989837232446807</v>
      </c>
    </row>
    <row r="2122" spans="1:4" x14ac:dyDescent="0.15">
      <c r="A2122" s="7">
        <v>2116</v>
      </c>
      <c r="B2122" s="7">
        <v>0</v>
      </c>
      <c r="C2122">
        <f t="shared" si="69"/>
        <v>0.75586055390364359</v>
      </c>
      <c r="D2122">
        <f t="shared" si="70"/>
        <v>-0.27989837232446807</v>
      </c>
    </row>
    <row r="2123" spans="1:4" x14ac:dyDescent="0.15">
      <c r="A2123" s="7">
        <v>2117</v>
      </c>
      <c r="B2123" s="7">
        <v>3</v>
      </c>
      <c r="C2123">
        <f t="shared" si="69"/>
        <v>2.7467996558433502E-2</v>
      </c>
      <c r="D2123">
        <f t="shared" si="70"/>
        <v>-3.594733713517384</v>
      </c>
    </row>
    <row r="2124" spans="1:4" x14ac:dyDescent="0.15">
      <c r="A2124" s="7">
        <v>2118</v>
      </c>
      <c r="B2124" s="7">
        <v>0</v>
      </c>
      <c r="C2124">
        <f t="shared" si="69"/>
        <v>0.75586055390364359</v>
      </c>
      <c r="D2124">
        <f t="shared" si="70"/>
        <v>-0.27989837232446807</v>
      </c>
    </row>
    <row r="2125" spans="1:4" x14ac:dyDescent="0.15">
      <c r="A2125" s="7">
        <v>2119</v>
      </c>
      <c r="B2125" s="7">
        <v>1</v>
      </c>
      <c r="C2125">
        <f t="shared" si="69"/>
        <v>8.8678581416840763E-2</v>
      </c>
      <c r="D2125">
        <f t="shared" si="70"/>
        <v>-2.4227368910146492</v>
      </c>
    </row>
    <row r="2126" spans="1:4" x14ac:dyDescent="0.15">
      <c r="A2126" s="7">
        <v>2120</v>
      </c>
      <c r="B2126" s="7">
        <v>0</v>
      </c>
      <c r="C2126">
        <f t="shared" si="69"/>
        <v>0.75586055390364359</v>
      </c>
      <c r="D2126">
        <f t="shared" si="70"/>
        <v>-0.27989837232446807</v>
      </c>
    </row>
    <row r="2127" spans="1:4" x14ac:dyDescent="0.15">
      <c r="A2127" s="7">
        <v>2121</v>
      </c>
      <c r="B2127" s="7">
        <v>0</v>
      </c>
      <c r="C2127">
        <f t="shared" si="69"/>
        <v>0.75586055390364359</v>
      </c>
      <c r="D2127">
        <f t="shared" si="70"/>
        <v>-0.27989837232446807</v>
      </c>
    </row>
    <row r="2128" spans="1:4" x14ac:dyDescent="0.15">
      <c r="A2128" s="7">
        <v>2122</v>
      </c>
      <c r="B2128" s="7">
        <v>0</v>
      </c>
      <c r="C2128">
        <f t="shared" si="69"/>
        <v>0.75586055390364359</v>
      </c>
      <c r="D2128">
        <f t="shared" si="70"/>
        <v>-0.27989837232446807</v>
      </c>
    </row>
    <row r="2129" spans="1:4" x14ac:dyDescent="0.15">
      <c r="A2129" s="7">
        <v>2123</v>
      </c>
      <c r="B2129" s="7">
        <v>0</v>
      </c>
      <c r="C2129">
        <f t="shared" si="69"/>
        <v>0.75586055390364359</v>
      </c>
      <c r="D2129">
        <f t="shared" si="70"/>
        <v>-0.27989837232446807</v>
      </c>
    </row>
    <row r="2130" spans="1:4" x14ac:dyDescent="0.15">
      <c r="A2130" s="7">
        <v>2124</v>
      </c>
      <c r="B2130" s="7">
        <v>0</v>
      </c>
      <c r="C2130">
        <f t="shared" si="69"/>
        <v>0.75586055390364359</v>
      </c>
      <c r="D2130">
        <f t="shared" si="70"/>
        <v>-0.27989837232446807</v>
      </c>
    </row>
    <row r="2131" spans="1:4" x14ac:dyDescent="0.15">
      <c r="A2131" s="7">
        <v>2125</v>
      </c>
      <c r="B2131" s="7">
        <v>0</v>
      </c>
      <c r="C2131">
        <f t="shared" si="69"/>
        <v>0.75586055390364359</v>
      </c>
      <c r="D2131">
        <f t="shared" si="70"/>
        <v>-0.27989837232446807</v>
      </c>
    </row>
    <row r="2132" spans="1:4" x14ac:dyDescent="0.15">
      <c r="A2132" s="7">
        <v>2126</v>
      </c>
      <c r="B2132" s="7">
        <v>0</v>
      </c>
      <c r="C2132">
        <f t="shared" si="69"/>
        <v>0.75586055390364359</v>
      </c>
      <c r="D2132">
        <f t="shared" si="70"/>
        <v>-0.27989837232446807</v>
      </c>
    </row>
    <row r="2133" spans="1:4" x14ac:dyDescent="0.15">
      <c r="A2133" s="7">
        <v>2127</v>
      </c>
      <c r="B2133" s="7">
        <v>0</v>
      </c>
      <c r="C2133">
        <f t="shared" si="69"/>
        <v>0.75586055390364359</v>
      </c>
      <c r="D2133">
        <f t="shared" si="70"/>
        <v>-0.27989837232446807</v>
      </c>
    </row>
    <row r="2134" spans="1:4" x14ac:dyDescent="0.15">
      <c r="A2134" s="7">
        <v>2128</v>
      </c>
      <c r="B2134" s="7">
        <v>0</v>
      </c>
      <c r="C2134">
        <f t="shared" si="69"/>
        <v>0.75586055390364359</v>
      </c>
      <c r="D2134">
        <f t="shared" si="70"/>
        <v>-0.27989837232446807</v>
      </c>
    </row>
    <row r="2135" spans="1:4" x14ac:dyDescent="0.15">
      <c r="A2135" s="7">
        <v>2129</v>
      </c>
      <c r="B2135" s="7">
        <v>0</v>
      </c>
      <c r="C2135">
        <f t="shared" si="69"/>
        <v>0.75586055390364359</v>
      </c>
      <c r="D2135">
        <f t="shared" si="70"/>
        <v>-0.27989837232446807</v>
      </c>
    </row>
    <row r="2136" spans="1:4" x14ac:dyDescent="0.15">
      <c r="A2136" s="7">
        <v>2130</v>
      </c>
      <c r="B2136" s="7">
        <v>0</v>
      </c>
      <c r="C2136">
        <f t="shared" si="69"/>
        <v>0.75586055390364359</v>
      </c>
      <c r="D2136">
        <f t="shared" si="70"/>
        <v>-0.27989837232446807</v>
      </c>
    </row>
    <row r="2137" spans="1:4" x14ac:dyDescent="0.15">
      <c r="A2137" s="7">
        <v>2131</v>
      </c>
      <c r="B2137" s="7">
        <v>0</v>
      </c>
      <c r="C2137">
        <f t="shared" si="69"/>
        <v>0.75586055390364359</v>
      </c>
      <c r="D2137">
        <f t="shared" si="70"/>
        <v>-0.27989837232446807</v>
      </c>
    </row>
    <row r="2138" spans="1:4" x14ac:dyDescent="0.15">
      <c r="A2138" s="7">
        <v>2132</v>
      </c>
      <c r="B2138" s="7">
        <v>0</v>
      </c>
      <c r="C2138">
        <f t="shared" si="69"/>
        <v>0.75586055390364359</v>
      </c>
      <c r="D2138">
        <f t="shared" si="70"/>
        <v>-0.27989837232446807</v>
      </c>
    </row>
    <row r="2139" spans="1:4" x14ac:dyDescent="0.15">
      <c r="A2139" s="7">
        <v>2133</v>
      </c>
      <c r="B2139" s="7">
        <v>0</v>
      </c>
      <c r="C2139">
        <f t="shared" si="69"/>
        <v>0.75586055390364359</v>
      </c>
      <c r="D2139">
        <f t="shared" si="70"/>
        <v>-0.27989837232446807</v>
      </c>
    </row>
    <row r="2140" spans="1:4" x14ac:dyDescent="0.15">
      <c r="A2140" s="7">
        <v>2134</v>
      </c>
      <c r="B2140" s="7">
        <v>0</v>
      </c>
      <c r="C2140">
        <f t="shared" si="69"/>
        <v>0.75586055390364359</v>
      </c>
      <c r="D2140">
        <f t="shared" si="70"/>
        <v>-0.27989837232446807</v>
      </c>
    </row>
    <row r="2141" spans="1:4" x14ac:dyDescent="0.15">
      <c r="A2141" s="7">
        <v>2135</v>
      </c>
      <c r="B2141" s="7">
        <v>0</v>
      </c>
      <c r="C2141">
        <f t="shared" si="69"/>
        <v>0.75586055390364359</v>
      </c>
      <c r="D2141">
        <f t="shared" si="70"/>
        <v>-0.27989837232446807</v>
      </c>
    </row>
    <row r="2142" spans="1:4" x14ac:dyDescent="0.15">
      <c r="A2142" s="7">
        <v>2136</v>
      </c>
      <c r="B2142" s="7">
        <v>0</v>
      </c>
      <c r="C2142">
        <f t="shared" si="69"/>
        <v>0.75586055390364359</v>
      </c>
      <c r="D2142">
        <f t="shared" si="70"/>
        <v>-0.27989837232446807</v>
      </c>
    </row>
    <row r="2143" spans="1:4" x14ac:dyDescent="0.15">
      <c r="A2143" s="7">
        <v>2137</v>
      </c>
      <c r="B2143" s="7">
        <v>0</v>
      </c>
      <c r="C2143">
        <f t="shared" si="69"/>
        <v>0.75586055390364359</v>
      </c>
      <c r="D2143">
        <f t="shared" si="70"/>
        <v>-0.27989837232446807</v>
      </c>
    </row>
    <row r="2144" spans="1:4" x14ac:dyDescent="0.15">
      <c r="A2144" s="7">
        <v>2138</v>
      </c>
      <c r="B2144" s="7">
        <v>2</v>
      </c>
      <c r="C2144">
        <f t="shared" si="69"/>
        <v>4.4062133811825943E-2</v>
      </c>
      <c r="D2144">
        <f t="shared" si="70"/>
        <v>-3.1221545090977791</v>
      </c>
    </row>
    <row r="2145" spans="1:4" x14ac:dyDescent="0.15">
      <c r="A2145" s="7">
        <v>2139</v>
      </c>
      <c r="B2145" s="7">
        <v>5</v>
      </c>
      <c r="C2145">
        <f t="shared" si="69"/>
        <v>1.366675533834656E-2</v>
      </c>
      <c r="D2145">
        <f t="shared" si="70"/>
        <v>-4.2927890127952875</v>
      </c>
    </row>
    <row r="2146" spans="1:4" x14ac:dyDescent="0.15">
      <c r="A2146" s="7">
        <v>2140</v>
      </c>
      <c r="B2146" s="7">
        <v>0</v>
      </c>
      <c r="C2146">
        <f t="shared" si="69"/>
        <v>0.75586055390364359</v>
      </c>
      <c r="D2146">
        <f t="shared" si="70"/>
        <v>-0.27989837232446807</v>
      </c>
    </row>
    <row r="2147" spans="1:4" x14ac:dyDescent="0.15">
      <c r="A2147" s="7">
        <v>2141</v>
      </c>
      <c r="B2147" s="7">
        <v>0</v>
      </c>
      <c r="C2147">
        <f t="shared" si="69"/>
        <v>0.75586055390364359</v>
      </c>
      <c r="D2147">
        <f t="shared" si="70"/>
        <v>-0.27989837232446807</v>
      </c>
    </row>
    <row r="2148" spans="1:4" x14ac:dyDescent="0.15">
      <c r="A2148" s="7">
        <v>2142</v>
      </c>
      <c r="B2148" s="7">
        <v>0</v>
      </c>
      <c r="C2148">
        <f t="shared" si="69"/>
        <v>0.75586055390364359</v>
      </c>
      <c r="D2148">
        <f t="shared" si="70"/>
        <v>-0.27989837232446807</v>
      </c>
    </row>
    <row r="2149" spans="1:4" x14ac:dyDescent="0.15">
      <c r="A2149" s="7">
        <v>2143</v>
      </c>
      <c r="B2149" s="7">
        <v>0</v>
      </c>
      <c r="C2149">
        <f t="shared" si="69"/>
        <v>0.75586055390364359</v>
      </c>
      <c r="D2149">
        <f t="shared" si="70"/>
        <v>-0.27989837232446807</v>
      </c>
    </row>
    <row r="2150" spans="1:4" x14ac:dyDescent="0.15">
      <c r="A2150" s="7">
        <v>2144</v>
      </c>
      <c r="B2150" s="7">
        <v>0</v>
      </c>
      <c r="C2150">
        <f t="shared" si="69"/>
        <v>0.75586055390364359</v>
      </c>
      <c r="D2150">
        <f t="shared" si="70"/>
        <v>-0.27989837232446807</v>
      </c>
    </row>
    <row r="2151" spans="1:4" x14ac:dyDescent="0.15">
      <c r="A2151" s="7">
        <v>2145</v>
      </c>
      <c r="B2151" s="7">
        <v>5</v>
      </c>
      <c r="C2151">
        <f t="shared" si="69"/>
        <v>1.366675533834656E-2</v>
      </c>
      <c r="D2151">
        <f t="shared" si="70"/>
        <v>-4.2927890127952875</v>
      </c>
    </row>
    <row r="2152" spans="1:4" x14ac:dyDescent="0.15">
      <c r="A2152" s="7">
        <v>2146</v>
      </c>
      <c r="B2152" s="7">
        <v>0</v>
      </c>
      <c r="C2152">
        <f t="shared" si="69"/>
        <v>0.75586055390364359</v>
      </c>
      <c r="D2152">
        <f t="shared" si="70"/>
        <v>-0.27989837232446807</v>
      </c>
    </row>
    <row r="2153" spans="1:4" x14ac:dyDescent="0.15">
      <c r="A2153" s="7">
        <v>2147</v>
      </c>
      <c r="B2153" s="7">
        <v>1</v>
      </c>
      <c r="C2153">
        <f t="shared" si="69"/>
        <v>8.8678581416840763E-2</v>
      </c>
      <c r="D2153">
        <f t="shared" si="70"/>
        <v>-2.4227368910146492</v>
      </c>
    </row>
    <row r="2154" spans="1:4" x14ac:dyDescent="0.15">
      <c r="A2154" s="7">
        <v>2148</v>
      </c>
      <c r="B2154" s="7">
        <v>0</v>
      </c>
      <c r="C2154">
        <f t="shared" si="69"/>
        <v>0.75586055390364359</v>
      </c>
      <c r="D2154">
        <f t="shared" si="70"/>
        <v>-0.27989837232446807</v>
      </c>
    </row>
    <row r="2155" spans="1:4" x14ac:dyDescent="0.15">
      <c r="A2155" s="7">
        <v>2149</v>
      </c>
      <c r="B2155" s="7">
        <v>0</v>
      </c>
      <c r="C2155">
        <f t="shared" si="69"/>
        <v>0.75586055390364359</v>
      </c>
      <c r="D2155">
        <f t="shared" si="70"/>
        <v>-0.27989837232446807</v>
      </c>
    </row>
    <row r="2156" spans="1:4" x14ac:dyDescent="0.15">
      <c r="A2156" s="7">
        <v>2150</v>
      </c>
      <c r="B2156" s="7">
        <v>1</v>
      </c>
      <c r="C2156">
        <f t="shared" si="69"/>
        <v>8.8678581416840763E-2</v>
      </c>
      <c r="D2156">
        <f t="shared" si="70"/>
        <v>-2.4227368910146492</v>
      </c>
    </row>
    <row r="2157" spans="1:4" x14ac:dyDescent="0.15">
      <c r="A2157" s="7">
        <v>2151</v>
      </c>
      <c r="B2157" s="7">
        <v>0</v>
      </c>
      <c r="C2157">
        <f t="shared" si="69"/>
        <v>0.75586055390364359</v>
      </c>
      <c r="D2157">
        <f t="shared" si="70"/>
        <v>-0.27989837232446807</v>
      </c>
    </row>
    <row r="2158" spans="1:4" x14ac:dyDescent="0.15">
      <c r="A2158" s="7">
        <v>2152</v>
      </c>
      <c r="B2158" s="7">
        <v>0</v>
      </c>
      <c r="C2158">
        <f t="shared" si="69"/>
        <v>0.75586055390364359</v>
      </c>
      <c r="D2158">
        <f t="shared" si="70"/>
        <v>-0.27989837232446807</v>
      </c>
    </row>
    <row r="2159" spans="1:4" x14ac:dyDescent="0.15">
      <c r="A2159" s="7">
        <v>2153</v>
      </c>
      <c r="B2159" s="7">
        <v>4</v>
      </c>
      <c r="C2159">
        <f t="shared" si="69"/>
        <v>1.8860933071470173E-2</v>
      </c>
      <c r="D2159">
        <f t="shared" si="70"/>
        <v>-3.9706625294337847</v>
      </c>
    </row>
    <row r="2160" spans="1:4" x14ac:dyDescent="0.15">
      <c r="A2160" s="7">
        <v>2154</v>
      </c>
      <c r="B2160" s="7">
        <v>0</v>
      </c>
      <c r="C2160">
        <f t="shared" si="69"/>
        <v>0.75586055390364359</v>
      </c>
      <c r="D2160">
        <f t="shared" si="70"/>
        <v>-0.27989837232446807</v>
      </c>
    </row>
    <row r="2161" spans="1:4" x14ac:dyDescent="0.15">
      <c r="A2161" s="7">
        <v>2155</v>
      </c>
      <c r="B2161" s="7">
        <v>40</v>
      </c>
      <c r="C2161">
        <f t="shared" si="69"/>
        <v>2.2545189337970089E-5</v>
      </c>
      <c r="D2161">
        <f t="shared" si="70"/>
        <v>-10.699988847902048</v>
      </c>
    </row>
    <row r="2162" spans="1:4" x14ac:dyDescent="0.15">
      <c r="A2162" s="7">
        <v>2156</v>
      </c>
      <c r="B2162" s="7">
        <v>2</v>
      </c>
      <c r="C2162">
        <f t="shared" si="69"/>
        <v>4.4062133811825943E-2</v>
      </c>
      <c r="D2162">
        <f t="shared" si="70"/>
        <v>-3.1221545090977791</v>
      </c>
    </row>
    <row r="2163" spans="1:4" x14ac:dyDescent="0.15">
      <c r="A2163" s="7">
        <v>2157</v>
      </c>
      <c r="B2163" s="7">
        <v>0</v>
      </c>
      <c r="C2163">
        <f t="shared" si="69"/>
        <v>0.75586055390364359</v>
      </c>
      <c r="D2163">
        <f t="shared" si="70"/>
        <v>-0.27989837232446807</v>
      </c>
    </row>
    <row r="2164" spans="1:4" x14ac:dyDescent="0.15">
      <c r="A2164" s="7">
        <v>2158</v>
      </c>
      <c r="B2164" s="7">
        <v>0</v>
      </c>
      <c r="C2164">
        <f t="shared" si="69"/>
        <v>0.75586055390364359</v>
      </c>
      <c r="D2164">
        <f t="shared" si="70"/>
        <v>-0.27989837232446807</v>
      </c>
    </row>
    <row r="2165" spans="1:4" x14ac:dyDescent="0.15">
      <c r="A2165" s="7">
        <v>2159</v>
      </c>
      <c r="B2165" s="7">
        <v>0</v>
      </c>
      <c r="C2165">
        <f t="shared" si="69"/>
        <v>0.75586055390364359</v>
      </c>
      <c r="D2165">
        <f t="shared" si="70"/>
        <v>-0.27989837232446807</v>
      </c>
    </row>
    <row r="2166" spans="1:4" x14ac:dyDescent="0.15">
      <c r="A2166" s="7">
        <v>2160</v>
      </c>
      <c r="B2166" s="7">
        <v>0</v>
      </c>
      <c r="C2166">
        <f t="shared" si="69"/>
        <v>0.75586055390364359</v>
      </c>
      <c r="D2166">
        <f t="shared" si="70"/>
        <v>-0.27989837232446807</v>
      </c>
    </row>
    <row r="2167" spans="1:4" x14ac:dyDescent="0.15">
      <c r="A2167" s="7">
        <v>2161</v>
      </c>
      <c r="B2167" s="7">
        <v>0</v>
      </c>
      <c r="C2167">
        <f t="shared" si="69"/>
        <v>0.75586055390364359</v>
      </c>
      <c r="D2167">
        <f t="shared" si="70"/>
        <v>-0.27989837232446807</v>
      </c>
    </row>
    <row r="2168" spans="1:4" x14ac:dyDescent="0.15">
      <c r="A2168" s="7">
        <v>2162</v>
      </c>
      <c r="B2168" s="7">
        <v>0</v>
      </c>
      <c r="C2168">
        <f t="shared" si="69"/>
        <v>0.75586055390364359</v>
      </c>
      <c r="D2168">
        <f t="shared" si="70"/>
        <v>-0.27989837232446807</v>
      </c>
    </row>
    <row r="2169" spans="1:4" x14ac:dyDescent="0.15">
      <c r="A2169" s="7">
        <v>2163</v>
      </c>
      <c r="B2169" s="7">
        <v>0</v>
      </c>
      <c r="C2169">
        <f t="shared" si="69"/>
        <v>0.75586055390364359</v>
      </c>
      <c r="D2169">
        <f t="shared" si="70"/>
        <v>-0.27989837232446807</v>
      </c>
    </row>
    <row r="2170" spans="1:4" x14ac:dyDescent="0.15">
      <c r="A2170" s="7">
        <v>2164</v>
      </c>
      <c r="B2170" s="7">
        <v>0</v>
      </c>
      <c r="C2170">
        <f t="shared" si="69"/>
        <v>0.75586055390364359</v>
      </c>
      <c r="D2170">
        <f t="shared" si="70"/>
        <v>-0.27989837232446807</v>
      </c>
    </row>
    <row r="2171" spans="1:4" x14ac:dyDescent="0.15">
      <c r="A2171" s="7">
        <v>2165</v>
      </c>
      <c r="B2171" s="7">
        <v>4</v>
      </c>
      <c r="C2171">
        <f t="shared" si="69"/>
        <v>1.8860933071470173E-2</v>
      </c>
      <c r="D2171">
        <f t="shared" si="70"/>
        <v>-3.9706625294337847</v>
      </c>
    </row>
    <row r="2172" spans="1:4" x14ac:dyDescent="0.15">
      <c r="A2172" s="7">
        <v>2166</v>
      </c>
      <c r="B2172" s="7">
        <v>1</v>
      </c>
      <c r="C2172">
        <f t="shared" si="69"/>
        <v>8.8678581416840763E-2</v>
      </c>
      <c r="D2172">
        <f t="shared" si="70"/>
        <v>-2.4227368910146492</v>
      </c>
    </row>
    <row r="2173" spans="1:4" x14ac:dyDescent="0.15">
      <c r="A2173" s="7">
        <v>2167</v>
      </c>
      <c r="B2173" s="7">
        <v>0</v>
      </c>
      <c r="C2173">
        <f t="shared" si="69"/>
        <v>0.75586055390364359</v>
      </c>
      <c r="D2173">
        <f t="shared" si="70"/>
        <v>-0.27989837232446807</v>
      </c>
    </row>
    <row r="2174" spans="1:4" x14ac:dyDescent="0.15">
      <c r="A2174" s="7">
        <v>2168</v>
      </c>
      <c r="B2174" s="7">
        <v>0</v>
      </c>
      <c r="C2174">
        <f t="shared" si="69"/>
        <v>0.75586055390364359</v>
      </c>
      <c r="D2174">
        <f t="shared" si="70"/>
        <v>-0.27989837232446807</v>
      </c>
    </row>
    <row r="2175" spans="1:4" x14ac:dyDescent="0.15">
      <c r="A2175" s="7">
        <v>2169</v>
      </c>
      <c r="B2175" s="7">
        <v>0</v>
      </c>
      <c r="C2175">
        <f t="shared" si="69"/>
        <v>0.75586055390364359</v>
      </c>
      <c r="D2175">
        <f t="shared" si="70"/>
        <v>-0.27989837232446807</v>
      </c>
    </row>
    <row r="2176" spans="1:4" x14ac:dyDescent="0.15">
      <c r="A2176" s="7">
        <v>2170</v>
      </c>
      <c r="B2176" s="7">
        <v>0</v>
      </c>
      <c r="C2176">
        <f t="shared" si="69"/>
        <v>0.75586055390364359</v>
      </c>
      <c r="D2176">
        <f t="shared" si="70"/>
        <v>-0.27989837232446807</v>
      </c>
    </row>
    <row r="2177" spans="1:4" x14ac:dyDescent="0.15">
      <c r="A2177" s="7">
        <v>2171</v>
      </c>
      <c r="B2177" s="7">
        <v>0</v>
      </c>
      <c r="C2177">
        <f t="shared" si="69"/>
        <v>0.75586055390364359</v>
      </c>
      <c r="D2177">
        <f t="shared" si="70"/>
        <v>-0.27989837232446807</v>
      </c>
    </row>
    <row r="2178" spans="1:4" x14ac:dyDescent="0.15">
      <c r="A2178" s="7">
        <v>2172</v>
      </c>
      <c r="B2178" s="7">
        <v>0</v>
      </c>
      <c r="C2178">
        <f t="shared" si="69"/>
        <v>0.75586055390364359</v>
      </c>
      <c r="D2178">
        <f t="shared" si="70"/>
        <v>-0.27989837232446807</v>
      </c>
    </row>
    <row r="2179" spans="1:4" x14ac:dyDescent="0.15">
      <c r="A2179" s="7">
        <v>2173</v>
      </c>
      <c r="B2179" s="7">
        <v>0</v>
      </c>
      <c r="C2179">
        <f t="shared" si="69"/>
        <v>0.75586055390364359</v>
      </c>
      <c r="D2179">
        <f t="shared" si="70"/>
        <v>-0.27989837232446807</v>
      </c>
    </row>
    <row r="2180" spans="1:4" x14ac:dyDescent="0.15">
      <c r="A2180" s="7">
        <v>2174</v>
      </c>
      <c r="B2180" s="7">
        <v>2</v>
      </c>
      <c r="C2180">
        <f t="shared" si="69"/>
        <v>4.4062133811825943E-2</v>
      </c>
      <c r="D2180">
        <f t="shared" si="70"/>
        <v>-3.1221545090977791</v>
      </c>
    </row>
    <row r="2181" spans="1:4" x14ac:dyDescent="0.15">
      <c r="A2181" s="7">
        <v>2175</v>
      </c>
      <c r="B2181" s="7">
        <v>0</v>
      </c>
      <c r="C2181">
        <f t="shared" si="69"/>
        <v>0.75586055390364359</v>
      </c>
      <c r="D2181">
        <f t="shared" si="70"/>
        <v>-0.27989837232446807</v>
      </c>
    </row>
    <row r="2182" spans="1:4" x14ac:dyDescent="0.15">
      <c r="A2182" s="7">
        <v>2176</v>
      </c>
      <c r="B2182" s="7">
        <v>0</v>
      </c>
      <c r="C2182">
        <f t="shared" si="69"/>
        <v>0.75586055390364359</v>
      </c>
      <c r="D2182">
        <f t="shared" si="70"/>
        <v>-0.27989837232446807</v>
      </c>
    </row>
    <row r="2183" spans="1:4" x14ac:dyDescent="0.15">
      <c r="A2183" s="7">
        <v>2177</v>
      </c>
      <c r="B2183" s="7">
        <v>4</v>
      </c>
      <c r="C2183">
        <f t="shared" si="69"/>
        <v>1.8860933071470173E-2</v>
      </c>
      <c r="D2183">
        <f t="shared" si="70"/>
        <v>-3.9706625294337847</v>
      </c>
    </row>
    <row r="2184" spans="1:4" x14ac:dyDescent="0.15">
      <c r="A2184" s="7">
        <v>2178</v>
      </c>
      <c r="B2184" s="7">
        <v>2</v>
      </c>
      <c r="C2184">
        <f t="shared" ref="C2184:C2247" si="71">(_xlfn.GAMMA($B$1+B2184)/(_xlfn.GAMMA($B$1)*FACT(B2184))) * ($B$2/($B$2+$B$4))^$B$1 * (1/($B$2 +$B$4))^B2184</f>
        <v>4.4062133811825943E-2</v>
      </c>
      <c r="D2184">
        <f t="shared" ref="D2184:D2247" si="72">LN(C2184)</f>
        <v>-3.1221545090977791</v>
      </c>
    </row>
    <row r="2185" spans="1:4" x14ac:dyDescent="0.15">
      <c r="A2185" s="7">
        <v>2179</v>
      </c>
      <c r="B2185" s="7">
        <v>0</v>
      </c>
      <c r="C2185">
        <f t="shared" si="71"/>
        <v>0.75586055390364359</v>
      </c>
      <c r="D2185">
        <f t="shared" si="72"/>
        <v>-0.27989837232446807</v>
      </c>
    </row>
    <row r="2186" spans="1:4" x14ac:dyDescent="0.15">
      <c r="A2186" s="7">
        <v>2180</v>
      </c>
      <c r="B2186" s="7">
        <v>0</v>
      </c>
      <c r="C2186">
        <f t="shared" si="71"/>
        <v>0.75586055390364359</v>
      </c>
      <c r="D2186">
        <f t="shared" si="72"/>
        <v>-0.27989837232446807</v>
      </c>
    </row>
    <row r="2187" spans="1:4" x14ac:dyDescent="0.15">
      <c r="A2187" s="7">
        <v>2181</v>
      </c>
      <c r="B2187" s="7">
        <v>0</v>
      </c>
      <c r="C2187">
        <f t="shared" si="71"/>
        <v>0.75586055390364359</v>
      </c>
      <c r="D2187">
        <f t="shared" si="72"/>
        <v>-0.27989837232446807</v>
      </c>
    </row>
    <row r="2188" spans="1:4" x14ac:dyDescent="0.15">
      <c r="A2188" s="7">
        <v>2182</v>
      </c>
      <c r="B2188" s="7">
        <v>0</v>
      </c>
      <c r="C2188">
        <f t="shared" si="71"/>
        <v>0.75586055390364359</v>
      </c>
      <c r="D2188">
        <f t="shared" si="72"/>
        <v>-0.27989837232446807</v>
      </c>
    </row>
    <row r="2189" spans="1:4" x14ac:dyDescent="0.15">
      <c r="A2189" s="7">
        <v>2183</v>
      </c>
      <c r="B2189" s="7">
        <v>0</v>
      </c>
      <c r="C2189">
        <f t="shared" si="71"/>
        <v>0.75586055390364359</v>
      </c>
      <c r="D2189">
        <f t="shared" si="72"/>
        <v>-0.27989837232446807</v>
      </c>
    </row>
    <row r="2190" spans="1:4" x14ac:dyDescent="0.15">
      <c r="A2190" s="7">
        <v>2184</v>
      </c>
      <c r="B2190" s="7">
        <v>0</v>
      </c>
      <c r="C2190">
        <f t="shared" si="71"/>
        <v>0.75586055390364359</v>
      </c>
      <c r="D2190">
        <f t="shared" si="72"/>
        <v>-0.27989837232446807</v>
      </c>
    </row>
    <row r="2191" spans="1:4" x14ac:dyDescent="0.15">
      <c r="A2191" s="7">
        <v>2185</v>
      </c>
      <c r="B2191" s="7">
        <v>5</v>
      </c>
      <c r="C2191">
        <f t="shared" si="71"/>
        <v>1.366675533834656E-2</v>
      </c>
      <c r="D2191">
        <f t="shared" si="72"/>
        <v>-4.2927890127952875</v>
      </c>
    </row>
    <row r="2192" spans="1:4" x14ac:dyDescent="0.15">
      <c r="A2192" s="7">
        <v>2186</v>
      </c>
      <c r="B2192" s="7">
        <v>0</v>
      </c>
      <c r="C2192">
        <f t="shared" si="71"/>
        <v>0.75586055390364359</v>
      </c>
      <c r="D2192">
        <f t="shared" si="72"/>
        <v>-0.27989837232446807</v>
      </c>
    </row>
    <row r="2193" spans="1:4" x14ac:dyDescent="0.15">
      <c r="A2193" s="7">
        <v>2187</v>
      </c>
      <c r="B2193" s="7">
        <v>0</v>
      </c>
      <c r="C2193">
        <f t="shared" si="71"/>
        <v>0.75586055390364359</v>
      </c>
      <c r="D2193">
        <f t="shared" si="72"/>
        <v>-0.27989837232446807</v>
      </c>
    </row>
    <row r="2194" spans="1:4" x14ac:dyDescent="0.15">
      <c r="A2194" s="7">
        <v>2188</v>
      </c>
      <c r="B2194" s="7">
        <v>0</v>
      </c>
      <c r="C2194">
        <f t="shared" si="71"/>
        <v>0.75586055390364359</v>
      </c>
      <c r="D2194">
        <f t="shared" si="72"/>
        <v>-0.27989837232446807</v>
      </c>
    </row>
    <row r="2195" spans="1:4" x14ac:dyDescent="0.15">
      <c r="A2195" s="7">
        <v>2189</v>
      </c>
      <c r="B2195" s="7">
        <v>0</v>
      </c>
      <c r="C2195">
        <f t="shared" si="71"/>
        <v>0.75586055390364359</v>
      </c>
      <c r="D2195">
        <f t="shared" si="72"/>
        <v>-0.27989837232446807</v>
      </c>
    </row>
    <row r="2196" spans="1:4" x14ac:dyDescent="0.15">
      <c r="A2196" s="7">
        <v>2190</v>
      </c>
      <c r="B2196" s="7">
        <v>0</v>
      </c>
      <c r="C2196">
        <f t="shared" si="71"/>
        <v>0.75586055390364359</v>
      </c>
      <c r="D2196">
        <f t="shared" si="72"/>
        <v>-0.27989837232446807</v>
      </c>
    </row>
    <row r="2197" spans="1:4" x14ac:dyDescent="0.15">
      <c r="A2197" s="7">
        <v>2191</v>
      </c>
      <c r="B2197" s="7">
        <v>0</v>
      </c>
      <c r="C2197">
        <f t="shared" si="71"/>
        <v>0.75586055390364359</v>
      </c>
      <c r="D2197">
        <f t="shared" si="72"/>
        <v>-0.27989837232446807</v>
      </c>
    </row>
    <row r="2198" spans="1:4" x14ac:dyDescent="0.15">
      <c r="A2198" s="7">
        <v>2192</v>
      </c>
      <c r="B2198" s="7">
        <v>3</v>
      </c>
      <c r="C2198">
        <f t="shared" si="71"/>
        <v>2.7467996558433502E-2</v>
      </c>
      <c r="D2198">
        <f t="shared" si="72"/>
        <v>-3.594733713517384</v>
      </c>
    </row>
    <row r="2199" spans="1:4" x14ac:dyDescent="0.15">
      <c r="A2199" s="7">
        <v>2193</v>
      </c>
      <c r="B2199" s="7">
        <v>1</v>
      </c>
      <c r="C2199">
        <f t="shared" si="71"/>
        <v>8.8678581416840763E-2</v>
      </c>
      <c r="D2199">
        <f t="shared" si="72"/>
        <v>-2.4227368910146492</v>
      </c>
    </row>
    <row r="2200" spans="1:4" x14ac:dyDescent="0.15">
      <c r="A2200" s="7">
        <v>2194</v>
      </c>
      <c r="B2200" s="7">
        <v>2</v>
      </c>
      <c r="C2200">
        <f t="shared" si="71"/>
        <v>4.4062133811825943E-2</v>
      </c>
      <c r="D2200">
        <f t="shared" si="72"/>
        <v>-3.1221545090977791</v>
      </c>
    </row>
    <row r="2201" spans="1:4" x14ac:dyDescent="0.15">
      <c r="A2201" s="7">
        <v>2195</v>
      </c>
      <c r="B2201" s="7">
        <v>0</v>
      </c>
      <c r="C2201">
        <f t="shared" si="71"/>
        <v>0.75586055390364359</v>
      </c>
      <c r="D2201">
        <f t="shared" si="72"/>
        <v>-0.27989837232446807</v>
      </c>
    </row>
    <row r="2202" spans="1:4" x14ac:dyDescent="0.15">
      <c r="A2202" s="7">
        <v>2196</v>
      </c>
      <c r="B2202" s="7">
        <v>0</v>
      </c>
      <c r="C2202">
        <f t="shared" si="71"/>
        <v>0.75586055390364359</v>
      </c>
      <c r="D2202">
        <f t="shared" si="72"/>
        <v>-0.27989837232446807</v>
      </c>
    </row>
    <row r="2203" spans="1:4" x14ac:dyDescent="0.15">
      <c r="A2203" s="7">
        <v>2197</v>
      </c>
      <c r="B2203" s="7">
        <v>0</v>
      </c>
      <c r="C2203">
        <f t="shared" si="71"/>
        <v>0.75586055390364359</v>
      </c>
      <c r="D2203">
        <f t="shared" si="72"/>
        <v>-0.27989837232446807</v>
      </c>
    </row>
    <row r="2204" spans="1:4" x14ac:dyDescent="0.15">
      <c r="A2204" s="7">
        <v>2198</v>
      </c>
      <c r="B2204" s="7">
        <v>3</v>
      </c>
      <c r="C2204">
        <f t="shared" si="71"/>
        <v>2.7467996558433502E-2</v>
      </c>
      <c r="D2204">
        <f t="shared" si="72"/>
        <v>-3.594733713517384</v>
      </c>
    </row>
    <row r="2205" spans="1:4" x14ac:dyDescent="0.15">
      <c r="A2205" s="7">
        <v>2199</v>
      </c>
      <c r="B2205" s="7">
        <v>0</v>
      </c>
      <c r="C2205">
        <f t="shared" si="71"/>
        <v>0.75586055390364359</v>
      </c>
      <c r="D2205">
        <f t="shared" si="72"/>
        <v>-0.27989837232446807</v>
      </c>
    </row>
    <row r="2206" spans="1:4" x14ac:dyDescent="0.15">
      <c r="A2206" s="7">
        <v>2200</v>
      </c>
      <c r="B2206" s="7">
        <v>1</v>
      </c>
      <c r="C2206">
        <f t="shared" si="71"/>
        <v>8.8678581416840763E-2</v>
      </c>
      <c r="D2206">
        <f t="shared" si="72"/>
        <v>-2.4227368910146492</v>
      </c>
    </row>
    <row r="2207" spans="1:4" x14ac:dyDescent="0.15">
      <c r="A2207" s="7">
        <v>2201</v>
      </c>
      <c r="B2207" s="7">
        <v>0</v>
      </c>
      <c r="C2207">
        <f t="shared" si="71"/>
        <v>0.75586055390364359</v>
      </c>
      <c r="D2207">
        <f t="shared" si="72"/>
        <v>-0.27989837232446807</v>
      </c>
    </row>
    <row r="2208" spans="1:4" x14ac:dyDescent="0.15">
      <c r="A2208" s="7">
        <v>2202</v>
      </c>
      <c r="B2208" s="7">
        <v>0</v>
      </c>
      <c r="C2208">
        <f t="shared" si="71"/>
        <v>0.75586055390364359</v>
      </c>
      <c r="D2208">
        <f t="shared" si="72"/>
        <v>-0.27989837232446807</v>
      </c>
    </row>
    <row r="2209" spans="1:4" x14ac:dyDescent="0.15">
      <c r="A2209" s="7">
        <v>2203</v>
      </c>
      <c r="B2209" s="7">
        <v>1</v>
      </c>
      <c r="C2209">
        <f t="shared" si="71"/>
        <v>8.8678581416840763E-2</v>
      </c>
      <c r="D2209">
        <f t="shared" si="72"/>
        <v>-2.4227368910146492</v>
      </c>
    </row>
    <row r="2210" spans="1:4" x14ac:dyDescent="0.15">
      <c r="A2210" s="7">
        <v>2204</v>
      </c>
      <c r="B2210" s="7">
        <v>14</v>
      </c>
      <c r="C2210">
        <f t="shared" si="71"/>
        <v>1.7224662736318389E-3</v>
      </c>
      <c r="D2210">
        <f t="shared" si="72"/>
        <v>-6.3639981351625821</v>
      </c>
    </row>
    <row r="2211" spans="1:4" x14ac:dyDescent="0.15">
      <c r="A2211" s="7">
        <v>2205</v>
      </c>
      <c r="B2211" s="7">
        <v>1</v>
      </c>
      <c r="C2211">
        <f t="shared" si="71"/>
        <v>8.8678581416840763E-2</v>
      </c>
      <c r="D2211">
        <f t="shared" si="72"/>
        <v>-2.4227368910146492</v>
      </c>
    </row>
    <row r="2212" spans="1:4" x14ac:dyDescent="0.15">
      <c r="A2212" s="7">
        <v>2206</v>
      </c>
      <c r="B2212" s="7">
        <v>1</v>
      </c>
      <c r="C2212">
        <f t="shared" si="71"/>
        <v>8.8678581416840763E-2</v>
      </c>
      <c r="D2212">
        <f t="shared" si="72"/>
        <v>-2.4227368910146492</v>
      </c>
    </row>
    <row r="2213" spans="1:4" x14ac:dyDescent="0.15">
      <c r="A2213" s="7">
        <v>2207</v>
      </c>
      <c r="B2213" s="7">
        <v>0</v>
      </c>
      <c r="C2213">
        <f t="shared" si="71"/>
        <v>0.75586055390364359</v>
      </c>
      <c r="D2213">
        <f t="shared" si="72"/>
        <v>-0.27989837232446807</v>
      </c>
    </row>
    <row r="2214" spans="1:4" x14ac:dyDescent="0.15">
      <c r="A2214" s="7">
        <v>2208</v>
      </c>
      <c r="B2214" s="7">
        <v>0</v>
      </c>
      <c r="C2214">
        <f t="shared" si="71"/>
        <v>0.75586055390364359</v>
      </c>
      <c r="D2214">
        <f t="shared" si="72"/>
        <v>-0.27989837232446807</v>
      </c>
    </row>
    <row r="2215" spans="1:4" x14ac:dyDescent="0.15">
      <c r="A2215" s="7">
        <v>2209</v>
      </c>
      <c r="B2215" s="7">
        <v>0</v>
      </c>
      <c r="C2215">
        <f t="shared" si="71"/>
        <v>0.75586055390364359</v>
      </c>
      <c r="D2215">
        <f t="shared" si="72"/>
        <v>-0.27989837232446807</v>
      </c>
    </row>
    <row r="2216" spans="1:4" x14ac:dyDescent="0.15">
      <c r="A2216" s="7">
        <v>2210</v>
      </c>
      <c r="B2216" s="7">
        <v>0</v>
      </c>
      <c r="C2216">
        <f t="shared" si="71"/>
        <v>0.75586055390364359</v>
      </c>
      <c r="D2216">
        <f t="shared" si="72"/>
        <v>-0.27989837232446807</v>
      </c>
    </row>
    <row r="2217" spans="1:4" x14ac:dyDescent="0.15">
      <c r="A2217" s="7">
        <v>2211</v>
      </c>
      <c r="B2217" s="7">
        <v>6</v>
      </c>
      <c r="C2217">
        <f t="shared" si="71"/>
        <v>1.0248837632111705E-2</v>
      </c>
      <c r="D2217">
        <f t="shared" si="72"/>
        <v>-4.5805909815733834</v>
      </c>
    </row>
    <row r="2218" spans="1:4" x14ac:dyDescent="0.15">
      <c r="A2218" s="7">
        <v>2212</v>
      </c>
      <c r="B2218" s="7">
        <v>0</v>
      </c>
      <c r="C2218">
        <f t="shared" si="71"/>
        <v>0.75586055390364359</v>
      </c>
      <c r="D2218">
        <f t="shared" si="72"/>
        <v>-0.27989837232446807</v>
      </c>
    </row>
    <row r="2219" spans="1:4" x14ac:dyDescent="0.15">
      <c r="A2219" s="7">
        <v>2213</v>
      </c>
      <c r="B2219" s="7">
        <v>0</v>
      </c>
      <c r="C2219">
        <f t="shared" si="71"/>
        <v>0.75586055390364359</v>
      </c>
      <c r="D2219">
        <f t="shared" si="72"/>
        <v>-0.27989837232446807</v>
      </c>
    </row>
    <row r="2220" spans="1:4" x14ac:dyDescent="0.15">
      <c r="A2220" s="7">
        <v>2214</v>
      </c>
      <c r="B2220" s="7">
        <v>0</v>
      </c>
      <c r="C2220">
        <f t="shared" si="71"/>
        <v>0.75586055390364359</v>
      </c>
      <c r="D2220">
        <f t="shared" si="72"/>
        <v>-0.27989837232446807</v>
      </c>
    </row>
    <row r="2221" spans="1:4" x14ac:dyDescent="0.15">
      <c r="A2221" s="7">
        <v>2215</v>
      </c>
      <c r="B2221" s="7">
        <v>0</v>
      </c>
      <c r="C2221">
        <f t="shared" si="71"/>
        <v>0.75586055390364359</v>
      </c>
      <c r="D2221">
        <f t="shared" si="72"/>
        <v>-0.27989837232446807</v>
      </c>
    </row>
    <row r="2222" spans="1:4" x14ac:dyDescent="0.15">
      <c r="A2222" s="7">
        <v>2216</v>
      </c>
      <c r="B2222" s="7">
        <v>0</v>
      </c>
      <c r="C2222">
        <f t="shared" si="71"/>
        <v>0.75586055390364359</v>
      </c>
      <c r="D2222">
        <f t="shared" si="72"/>
        <v>-0.27989837232446807</v>
      </c>
    </row>
    <row r="2223" spans="1:4" x14ac:dyDescent="0.15">
      <c r="A2223" s="7">
        <v>2217</v>
      </c>
      <c r="B2223" s="7">
        <v>3</v>
      </c>
      <c r="C2223">
        <f t="shared" si="71"/>
        <v>2.7467996558433502E-2</v>
      </c>
      <c r="D2223">
        <f t="shared" si="72"/>
        <v>-3.594733713517384</v>
      </c>
    </row>
    <row r="2224" spans="1:4" x14ac:dyDescent="0.15">
      <c r="A2224" s="7">
        <v>2218</v>
      </c>
      <c r="B2224" s="7">
        <v>0</v>
      </c>
      <c r="C2224">
        <f t="shared" si="71"/>
        <v>0.75586055390364359</v>
      </c>
      <c r="D2224">
        <f t="shared" si="72"/>
        <v>-0.27989837232446807</v>
      </c>
    </row>
    <row r="2225" spans="1:4" x14ac:dyDescent="0.15">
      <c r="A2225" s="7">
        <v>2219</v>
      </c>
      <c r="B2225" s="7">
        <v>1</v>
      </c>
      <c r="C2225">
        <f t="shared" si="71"/>
        <v>8.8678581416840763E-2</v>
      </c>
      <c r="D2225">
        <f t="shared" si="72"/>
        <v>-2.4227368910146492</v>
      </c>
    </row>
    <row r="2226" spans="1:4" x14ac:dyDescent="0.15">
      <c r="A2226" s="7">
        <v>2220</v>
      </c>
      <c r="B2226" s="7">
        <v>1</v>
      </c>
      <c r="C2226">
        <f t="shared" si="71"/>
        <v>8.8678581416840763E-2</v>
      </c>
      <c r="D2226">
        <f t="shared" si="72"/>
        <v>-2.4227368910146492</v>
      </c>
    </row>
    <row r="2227" spans="1:4" x14ac:dyDescent="0.15">
      <c r="A2227" s="7">
        <v>2221</v>
      </c>
      <c r="B2227" s="7">
        <v>0</v>
      </c>
      <c r="C2227">
        <f t="shared" si="71"/>
        <v>0.75586055390364359</v>
      </c>
      <c r="D2227">
        <f t="shared" si="72"/>
        <v>-0.27989837232446807</v>
      </c>
    </row>
    <row r="2228" spans="1:4" x14ac:dyDescent="0.15">
      <c r="A2228" s="7">
        <v>2222</v>
      </c>
      <c r="B2228" s="7">
        <v>1</v>
      </c>
      <c r="C2228">
        <f t="shared" si="71"/>
        <v>8.8678581416840763E-2</v>
      </c>
      <c r="D2228">
        <f t="shared" si="72"/>
        <v>-2.4227368910146492</v>
      </c>
    </row>
    <row r="2229" spans="1:4" x14ac:dyDescent="0.15">
      <c r="A2229" s="7">
        <v>2223</v>
      </c>
      <c r="B2229" s="7">
        <v>0</v>
      </c>
      <c r="C2229">
        <f t="shared" si="71"/>
        <v>0.75586055390364359</v>
      </c>
      <c r="D2229">
        <f t="shared" si="72"/>
        <v>-0.27989837232446807</v>
      </c>
    </row>
    <row r="2230" spans="1:4" x14ac:dyDescent="0.15">
      <c r="A2230" s="7">
        <v>2224</v>
      </c>
      <c r="B2230" s="7">
        <v>0</v>
      </c>
      <c r="C2230">
        <f t="shared" si="71"/>
        <v>0.75586055390364359</v>
      </c>
      <c r="D2230">
        <f t="shared" si="72"/>
        <v>-0.27989837232446807</v>
      </c>
    </row>
    <row r="2231" spans="1:4" x14ac:dyDescent="0.15">
      <c r="A2231" s="7">
        <v>2225</v>
      </c>
      <c r="B2231" s="7">
        <v>0</v>
      </c>
      <c r="C2231">
        <f t="shared" si="71"/>
        <v>0.75586055390364359</v>
      </c>
      <c r="D2231">
        <f t="shared" si="72"/>
        <v>-0.27989837232446807</v>
      </c>
    </row>
    <row r="2232" spans="1:4" x14ac:dyDescent="0.15">
      <c r="A2232" s="7">
        <v>2226</v>
      </c>
      <c r="B2232" s="7">
        <v>1</v>
      </c>
      <c r="C2232">
        <f t="shared" si="71"/>
        <v>8.8678581416840763E-2</v>
      </c>
      <c r="D2232">
        <f t="shared" si="72"/>
        <v>-2.4227368910146492</v>
      </c>
    </row>
    <row r="2233" spans="1:4" x14ac:dyDescent="0.15">
      <c r="A2233" s="7">
        <v>2227</v>
      </c>
      <c r="B2233" s="7">
        <v>0</v>
      </c>
      <c r="C2233">
        <f t="shared" si="71"/>
        <v>0.75586055390364359</v>
      </c>
      <c r="D2233">
        <f t="shared" si="72"/>
        <v>-0.27989837232446807</v>
      </c>
    </row>
    <row r="2234" spans="1:4" x14ac:dyDescent="0.15">
      <c r="A2234" s="7">
        <v>2228</v>
      </c>
      <c r="B2234" s="7">
        <v>3</v>
      </c>
      <c r="C2234">
        <f t="shared" si="71"/>
        <v>2.7467996558433502E-2</v>
      </c>
      <c r="D2234">
        <f t="shared" si="72"/>
        <v>-3.594733713517384</v>
      </c>
    </row>
    <row r="2235" spans="1:4" x14ac:dyDescent="0.15">
      <c r="A2235" s="7">
        <v>2229</v>
      </c>
      <c r="B2235" s="7">
        <v>1</v>
      </c>
      <c r="C2235">
        <f t="shared" si="71"/>
        <v>8.8678581416840763E-2</v>
      </c>
      <c r="D2235">
        <f t="shared" si="72"/>
        <v>-2.4227368910146492</v>
      </c>
    </row>
    <row r="2236" spans="1:4" x14ac:dyDescent="0.15">
      <c r="A2236" s="7">
        <v>2230</v>
      </c>
      <c r="B2236" s="7">
        <v>0</v>
      </c>
      <c r="C2236">
        <f t="shared" si="71"/>
        <v>0.75586055390364359</v>
      </c>
      <c r="D2236">
        <f t="shared" si="72"/>
        <v>-0.27989837232446807</v>
      </c>
    </row>
    <row r="2237" spans="1:4" x14ac:dyDescent="0.15">
      <c r="A2237" s="7">
        <v>2231</v>
      </c>
      <c r="B2237" s="7">
        <v>3</v>
      </c>
      <c r="C2237">
        <f t="shared" si="71"/>
        <v>2.7467996558433502E-2</v>
      </c>
      <c r="D2237">
        <f t="shared" si="72"/>
        <v>-3.594733713517384</v>
      </c>
    </row>
    <row r="2238" spans="1:4" x14ac:dyDescent="0.15">
      <c r="A2238" s="7">
        <v>2232</v>
      </c>
      <c r="B2238" s="7">
        <v>0</v>
      </c>
      <c r="C2238">
        <f t="shared" si="71"/>
        <v>0.75586055390364359</v>
      </c>
      <c r="D2238">
        <f t="shared" si="72"/>
        <v>-0.27989837232446807</v>
      </c>
    </row>
    <row r="2239" spans="1:4" x14ac:dyDescent="0.15">
      <c r="A2239" s="7">
        <v>2233</v>
      </c>
      <c r="B2239" s="7">
        <v>0</v>
      </c>
      <c r="C2239">
        <f t="shared" si="71"/>
        <v>0.75586055390364359</v>
      </c>
      <c r="D2239">
        <f t="shared" si="72"/>
        <v>-0.27989837232446807</v>
      </c>
    </row>
    <row r="2240" spans="1:4" x14ac:dyDescent="0.15">
      <c r="A2240" s="7">
        <v>2234</v>
      </c>
      <c r="B2240" s="7">
        <v>0</v>
      </c>
      <c r="C2240">
        <f t="shared" si="71"/>
        <v>0.75586055390364359</v>
      </c>
      <c r="D2240">
        <f t="shared" si="72"/>
        <v>-0.27989837232446807</v>
      </c>
    </row>
    <row r="2241" spans="1:4" x14ac:dyDescent="0.15">
      <c r="A2241" s="7">
        <v>2235</v>
      </c>
      <c r="B2241" s="7">
        <v>1</v>
      </c>
      <c r="C2241">
        <f t="shared" si="71"/>
        <v>8.8678581416840763E-2</v>
      </c>
      <c r="D2241">
        <f t="shared" si="72"/>
        <v>-2.4227368910146492</v>
      </c>
    </row>
    <row r="2242" spans="1:4" x14ac:dyDescent="0.15">
      <c r="A2242" s="7">
        <v>2236</v>
      </c>
      <c r="B2242" s="7">
        <v>0</v>
      </c>
      <c r="C2242">
        <f t="shared" si="71"/>
        <v>0.75586055390364359</v>
      </c>
      <c r="D2242">
        <f t="shared" si="72"/>
        <v>-0.27989837232446807</v>
      </c>
    </row>
    <row r="2243" spans="1:4" x14ac:dyDescent="0.15">
      <c r="A2243" s="7">
        <v>2237</v>
      </c>
      <c r="B2243" s="7">
        <v>0</v>
      </c>
      <c r="C2243">
        <f t="shared" si="71"/>
        <v>0.75586055390364359</v>
      </c>
      <c r="D2243">
        <f t="shared" si="72"/>
        <v>-0.27989837232446807</v>
      </c>
    </row>
    <row r="2244" spans="1:4" x14ac:dyDescent="0.15">
      <c r="A2244" s="7">
        <v>2238</v>
      </c>
      <c r="B2244" s="7">
        <v>0</v>
      </c>
      <c r="C2244">
        <f t="shared" si="71"/>
        <v>0.75586055390364359</v>
      </c>
      <c r="D2244">
        <f t="shared" si="72"/>
        <v>-0.27989837232446807</v>
      </c>
    </row>
    <row r="2245" spans="1:4" x14ac:dyDescent="0.15">
      <c r="A2245" s="7">
        <v>2239</v>
      </c>
      <c r="B2245" s="7">
        <v>1</v>
      </c>
      <c r="C2245">
        <f t="shared" si="71"/>
        <v>8.8678581416840763E-2</v>
      </c>
      <c r="D2245">
        <f t="shared" si="72"/>
        <v>-2.4227368910146492</v>
      </c>
    </row>
    <row r="2246" spans="1:4" x14ac:dyDescent="0.15">
      <c r="A2246" s="7">
        <v>2240</v>
      </c>
      <c r="B2246" s="7">
        <v>0</v>
      </c>
      <c r="C2246">
        <f t="shared" si="71"/>
        <v>0.75586055390364359</v>
      </c>
      <c r="D2246">
        <f t="shared" si="72"/>
        <v>-0.27989837232446807</v>
      </c>
    </row>
    <row r="2247" spans="1:4" x14ac:dyDescent="0.15">
      <c r="A2247" s="7">
        <v>2241</v>
      </c>
      <c r="B2247" s="7">
        <v>0</v>
      </c>
      <c r="C2247">
        <f t="shared" si="71"/>
        <v>0.75586055390364359</v>
      </c>
      <c r="D2247">
        <f t="shared" si="72"/>
        <v>-0.27989837232446807</v>
      </c>
    </row>
    <row r="2248" spans="1:4" x14ac:dyDescent="0.15">
      <c r="A2248" s="7">
        <v>2242</v>
      </c>
      <c r="B2248" s="7">
        <v>0</v>
      </c>
      <c r="C2248">
        <f t="shared" ref="C2248:C2311" si="73">(_xlfn.GAMMA($B$1+B2248)/(_xlfn.GAMMA($B$1)*FACT(B2248))) * ($B$2/($B$2+$B$4))^$B$1 * (1/($B$2 +$B$4))^B2248</f>
        <v>0.75586055390364359</v>
      </c>
      <c r="D2248">
        <f t="shared" ref="D2248:D2311" si="74">LN(C2248)</f>
        <v>-0.27989837232446807</v>
      </c>
    </row>
    <row r="2249" spans="1:4" x14ac:dyDescent="0.15">
      <c r="A2249" s="7">
        <v>2243</v>
      </c>
      <c r="B2249" s="7">
        <v>0</v>
      </c>
      <c r="C2249">
        <f t="shared" si="73"/>
        <v>0.75586055390364359</v>
      </c>
      <c r="D2249">
        <f t="shared" si="74"/>
        <v>-0.27989837232446807</v>
      </c>
    </row>
    <row r="2250" spans="1:4" x14ac:dyDescent="0.15">
      <c r="A2250" s="7">
        <v>2244</v>
      </c>
      <c r="B2250" s="7">
        <v>1</v>
      </c>
      <c r="C2250">
        <f t="shared" si="73"/>
        <v>8.8678581416840763E-2</v>
      </c>
      <c r="D2250">
        <f t="shared" si="74"/>
        <v>-2.4227368910146492</v>
      </c>
    </row>
    <row r="2251" spans="1:4" x14ac:dyDescent="0.15">
      <c r="A2251" s="7">
        <v>2245</v>
      </c>
      <c r="B2251" s="7">
        <v>0</v>
      </c>
      <c r="C2251">
        <f t="shared" si="73"/>
        <v>0.75586055390364359</v>
      </c>
      <c r="D2251">
        <f t="shared" si="74"/>
        <v>-0.27989837232446807</v>
      </c>
    </row>
    <row r="2252" spans="1:4" x14ac:dyDescent="0.15">
      <c r="A2252" s="7">
        <v>2246</v>
      </c>
      <c r="B2252" s="7">
        <v>1</v>
      </c>
      <c r="C2252">
        <f t="shared" si="73"/>
        <v>8.8678581416840763E-2</v>
      </c>
      <c r="D2252">
        <f t="shared" si="74"/>
        <v>-2.4227368910146492</v>
      </c>
    </row>
    <row r="2253" spans="1:4" x14ac:dyDescent="0.15">
      <c r="A2253" s="7">
        <v>2247</v>
      </c>
      <c r="B2253" s="7">
        <v>0</v>
      </c>
      <c r="C2253">
        <f t="shared" si="73"/>
        <v>0.75586055390364359</v>
      </c>
      <c r="D2253">
        <f t="shared" si="74"/>
        <v>-0.27989837232446807</v>
      </c>
    </row>
    <row r="2254" spans="1:4" x14ac:dyDescent="0.15">
      <c r="A2254" s="7">
        <v>2248</v>
      </c>
      <c r="B2254" s="7">
        <v>0</v>
      </c>
      <c r="C2254">
        <f t="shared" si="73"/>
        <v>0.75586055390364359</v>
      </c>
      <c r="D2254">
        <f t="shared" si="74"/>
        <v>-0.27989837232446807</v>
      </c>
    </row>
    <row r="2255" spans="1:4" x14ac:dyDescent="0.15">
      <c r="A2255" s="7">
        <v>2249</v>
      </c>
      <c r="B2255" s="7">
        <v>0</v>
      </c>
      <c r="C2255">
        <f t="shared" si="73"/>
        <v>0.75586055390364359</v>
      </c>
      <c r="D2255">
        <f t="shared" si="74"/>
        <v>-0.27989837232446807</v>
      </c>
    </row>
    <row r="2256" spans="1:4" x14ac:dyDescent="0.15">
      <c r="A2256" s="7">
        <v>2250</v>
      </c>
      <c r="B2256" s="7">
        <v>6</v>
      </c>
      <c r="C2256">
        <f t="shared" si="73"/>
        <v>1.0248837632111705E-2</v>
      </c>
      <c r="D2256">
        <f t="shared" si="74"/>
        <v>-4.5805909815733834</v>
      </c>
    </row>
    <row r="2257" spans="1:4" x14ac:dyDescent="0.15">
      <c r="A2257" s="7">
        <v>2251</v>
      </c>
      <c r="B2257" s="7">
        <v>0</v>
      </c>
      <c r="C2257">
        <f t="shared" si="73"/>
        <v>0.75586055390364359</v>
      </c>
      <c r="D2257">
        <f t="shared" si="74"/>
        <v>-0.27989837232446807</v>
      </c>
    </row>
    <row r="2258" spans="1:4" x14ac:dyDescent="0.15">
      <c r="A2258" s="7">
        <v>2252</v>
      </c>
      <c r="B2258" s="7">
        <v>0</v>
      </c>
      <c r="C2258">
        <f t="shared" si="73"/>
        <v>0.75586055390364359</v>
      </c>
      <c r="D2258">
        <f t="shared" si="74"/>
        <v>-0.27989837232446807</v>
      </c>
    </row>
    <row r="2259" spans="1:4" x14ac:dyDescent="0.15">
      <c r="A2259" s="7">
        <v>2253</v>
      </c>
      <c r="B2259" s="7">
        <v>5</v>
      </c>
      <c r="C2259">
        <f t="shared" si="73"/>
        <v>1.366675533834656E-2</v>
      </c>
      <c r="D2259">
        <f t="shared" si="74"/>
        <v>-4.2927890127952875</v>
      </c>
    </row>
    <row r="2260" spans="1:4" x14ac:dyDescent="0.15">
      <c r="A2260" s="7">
        <v>2254</v>
      </c>
      <c r="B2260" s="7">
        <v>0</v>
      </c>
      <c r="C2260">
        <f t="shared" si="73"/>
        <v>0.75586055390364359</v>
      </c>
      <c r="D2260">
        <f t="shared" si="74"/>
        <v>-0.27989837232446807</v>
      </c>
    </row>
    <row r="2261" spans="1:4" x14ac:dyDescent="0.15">
      <c r="A2261" s="7">
        <v>2255</v>
      </c>
      <c r="B2261" s="7">
        <v>0</v>
      </c>
      <c r="C2261">
        <f t="shared" si="73"/>
        <v>0.75586055390364359</v>
      </c>
      <c r="D2261">
        <f t="shared" si="74"/>
        <v>-0.27989837232446807</v>
      </c>
    </row>
    <row r="2262" spans="1:4" x14ac:dyDescent="0.15">
      <c r="A2262" s="7">
        <v>2256</v>
      </c>
      <c r="B2262" s="7">
        <v>1</v>
      </c>
      <c r="C2262">
        <f t="shared" si="73"/>
        <v>8.8678581416840763E-2</v>
      </c>
      <c r="D2262">
        <f t="shared" si="74"/>
        <v>-2.4227368910146492</v>
      </c>
    </row>
    <row r="2263" spans="1:4" x14ac:dyDescent="0.15">
      <c r="A2263" s="7">
        <v>2257</v>
      </c>
      <c r="B2263" s="7">
        <v>3</v>
      </c>
      <c r="C2263">
        <f t="shared" si="73"/>
        <v>2.7467996558433502E-2</v>
      </c>
      <c r="D2263">
        <f t="shared" si="74"/>
        <v>-3.594733713517384</v>
      </c>
    </row>
    <row r="2264" spans="1:4" x14ac:dyDescent="0.15">
      <c r="A2264" s="7">
        <v>2258</v>
      </c>
      <c r="B2264" s="7">
        <v>0</v>
      </c>
      <c r="C2264">
        <f t="shared" si="73"/>
        <v>0.75586055390364359</v>
      </c>
      <c r="D2264">
        <f t="shared" si="74"/>
        <v>-0.27989837232446807</v>
      </c>
    </row>
    <row r="2265" spans="1:4" x14ac:dyDescent="0.15">
      <c r="A2265" s="7">
        <v>2259</v>
      </c>
      <c r="B2265" s="7">
        <v>0</v>
      </c>
      <c r="C2265">
        <f t="shared" si="73"/>
        <v>0.75586055390364359</v>
      </c>
      <c r="D2265">
        <f t="shared" si="74"/>
        <v>-0.27989837232446807</v>
      </c>
    </row>
    <row r="2266" spans="1:4" x14ac:dyDescent="0.15">
      <c r="A2266" s="7">
        <v>2260</v>
      </c>
      <c r="B2266" s="7">
        <v>0</v>
      </c>
      <c r="C2266">
        <f t="shared" si="73"/>
        <v>0.75586055390364359</v>
      </c>
      <c r="D2266">
        <f t="shared" si="74"/>
        <v>-0.27989837232446807</v>
      </c>
    </row>
    <row r="2267" spans="1:4" x14ac:dyDescent="0.15">
      <c r="A2267" s="7">
        <v>2261</v>
      </c>
      <c r="B2267" s="7">
        <v>0</v>
      </c>
      <c r="C2267">
        <f t="shared" si="73"/>
        <v>0.75586055390364359</v>
      </c>
      <c r="D2267">
        <f t="shared" si="74"/>
        <v>-0.27989837232446807</v>
      </c>
    </row>
    <row r="2268" spans="1:4" x14ac:dyDescent="0.15">
      <c r="A2268" s="7">
        <v>2262</v>
      </c>
      <c r="B2268" s="7">
        <v>2</v>
      </c>
      <c r="C2268">
        <f t="shared" si="73"/>
        <v>4.4062133811825943E-2</v>
      </c>
      <c r="D2268">
        <f t="shared" si="74"/>
        <v>-3.1221545090977791</v>
      </c>
    </row>
    <row r="2269" spans="1:4" x14ac:dyDescent="0.15">
      <c r="A2269" s="7">
        <v>2263</v>
      </c>
      <c r="B2269" s="7">
        <v>1</v>
      </c>
      <c r="C2269">
        <f t="shared" si="73"/>
        <v>8.8678581416840763E-2</v>
      </c>
      <c r="D2269">
        <f t="shared" si="74"/>
        <v>-2.4227368910146492</v>
      </c>
    </row>
    <row r="2270" spans="1:4" x14ac:dyDescent="0.15">
      <c r="A2270" s="7">
        <v>2264</v>
      </c>
      <c r="B2270" s="7">
        <v>0</v>
      </c>
      <c r="C2270">
        <f t="shared" si="73"/>
        <v>0.75586055390364359</v>
      </c>
      <c r="D2270">
        <f t="shared" si="74"/>
        <v>-0.27989837232446807</v>
      </c>
    </row>
    <row r="2271" spans="1:4" x14ac:dyDescent="0.15">
      <c r="A2271" s="7">
        <v>2265</v>
      </c>
      <c r="B2271" s="7">
        <v>0</v>
      </c>
      <c r="C2271">
        <f t="shared" si="73"/>
        <v>0.75586055390364359</v>
      </c>
      <c r="D2271">
        <f t="shared" si="74"/>
        <v>-0.27989837232446807</v>
      </c>
    </row>
    <row r="2272" spans="1:4" x14ac:dyDescent="0.15">
      <c r="A2272" s="7">
        <v>2266</v>
      </c>
      <c r="B2272" s="7">
        <v>0</v>
      </c>
      <c r="C2272">
        <f t="shared" si="73"/>
        <v>0.75586055390364359</v>
      </c>
      <c r="D2272">
        <f t="shared" si="74"/>
        <v>-0.27989837232446807</v>
      </c>
    </row>
    <row r="2273" spans="1:4" x14ac:dyDescent="0.15">
      <c r="A2273" s="7">
        <v>2267</v>
      </c>
      <c r="B2273" s="7">
        <v>0</v>
      </c>
      <c r="C2273">
        <f t="shared" si="73"/>
        <v>0.75586055390364359</v>
      </c>
      <c r="D2273">
        <f t="shared" si="74"/>
        <v>-0.27989837232446807</v>
      </c>
    </row>
    <row r="2274" spans="1:4" x14ac:dyDescent="0.15">
      <c r="A2274" s="7">
        <v>2268</v>
      </c>
      <c r="B2274" s="7">
        <v>2</v>
      </c>
      <c r="C2274">
        <f t="shared" si="73"/>
        <v>4.4062133811825943E-2</v>
      </c>
      <c r="D2274">
        <f t="shared" si="74"/>
        <v>-3.1221545090977791</v>
      </c>
    </row>
    <row r="2275" spans="1:4" x14ac:dyDescent="0.15">
      <c r="A2275" s="7">
        <v>2269</v>
      </c>
      <c r="B2275" s="7">
        <v>0</v>
      </c>
      <c r="C2275">
        <f t="shared" si="73"/>
        <v>0.75586055390364359</v>
      </c>
      <c r="D2275">
        <f t="shared" si="74"/>
        <v>-0.27989837232446807</v>
      </c>
    </row>
    <row r="2276" spans="1:4" x14ac:dyDescent="0.15">
      <c r="A2276" s="7">
        <v>2270</v>
      </c>
      <c r="B2276" s="7">
        <v>11</v>
      </c>
      <c r="C2276">
        <f t="shared" si="73"/>
        <v>3.1493246274866328E-3</v>
      </c>
      <c r="D2276">
        <f t="shared" si="74"/>
        <v>-5.7605672531049104</v>
      </c>
    </row>
    <row r="2277" spans="1:4" x14ac:dyDescent="0.15">
      <c r="A2277" s="7">
        <v>2271</v>
      </c>
      <c r="B2277" s="7">
        <v>0</v>
      </c>
      <c r="C2277">
        <f t="shared" si="73"/>
        <v>0.75586055390364359</v>
      </c>
      <c r="D2277">
        <f t="shared" si="74"/>
        <v>-0.27989837232446807</v>
      </c>
    </row>
    <row r="2278" spans="1:4" x14ac:dyDescent="0.15">
      <c r="A2278" s="7">
        <v>2272</v>
      </c>
      <c r="B2278" s="7">
        <v>0</v>
      </c>
      <c r="C2278">
        <f t="shared" si="73"/>
        <v>0.75586055390364359</v>
      </c>
      <c r="D2278">
        <f t="shared" si="74"/>
        <v>-0.27989837232446807</v>
      </c>
    </row>
    <row r="2279" spans="1:4" x14ac:dyDescent="0.15">
      <c r="A2279" s="7">
        <v>2273</v>
      </c>
      <c r="B2279" s="7">
        <v>0</v>
      </c>
      <c r="C2279">
        <f t="shared" si="73"/>
        <v>0.75586055390364359</v>
      </c>
      <c r="D2279">
        <f t="shared" si="74"/>
        <v>-0.27989837232446807</v>
      </c>
    </row>
    <row r="2280" spans="1:4" x14ac:dyDescent="0.15">
      <c r="A2280" s="7">
        <v>2274</v>
      </c>
      <c r="B2280" s="7">
        <v>0</v>
      </c>
      <c r="C2280">
        <f t="shared" si="73"/>
        <v>0.75586055390364359</v>
      </c>
      <c r="D2280">
        <f t="shared" si="74"/>
        <v>-0.27989837232446807</v>
      </c>
    </row>
    <row r="2281" spans="1:4" x14ac:dyDescent="0.15">
      <c r="A2281" s="7">
        <v>2275</v>
      </c>
      <c r="B2281" s="7">
        <v>0</v>
      </c>
      <c r="C2281">
        <f t="shared" si="73"/>
        <v>0.75586055390364359</v>
      </c>
      <c r="D2281">
        <f t="shared" si="74"/>
        <v>-0.27989837232446807</v>
      </c>
    </row>
    <row r="2282" spans="1:4" x14ac:dyDescent="0.15">
      <c r="A2282" s="7">
        <v>2276</v>
      </c>
      <c r="B2282" s="7">
        <v>0</v>
      </c>
      <c r="C2282">
        <f t="shared" si="73"/>
        <v>0.75586055390364359</v>
      </c>
      <c r="D2282">
        <f t="shared" si="74"/>
        <v>-0.27989837232446807</v>
      </c>
    </row>
    <row r="2283" spans="1:4" x14ac:dyDescent="0.15">
      <c r="A2283" s="7">
        <v>2277</v>
      </c>
      <c r="B2283" s="7">
        <v>0</v>
      </c>
      <c r="C2283">
        <f t="shared" si="73"/>
        <v>0.75586055390364359</v>
      </c>
      <c r="D2283">
        <f t="shared" si="74"/>
        <v>-0.27989837232446807</v>
      </c>
    </row>
    <row r="2284" spans="1:4" x14ac:dyDescent="0.15">
      <c r="A2284" s="7">
        <v>2278</v>
      </c>
      <c r="B2284" s="7">
        <v>0</v>
      </c>
      <c r="C2284">
        <f t="shared" si="73"/>
        <v>0.75586055390364359</v>
      </c>
      <c r="D2284">
        <f t="shared" si="74"/>
        <v>-0.27989837232446807</v>
      </c>
    </row>
    <row r="2285" spans="1:4" x14ac:dyDescent="0.15">
      <c r="A2285" s="7">
        <v>2279</v>
      </c>
      <c r="B2285" s="7">
        <v>0</v>
      </c>
      <c r="C2285">
        <f t="shared" si="73"/>
        <v>0.75586055390364359</v>
      </c>
      <c r="D2285">
        <f t="shared" si="74"/>
        <v>-0.27989837232446807</v>
      </c>
    </row>
    <row r="2286" spans="1:4" x14ac:dyDescent="0.15">
      <c r="A2286" s="7">
        <v>2280</v>
      </c>
      <c r="B2286" s="7">
        <v>3</v>
      </c>
      <c r="C2286">
        <f t="shared" si="73"/>
        <v>2.7467996558433502E-2</v>
      </c>
      <c r="D2286">
        <f t="shared" si="74"/>
        <v>-3.594733713517384</v>
      </c>
    </row>
    <row r="2287" spans="1:4" x14ac:dyDescent="0.15">
      <c r="A2287" s="7">
        <v>2281</v>
      </c>
      <c r="B2287" s="7">
        <v>0</v>
      </c>
      <c r="C2287">
        <f t="shared" si="73"/>
        <v>0.75586055390364359</v>
      </c>
      <c r="D2287">
        <f t="shared" si="74"/>
        <v>-0.27989837232446807</v>
      </c>
    </row>
    <row r="2288" spans="1:4" x14ac:dyDescent="0.15">
      <c r="A2288" s="7">
        <v>2282</v>
      </c>
      <c r="B2288" s="7">
        <v>1</v>
      </c>
      <c r="C2288">
        <f t="shared" si="73"/>
        <v>8.8678581416840763E-2</v>
      </c>
      <c r="D2288">
        <f t="shared" si="74"/>
        <v>-2.4227368910146492</v>
      </c>
    </row>
    <row r="2289" spans="1:4" x14ac:dyDescent="0.15">
      <c r="A2289" s="7">
        <v>2283</v>
      </c>
      <c r="B2289" s="7">
        <v>9</v>
      </c>
      <c r="C2289">
        <f t="shared" si="73"/>
        <v>4.8724597930648464E-3</v>
      </c>
      <c r="D2289">
        <f t="shared" si="74"/>
        <v>-5.3241563784247425</v>
      </c>
    </row>
    <row r="2290" spans="1:4" x14ac:dyDescent="0.15">
      <c r="A2290" s="7">
        <v>2284</v>
      </c>
      <c r="B2290" s="7">
        <v>0</v>
      </c>
      <c r="C2290">
        <f t="shared" si="73"/>
        <v>0.75586055390364359</v>
      </c>
      <c r="D2290">
        <f t="shared" si="74"/>
        <v>-0.27989837232446807</v>
      </c>
    </row>
    <row r="2291" spans="1:4" x14ac:dyDescent="0.15">
      <c r="A2291" s="7">
        <v>2285</v>
      </c>
      <c r="B2291" s="7">
        <v>1</v>
      </c>
      <c r="C2291">
        <f t="shared" si="73"/>
        <v>8.8678581416840763E-2</v>
      </c>
      <c r="D2291">
        <f t="shared" si="74"/>
        <v>-2.4227368910146492</v>
      </c>
    </row>
    <row r="2292" spans="1:4" x14ac:dyDescent="0.15">
      <c r="A2292" s="7">
        <v>2286</v>
      </c>
      <c r="B2292" s="7">
        <v>0</v>
      </c>
      <c r="C2292">
        <f t="shared" si="73"/>
        <v>0.75586055390364359</v>
      </c>
      <c r="D2292">
        <f t="shared" si="74"/>
        <v>-0.27989837232446807</v>
      </c>
    </row>
    <row r="2293" spans="1:4" x14ac:dyDescent="0.15">
      <c r="A2293" s="7">
        <v>2287</v>
      </c>
      <c r="B2293" s="7">
        <v>2</v>
      </c>
      <c r="C2293">
        <f t="shared" si="73"/>
        <v>4.4062133811825943E-2</v>
      </c>
      <c r="D2293">
        <f t="shared" si="74"/>
        <v>-3.1221545090977791</v>
      </c>
    </row>
    <row r="2294" spans="1:4" x14ac:dyDescent="0.15">
      <c r="A2294" s="7">
        <v>2288</v>
      </c>
      <c r="B2294" s="7">
        <v>1</v>
      </c>
      <c r="C2294">
        <f t="shared" si="73"/>
        <v>8.8678581416840763E-2</v>
      </c>
      <c r="D2294">
        <f t="shared" si="74"/>
        <v>-2.4227368910146492</v>
      </c>
    </row>
    <row r="2295" spans="1:4" x14ac:dyDescent="0.15">
      <c r="A2295" s="7">
        <v>2289</v>
      </c>
      <c r="B2295" s="7">
        <v>2</v>
      </c>
      <c r="C2295">
        <f t="shared" si="73"/>
        <v>4.4062133811825943E-2</v>
      </c>
      <c r="D2295">
        <f t="shared" si="74"/>
        <v>-3.1221545090977791</v>
      </c>
    </row>
    <row r="2296" spans="1:4" x14ac:dyDescent="0.15">
      <c r="A2296" s="7">
        <v>2290</v>
      </c>
      <c r="B2296" s="7">
        <v>0</v>
      </c>
      <c r="C2296">
        <f t="shared" si="73"/>
        <v>0.75586055390364359</v>
      </c>
      <c r="D2296">
        <f t="shared" si="74"/>
        <v>-0.27989837232446807</v>
      </c>
    </row>
    <row r="2297" spans="1:4" x14ac:dyDescent="0.15">
      <c r="A2297" s="7">
        <v>2291</v>
      </c>
      <c r="B2297" s="7">
        <v>0</v>
      </c>
      <c r="C2297">
        <f t="shared" si="73"/>
        <v>0.75586055390364359</v>
      </c>
      <c r="D2297">
        <f t="shared" si="74"/>
        <v>-0.27989837232446807</v>
      </c>
    </row>
    <row r="2298" spans="1:4" x14ac:dyDescent="0.15">
      <c r="A2298" s="7">
        <v>2292</v>
      </c>
      <c r="B2298" s="7">
        <v>9</v>
      </c>
      <c r="C2298">
        <f t="shared" si="73"/>
        <v>4.8724597930648464E-3</v>
      </c>
      <c r="D2298">
        <f t="shared" si="74"/>
        <v>-5.3241563784247425</v>
      </c>
    </row>
    <row r="2299" spans="1:4" x14ac:dyDescent="0.15">
      <c r="A2299" s="7">
        <v>2293</v>
      </c>
      <c r="B2299" s="7">
        <v>0</v>
      </c>
      <c r="C2299">
        <f t="shared" si="73"/>
        <v>0.75586055390364359</v>
      </c>
      <c r="D2299">
        <f t="shared" si="74"/>
        <v>-0.27989837232446807</v>
      </c>
    </row>
    <row r="2300" spans="1:4" x14ac:dyDescent="0.15">
      <c r="A2300" s="7">
        <v>2294</v>
      </c>
      <c r="B2300" s="7">
        <v>0</v>
      </c>
      <c r="C2300">
        <f t="shared" si="73"/>
        <v>0.75586055390364359</v>
      </c>
      <c r="D2300">
        <f t="shared" si="74"/>
        <v>-0.27989837232446807</v>
      </c>
    </row>
    <row r="2301" spans="1:4" x14ac:dyDescent="0.15">
      <c r="A2301" s="7">
        <v>2295</v>
      </c>
      <c r="B2301" s="7">
        <v>0</v>
      </c>
      <c r="C2301">
        <f t="shared" si="73"/>
        <v>0.75586055390364359</v>
      </c>
      <c r="D2301">
        <f t="shared" si="74"/>
        <v>-0.27989837232446807</v>
      </c>
    </row>
    <row r="2302" spans="1:4" x14ac:dyDescent="0.15">
      <c r="A2302" s="7">
        <v>2296</v>
      </c>
      <c r="B2302" s="7">
        <v>1</v>
      </c>
      <c r="C2302">
        <f t="shared" si="73"/>
        <v>8.8678581416840763E-2</v>
      </c>
      <c r="D2302">
        <f t="shared" si="74"/>
        <v>-2.4227368910146492</v>
      </c>
    </row>
    <row r="2303" spans="1:4" x14ac:dyDescent="0.15">
      <c r="A2303" s="7">
        <v>2297</v>
      </c>
      <c r="B2303" s="7">
        <v>10</v>
      </c>
      <c r="C2303">
        <f t="shared" si="73"/>
        <v>3.9004877815418653E-3</v>
      </c>
      <c r="D2303">
        <f t="shared" si="74"/>
        <v>-5.5466536614771886</v>
      </c>
    </row>
    <row r="2304" spans="1:4" x14ac:dyDescent="0.15">
      <c r="A2304" s="7">
        <v>2298</v>
      </c>
      <c r="B2304" s="7">
        <v>5</v>
      </c>
      <c r="C2304">
        <f t="shared" si="73"/>
        <v>1.366675533834656E-2</v>
      </c>
      <c r="D2304">
        <f t="shared" si="74"/>
        <v>-4.2927890127952875</v>
      </c>
    </row>
    <row r="2305" spans="1:4" x14ac:dyDescent="0.15">
      <c r="A2305" s="7">
        <v>2299</v>
      </c>
      <c r="B2305" s="7">
        <v>0</v>
      </c>
      <c r="C2305">
        <f t="shared" si="73"/>
        <v>0.75586055390364359</v>
      </c>
      <c r="D2305">
        <f t="shared" si="74"/>
        <v>-0.27989837232446807</v>
      </c>
    </row>
    <row r="2306" spans="1:4" x14ac:dyDescent="0.15">
      <c r="A2306" s="7">
        <v>2300</v>
      </c>
      <c r="B2306" s="7">
        <v>0</v>
      </c>
      <c r="C2306">
        <f t="shared" si="73"/>
        <v>0.75586055390364359</v>
      </c>
      <c r="D2306">
        <f t="shared" si="74"/>
        <v>-0.27989837232446807</v>
      </c>
    </row>
    <row r="2307" spans="1:4" x14ac:dyDescent="0.15">
      <c r="A2307" s="7">
        <v>2301</v>
      </c>
      <c r="B2307" s="7">
        <v>0</v>
      </c>
      <c r="C2307">
        <f t="shared" si="73"/>
        <v>0.75586055390364359</v>
      </c>
      <c r="D2307">
        <f t="shared" si="74"/>
        <v>-0.27989837232446807</v>
      </c>
    </row>
    <row r="2308" spans="1:4" x14ac:dyDescent="0.15">
      <c r="A2308" s="7">
        <v>2302</v>
      </c>
      <c r="B2308" s="7">
        <v>1</v>
      </c>
      <c r="C2308">
        <f t="shared" si="73"/>
        <v>8.8678581416840763E-2</v>
      </c>
      <c r="D2308">
        <f t="shared" si="74"/>
        <v>-2.4227368910146492</v>
      </c>
    </row>
    <row r="2309" spans="1:4" x14ac:dyDescent="0.15">
      <c r="A2309" s="7">
        <v>2303</v>
      </c>
      <c r="B2309" s="7">
        <v>0</v>
      </c>
      <c r="C2309">
        <f t="shared" si="73"/>
        <v>0.75586055390364359</v>
      </c>
      <c r="D2309">
        <f t="shared" si="74"/>
        <v>-0.27989837232446807</v>
      </c>
    </row>
    <row r="2310" spans="1:4" x14ac:dyDescent="0.15">
      <c r="A2310" s="7">
        <v>2304</v>
      </c>
      <c r="B2310" s="7">
        <v>0</v>
      </c>
      <c r="C2310">
        <f t="shared" si="73"/>
        <v>0.75586055390364359</v>
      </c>
      <c r="D2310">
        <f t="shared" si="74"/>
        <v>-0.27989837232446807</v>
      </c>
    </row>
    <row r="2311" spans="1:4" x14ac:dyDescent="0.15">
      <c r="A2311" s="7">
        <v>2305</v>
      </c>
      <c r="B2311" s="7">
        <v>0</v>
      </c>
      <c r="C2311">
        <f t="shared" si="73"/>
        <v>0.75586055390364359</v>
      </c>
      <c r="D2311">
        <f t="shared" si="74"/>
        <v>-0.27989837232446807</v>
      </c>
    </row>
    <row r="2312" spans="1:4" x14ac:dyDescent="0.15">
      <c r="A2312" s="7">
        <v>2306</v>
      </c>
      <c r="B2312" s="7">
        <v>0</v>
      </c>
      <c r="C2312">
        <f t="shared" ref="C2312:C2375" si="75">(_xlfn.GAMMA($B$1+B2312)/(_xlfn.GAMMA($B$1)*FACT(B2312))) * ($B$2/($B$2+$B$4))^$B$1 * (1/($B$2 +$B$4))^B2312</f>
        <v>0.75586055390364359</v>
      </c>
      <c r="D2312">
        <f t="shared" ref="D2312:D2375" si="76">LN(C2312)</f>
        <v>-0.27989837232446807</v>
      </c>
    </row>
    <row r="2313" spans="1:4" x14ac:dyDescent="0.15">
      <c r="A2313" s="7">
        <v>2307</v>
      </c>
      <c r="B2313" s="7">
        <v>1</v>
      </c>
      <c r="C2313">
        <f t="shared" si="75"/>
        <v>8.8678581416840763E-2</v>
      </c>
      <c r="D2313">
        <f t="shared" si="76"/>
        <v>-2.4227368910146492</v>
      </c>
    </row>
    <row r="2314" spans="1:4" x14ac:dyDescent="0.15">
      <c r="A2314" s="7">
        <v>2308</v>
      </c>
      <c r="B2314" s="7">
        <v>1</v>
      </c>
      <c r="C2314">
        <f t="shared" si="75"/>
        <v>8.8678581416840763E-2</v>
      </c>
      <c r="D2314">
        <f t="shared" si="76"/>
        <v>-2.4227368910146492</v>
      </c>
    </row>
    <row r="2315" spans="1:4" x14ac:dyDescent="0.15">
      <c r="A2315" s="7">
        <v>2309</v>
      </c>
      <c r="B2315" s="7">
        <v>0</v>
      </c>
      <c r="C2315">
        <f t="shared" si="75"/>
        <v>0.75586055390364359</v>
      </c>
      <c r="D2315">
        <f t="shared" si="76"/>
        <v>-0.27989837232446807</v>
      </c>
    </row>
    <row r="2316" spans="1:4" x14ac:dyDescent="0.15">
      <c r="A2316" s="7">
        <v>2310</v>
      </c>
      <c r="B2316" s="7">
        <v>0</v>
      </c>
      <c r="C2316">
        <f t="shared" si="75"/>
        <v>0.75586055390364359</v>
      </c>
      <c r="D2316">
        <f t="shared" si="76"/>
        <v>-0.27989837232446807</v>
      </c>
    </row>
    <row r="2317" spans="1:4" x14ac:dyDescent="0.15">
      <c r="A2317" s="7">
        <v>2311</v>
      </c>
      <c r="B2317" s="7">
        <v>0</v>
      </c>
      <c r="C2317">
        <f t="shared" si="75"/>
        <v>0.75586055390364359</v>
      </c>
      <c r="D2317">
        <f t="shared" si="76"/>
        <v>-0.27989837232446807</v>
      </c>
    </row>
    <row r="2318" spans="1:4" x14ac:dyDescent="0.15">
      <c r="A2318" s="7">
        <v>2312</v>
      </c>
      <c r="B2318" s="7">
        <v>0</v>
      </c>
      <c r="C2318">
        <f t="shared" si="75"/>
        <v>0.75586055390364359</v>
      </c>
      <c r="D2318">
        <f t="shared" si="76"/>
        <v>-0.27989837232446807</v>
      </c>
    </row>
    <row r="2319" spans="1:4" x14ac:dyDescent="0.15">
      <c r="A2319" s="7">
        <v>2313</v>
      </c>
      <c r="B2319" s="7">
        <v>1</v>
      </c>
      <c r="C2319">
        <f t="shared" si="75"/>
        <v>8.8678581416840763E-2</v>
      </c>
      <c r="D2319">
        <f t="shared" si="76"/>
        <v>-2.4227368910146492</v>
      </c>
    </row>
    <row r="2320" spans="1:4" x14ac:dyDescent="0.15">
      <c r="A2320" s="7">
        <v>2314</v>
      </c>
      <c r="B2320" s="7">
        <v>0</v>
      </c>
      <c r="C2320">
        <f t="shared" si="75"/>
        <v>0.75586055390364359</v>
      </c>
      <c r="D2320">
        <f t="shared" si="76"/>
        <v>-0.27989837232446807</v>
      </c>
    </row>
    <row r="2321" spans="1:4" x14ac:dyDescent="0.15">
      <c r="A2321" s="7">
        <v>2315</v>
      </c>
      <c r="B2321" s="7">
        <v>1</v>
      </c>
      <c r="C2321">
        <f t="shared" si="75"/>
        <v>8.8678581416840763E-2</v>
      </c>
      <c r="D2321">
        <f t="shared" si="76"/>
        <v>-2.4227368910146492</v>
      </c>
    </row>
    <row r="2322" spans="1:4" x14ac:dyDescent="0.15">
      <c r="A2322" s="7">
        <v>2316</v>
      </c>
      <c r="B2322" s="7">
        <v>0</v>
      </c>
      <c r="C2322">
        <f t="shared" si="75"/>
        <v>0.75586055390364359</v>
      </c>
      <c r="D2322">
        <f t="shared" si="76"/>
        <v>-0.27989837232446807</v>
      </c>
    </row>
    <row r="2323" spans="1:4" x14ac:dyDescent="0.15">
      <c r="A2323" s="7">
        <v>2317</v>
      </c>
      <c r="B2323" s="7">
        <v>0</v>
      </c>
      <c r="C2323">
        <f t="shared" si="75"/>
        <v>0.75586055390364359</v>
      </c>
      <c r="D2323">
        <f t="shared" si="76"/>
        <v>-0.27989837232446807</v>
      </c>
    </row>
    <row r="2324" spans="1:4" x14ac:dyDescent="0.15">
      <c r="A2324" s="7">
        <v>2318</v>
      </c>
      <c r="B2324" s="7">
        <v>1</v>
      </c>
      <c r="C2324">
        <f t="shared" si="75"/>
        <v>8.8678581416840763E-2</v>
      </c>
      <c r="D2324">
        <f t="shared" si="76"/>
        <v>-2.4227368910146492</v>
      </c>
    </row>
    <row r="2325" spans="1:4" x14ac:dyDescent="0.15">
      <c r="A2325" s="7">
        <v>2319</v>
      </c>
      <c r="B2325" s="7">
        <v>0</v>
      </c>
      <c r="C2325">
        <f t="shared" si="75"/>
        <v>0.75586055390364359</v>
      </c>
      <c r="D2325">
        <f t="shared" si="76"/>
        <v>-0.27989837232446807</v>
      </c>
    </row>
    <row r="2326" spans="1:4" x14ac:dyDescent="0.15">
      <c r="A2326" s="7">
        <v>2320</v>
      </c>
      <c r="B2326" s="7">
        <v>0</v>
      </c>
      <c r="C2326">
        <f t="shared" si="75"/>
        <v>0.75586055390364359</v>
      </c>
      <c r="D2326">
        <f t="shared" si="76"/>
        <v>-0.27989837232446807</v>
      </c>
    </row>
    <row r="2327" spans="1:4" x14ac:dyDescent="0.15">
      <c r="A2327" s="7">
        <v>2321</v>
      </c>
      <c r="B2327" s="7">
        <v>0</v>
      </c>
      <c r="C2327">
        <f t="shared" si="75"/>
        <v>0.75586055390364359</v>
      </c>
      <c r="D2327">
        <f t="shared" si="76"/>
        <v>-0.27989837232446807</v>
      </c>
    </row>
    <row r="2328" spans="1:4" x14ac:dyDescent="0.15">
      <c r="A2328" s="7">
        <v>2322</v>
      </c>
      <c r="B2328" s="7">
        <v>0</v>
      </c>
      <c r="C2328">
        <f t="shared" si="75"/>
        <v>0.75586055390364359</v>
      </c>
      <c r="D2328">
        <f t="shared" si="76"/>
        <v>-0.27989837232446807</v>
      </c>
    </row>
    <row r="2329" spans="1:4" x14ac:dyDescent="0.15">
      <c r="A2329" s="7">
        <v>2323</v>
      </c>
      <c r="B2329" s="7">
        <v>0</v>
      </c>
      <c r="C2329">
        <f t="shared" si="75"/>
        <v>0.75586055390364359</v>
      </c>
      <c r="D2329">
        <f t="shared" si="76"/>
        <v>-0.27989837232446807</v>
      </c>
    </row>
    <row r="2330" spans="1:4" x14ac:dyDescent="0.15">
      <c r="A2330" s="7">
        <v>2324</v>
      </c>
      <c r="B2330" s="7">
        <v>0</v>
      </c>
      <c r="C2330">
        <f t="shared" si="75"/>
        <v>0.75586055390364359</v>
      </c>
      <c r="D2330">
        <f t="shared" si="76"/>
        <v>-0.27989837232446807</v>
      </c>
    </row>
    <row r="2331" spans="1:4" x14ac:dyDescent="0.15">
      <c r="A2331" s="7">
        <v>2325</v>
      </c>
      <c r="B2331" s="7">
        <v>0</v>
      </c>
      <c r="C2331">
        <f t="shared" si="75"/>
        <v>0.75586055390364359</v>
      </c>
      <c r="D2331">
        <f t="shared" si="76"/>
        <v>-0.27989837232446807</v>
      </c>
    </row>
    <row r="2332" spans="1:4" x14ac:dyDescent="0.15">
      <c r="A2332" s="7">
        <v>2326</v>
      </c>
      <c r="B2332" s="7">
        <v>0</v>
      </c>
      <c r="C2332">
        <f t="shared" si="75"/>
        <v>0.75586055390364359</v>
      </c>
      <c r="D2332">
        <f t="shared" si="76"/>
        <v>-0.27989837232446807</v>
      </c>
    </row>
    <row r="2333" spans="1:4" x14ac:dyDescent="0.15">
      <c r="A2333" s="7">
        <v>2327</v>
      </c>
      <c r="B2333" s="7">
        <v>0</v>
      </c>
      <c r="C2333">
        <f t="shared" si="75"/>
        <v>0.75586055390364359</v>
      </c>
      <c r="D2333">
        <f t="shared" si="76"/>
        <v>-0.27989837232446807</v>
      </c>
    </row>
    <row r="2334" spans="1:4" x14ac:dyDescent="0.15">
      <c r="A2334" s="7">
        <v>2328</v>
      </c>
      <c r="B2334" s="7">
        <v>0</v>
      </c>
      <c r="C2334">
        <f t="shared" si="75"/>
        <v>0.75586055390364359</v>
      </c>
      <c r="D2334">
        <f t="shared" si="76"/>
        <v>-0.27989837232446807</v>
      </c>
    </row>
    <row r="2335" spans="1:4" x14ac:dyDescent="0.15">
      <c r="A2335" s="7">
        <v>2329</v>
      </c>
      <c r="B2335" s="7">
        <v>0</v>
      </c>
      <c r="C2335">
        <f t="shared" si="75"/>
        <v>0.75586055390364359</v>
      </c>
      <c r="D2335">
        <f t="shared" si="76"/>
        <v>-0.27989837232446807</v>
      </c>
    </row>
    <row r="2336" spans="1:4" x14ac:dyDescent="0.15">
      <c r="A2336" s="7">
        <v>2330</v>
      </c>
      <c r="B2336" s="7">
        <v>0</v>
      </c>
      <c r="C2336">
        <f t="shared" si="75"/>
        <v>0.75586055390364359</v>
      </c>
      <c r="D2336">
        <f t="shared" si="76"/>
        <v>-0.27989837232446807</v>
      </c>
    </row>
    <row r="2337" spans="1:4" x14ac:dyDescent="0.15">
      <c r="A2337" s="7">
        <v>2331</v>
      </c>
      <c r="B2337" s="7">
        <v>0</v>
      </c>
      <c r="C2337">
        <f t="shared" si="75"/>
        <v>0.75586055390364359</v>
      </c>
      <c r="D2337">
        <f t="shared" si="76"/>
        <v>-0.27989837232446807</v>
      </c>
    </row>
    <row r="2338" spans="1:4" x14ac:dyDescent="0.15">
      <c r="A2338" s="7">
        <v>2332</v>
      </c>
      <c r="B2338" s="7">
        <v>0</v>
      </c>
      <c r="C2338">
        <f t="shared" si="75"/>
        <v>0.75586055390364359</v>
      </c>
      <c r="D2338">
        <f t="shared" si="76"/>
        <v>-0.27989837232446807</v>
      </c>
    </row>
    <row r="2339" spans="1:4" x14ac:dyDescent="0.15">
      <c r="A2339" s="7">
        <v>2333</v>
      </c>
      <c r="B2339" s="7">
        <v>1</v>
      </c>
      <c r="C2339">
        <f t="shared" si="75"/>
        <v>8.8678581416840763E-2</v>
      </c>
      <c r="D2339">
        <f t="shared" si="76"/>
        <v>-2.4227368910146492</v>
      </c>
    </row>
    <row r="2340" spans="1:4" x14ac:dyDescent="0.15">
      <c r="A2340" s="7">
        <v>2334</v>
      </c>
      <c r="B2340" s="7">
        <v>0</v>
      </c>
      <c r="C2340">
        <f t="shared" si="75"/>
        <v>0.75586055390364359</v>
      </c>
      <c r="D2340">
        <f t="shared" si="76"/>
        <v>-0.27989837232446807</v>
      </c>
    </row>
    <row r="2341" spans="1:4" x14ac:dyDescent="0.15">
      <c r="A2341" s="7">
        <v>2335</v>
      </c>
      <c r="B2341" s="7">
        <v>0</v>
      </c>
      <c r="C2341">
        <f t="shared" si="75"/>
        <v>0.75586055390364359</v>
      </c>
      <c r="D2341">
        <f t="shared" si="76"/>
        <v>-0.27989837232446807</v>
      </c>
    </row>
    <row r="2342" spans="1:4" x14ac:dyDescent="0.15">
      <c r="A2342" s="7">
        <v>2336</v>
      </c>
      <c r="B2342" s="7">
        <v>0</v>
      </c>
      <c r="C2342">
        <f t="shared" si="75"/>
        <v>0.75586055390364359</v>
      </c>
      <c r="D2342">
        <f t="shared" si="76"/>
        <v>-0.27989837232446807</v>
      </c>
    </row>
    <row r="2343" spans="1:4" x14ac:dyDescent="0.15">
      <c r="A2343" s="7">
        <v>2337</v>
      </c>
      <c r="B2343" s="7">
        <v>1</v>
      </c>
      <c r="C2343">
        <f t="shared" si="75"/>
        <v>8.8678581416840763E-2</v>
      </c>
      <c r="D2343">
        <f t="shared" si="76"/>
        <v>-2.4227368910146492</v>
      </c>
    </row>
    <row r="2344" spans="1:4" x14ac:dyDescent="0.15">
      <c r="A2344" s="7">
        <v>2338</v>
      </c>
      <c r="B2344" s="7">
        <v>0</v>
      </c>
      <c r="C2344">
        <f t="shared" si="75"/>
        <v>0.75586055390364359</v>
      </c>
      <c r="D2344">
        <f t="shared" si="76"/>
        <v>-0.27989837232446807</v>
      </c>
    </row>
    <row r="2345" spans="1:4" x14ac:dyDescent="0.15">
      <c r="A2345" s="7">
        <v>2339</v>
      </c>
      <c r="B2345" s="7">
        <v>3</v>
      </c>
      <c r="C2345">
        <f t="shared" si="75"/>
        <v>2.7467996558433502E-2</v>
      </c>
      <c r="D2345">
        <f t="shared" si="76"/>
        <v>-3.594733713517384</v>
      </c>
    </row>
    <row r="2346" spans="1:4" x14ac:dyDescent="0.15">
      <c r="A2346" s="7">
        <v>2340</v>
      </c>
      <c r="B2346" s="7">
        <v>0</v>
      </c>
      <c r="C2346">
        <f t="shared" si="75"/>
        <v>0.75586055390364359</v>
      </c>
      <c r="D2346">
        <f t="shared" si="76"/>
        <v>-0.27989837232446807</v>
      </c>
    </row>
    <row r="2347" spans="1:4" x14ac:dyDescent="0.15">
      <c r="A2347" s="7">
        <v>2341</v>
      </c>
      <c r="B2347" s="7">
        <v>0</v>
      </c>
      <c r="C2347">
        <f t="shared" si="75"/>
        <v>0.75586055390364359</v>
      </c>
      <c r="D2347">
        <f t="shared" si="76"/>
        <v>-0.27989837232446807</v>
      </c>
    </row>
    <row r="2348" spans="1:4" x14ac:dyDescent="0.15">
      <c r="A2348" s="7">
        <v>2342</v>
      </c>
      <c r="B2348" s="7">
        <v>0</v>
      </c>
      <c r="C2348">
        <f t="shared" si="75"/>
        <v>0.75586055390364359</v>
      </c>
      <c r="D2348">
        <f t="shared" si="76"/>
        <v>-0.27989837232446807</v>
      </c>
    </row>
    <row r="2349" spans="1:4" x14ac:dyDescent="0.15">
      <c r="A2349" s="7">
        <v>2343</v>
      </c>
      <c r="B2349" s="7">
        <v>0</v>
      </c>
      <c r="C2349">
        <f t="shared" si="75"/>
        <v>0.75586055390364359</v>
      </c>
      <c r="D2349">
        <f t="shared" si="76"/>
        <v>-0.27989837232446807</v>
      </c>
    </row>
    <row r="2350" spans="1:4" x14ac:dyDescent="0.15">
      <c r="A2350" s="7">
        <v>2344</v>
      </c>
      <c r="B2350" s="7">
        <v>0</v>
      </c>
      <c r="C2350">
        <f t="shared" si="75"/>
        <v>0.75586055390364359</v>
      </c>
      <c r="D2350">
        <f t="shared" si="76"/>
        <v>-0.27989837232446807</v>
      </c>
    </row>
    <row r="2351" spans="1:4" x14ac:dyDescent="0.15">
      <c r="A2351" s="7">
        <v>2345</v>
      </c>
      <c r="B2351" s="7">
        <v>9</v>
      </c>
      <c r="C2351">
        <f t="shared" si="75"/>
        <v>4.8724597930648464E-3</v>
      </c>
      <c r="D2351">
        <f t="shared" si="76"/>
        <v>-5.3241563784247425</v>
      </c>
    </row>
    <row r="2352" spans="1:4" x14ac:dyDescent="0.15">
      <c r="A2352" s="7">
        <v>2346</v>
      </c>
      <c r="B2352" s="7">
        <v>0</v>
      </c>
      <c r="C2352">
        <f t="shared" si="75"/>
        <v>0.75586055390364359</v>
      </c>
      <c r="D2352">
        <f t="shared" si="76"/>
        <v>-0.27989837232446807</v>
      </c>
    </row>
    <row r="2353" spans="1:4" x14ac:dyDescent="0.15">
      <c r="A2353" s="7">
        <v>2347</v>
      </c>
      <c r="B2353" s="7">
        <v>0</v>
      </c>
      <c r="C2353">
        <f t="shared" si="75"/>
        <v>0.75586055390364359</v>
      </c>
      <c r="D2353">
        <f t="shared" si="76"/>
        <v>-0.27989837232446807</v>
      </c>
    </row>
    <row r="2354" spans="1:4" x14ac:dyDescent="0.15">
      <c r="A2354" s="7">
        <v>2348</v>
      </c>
      <c r="B2354" s="7">
        <v>0</v>
      </c>
      <c r="C2354">
        <f t="shared" si="75"/>
        <v>0.75586055390364359</v>
      </c>
      <c r="D2354">
        <f t="shared" si="76"/>
        <v>-0.27989837232446807</v>
      </c>
    </row>
    <row r="2355" spans="1:4" x14ac:dyDescent="0.15">
      <c r="A2355" s="7">
        <v>2349</v>
      </c>
      <c r="B2355" s="7">
        <v>1</v>
      </c>
      <c r="C2355">
        <f t="shared" si="75"/>
        <v>8.8678581416840763E-2</v>
      </c>
      <c r="D2355">
        <f t="shared" si="76"/>
        <v>-2.4227368910146492</v>
      </c>
    </row>
    <row r="2356" spans="1:4" x14ac:dyDescent="0.15">
      <c r="A2356" s="7">
        <v>2350</v>
      </c>
      <c r="B2356" s="7">
        <v>0</v>
      </c>
      <c r="C2356">
        <f t="shared" si="75"/>
        <v>0.75586055390364359</v>
      </c>
      <c r="D2356">
        <f t="shared" si="76"/>
        <v>-0.27989837232446807</v>
      </c>
    </row>
    <row r="2357" spans="1:4" x14ac:dyDescent="0.15">
      <c r="A2357" s="7">
        <v>2351</v>
      </c>
      <c r="B2357" s="7">
        <v>1</v>
      </c>
      <c r="C2357">
        <f t="shared" si="75"/>
        <v>8.8678581416840763E-2</v>
      </c>
      <c r="D2357">
        <f t="shared" si="76"/>
        <v>-2.4227368910146492</v>
      </c>
    </row>
    <row r="2358" spans="1:4" x14ac:dyDescent="0.15">
      <c r="A2358" s="7">
        <v>2352</v>
      </c>
      <c r="B2358" s="7">
        <v>1</v>
      </c>
      <c r="C2358">
        <f t="shared" si="75"/>
        <v>8.8678581416840763E-2</v>
      </c>
      <c r="D2358">
        <f t="shared" si="76"/>
        <v>-2.4227368910146492</v>
      </c>
    </row>
    <row r="2359" spans="1:4" x14ac:dyDescent="0.15">
      <c r="A2359" s="7">
        <v>2353</v>
      </c>
      <c r="B2359" s="7">
        <v>1</v>
      </c>
      <c r="C2359">
        <f t="shared" si="75"/>
        <v>8.8678581416840763E-2</v>
      </c>
      <c r="D2359">
        <f t="shared" si="76"/>
        <v>-2.4227368910146492</v>
      </c>
    </row>
    <row r="2360" spans="1:4" x14ac:dyDescent="0.15">
      <c r="A2360" s="7">
        <v>2354</v>
      </c>
      <c r="B2360" s="7">
        <v>0</v>
      </c>
      <c r="C2360">
        <f t="shared" si="75"/>
        <v>0.75586055390364359</v>
      </c>
      <c r="D2360">
        <f t="shared" si="76"/>
        <v>-0.27989837232446807</v>
      </c>
    </row>
    <row r="2361" spans="1:4" x14ac:dyDescent="0.15">
      <c r="A2361" s="7">
        <v>2355</v>
      </c>
      <c r="B2361" s="7">
        <v>0</v>
      </c>
      <c r="C2361">
        <f t="shared" si="75"/>
        <v>0.75586055390364359</v>
      </c>
      <c r="D2361">
        <f t="shared" si="76"/>
        <v>-0.27989837232446807</v>
      </c>
    </row>
    <row r="2362" spans="1:4" x14ac:dyDescent="0.15">
      <c r="A2362" s="7">
        <v>2356</v>
      </c>
      <c r="B2362" s="7">
        <v>0</v>
      </c>
      <c r="C2362">
        <f t="shared" si="75"/>
        <v>0.75586055390364359</v>
      </c>
      <c r="D2362">
        <f t="shared" si="76"/>
        <v>-0.27989837232446807</v>
      </c>
    </row>
    <row r="2363" spans="1:4" x14ac:dyDescent="0.15">
      <c r="A2363" s="7">
        <v>2357</v>
      </c>
      <c r="B2363" s="7">
        <v>0</v>
      </c>
      <c r="C2363">
        <f t="shared" si="75"/>
        <v>0.75586055390364359</v>
      </c>
      <c r="D2363">
        <f t="shared" si="76"/>
        <v>-0.27989837232446807</v>
      </c>
    </row>
    <row r="2364" spans="1:4" x14ac:dyDescent="0.15">
      <c r="A2364" s="7">
        <v>2358</v>
      </c>
      <c r="B2364" s="7">
        <v>0</v>
      </c>
      <c r="C2364">
        <f t="shared" si="75"/>
        <v>0.75586055390364359</v>
      </c>
      <c r="D2364">
        <f t="shared" si="76"/>
        <v>-0.27989837232446807</v>
      </c>
    </row>
    <row r="2365" spans="1:4" x14ac:dyDescent="0.15">
      <c r="A2365" s="7">
        <v>2359</v>
      </c>
      <c r="B2365" s="7">
        <v>0</v>
      </c>
      <c r="C2365">
        <f t="shared" si="75"/>
        <v>0.75586055390364359</v>
      </c>
      <c r="D2365">
        <f t="shared" si="76"/>
        <v>-0.27989837232446807</v>
      </c>
    </row>
    <row r="2366" spans="1:4" x14ac:dyDescent="0.15">
      <c r="A2366" s="7">
        <v>2360</v>
      </c>
      <c r="B2366" s="7">
        <v>0</v>
      </c>
      <c r="C2366">
        <f t="shared" si="75"/>
        <v>0.75586055390364359</v>
      </c>
      <c r="D2366">
        <f t="shared" si="76"/>
        <v>-0.27989837232446807</v>
      </c>
    </row>
    <row r="2367" spans="1:4" x14ac:dyDescent="0.15">
      <c r="A2367" s="7">
        <v>2361</v>
      </c>
      <c r="B2367" s="7">
        <v>0</v>
      </c>
      <c r="C2367">
        <f t="shared" si="75"/>
        <v>0.75586055390364359</v>
      </c>
      <c r="D2367">
        <f t="shared" si="76"/>
        <v>-0.27989837232446807</v>
      </c>
    </row>
    <row r="2368" spans="1:4" x14ac:dyDescent="0.15">
      <c r="A2368" s="7">
        <v>2362</v>
      </c>
      <c r="B2368" s="7">
        <v>2</v>
      </c>
      <c r="C2368">
        <f t="shared" si="75"/>
        <v>4.4062133811825943E-2</v>
      </c>
      <c r="D2368">
        <f t="shared" si="76"/>
        <v>-3.1221545090977791</v>
      </c>
    </row>
    <row r="2369" spans="1:4" x14ac:dyDescent="0.15">
      <c r="A2369" s="7">
        <v>2363</v>
      </c>
      <c r="B2369" s="7">
        <v>0</v>
      </c>
      <c r="C2369">
        <f t="shared" si="75"/>
        <v>0.75586055390364359</v>
      </c>
      <c r="D2369">
        <f t="shared" si="76"/>
        <v>-0.27989837232446807</v>
      </c>
    </row>
    <row r="2370" spans="1:4" x14ac:dyDescent="0.15">
      <c r="A2370" s="7">
        <v>2364</v>
      </c>
      <c r="B2370" s="7">
        <v>0</v>
      </c>
      <c r="C2370">
        <f t="shared" si="75"/>
        <v>0.75586055390364359</v>
      </c>
      <c r="D2370">
        <f t="shared" si="76"/>
        <v>-0.27989837232446807</v>
      </c>
    </row>
    <row r="2371" spans="1:4" x14ac:dyDescent="0.15">
      <c r="A2371" s="7">
        <v>2365</v>
      </c>
      <c r="B2371" s="7">
        <v>1</v>
      </c>
      <c r="C2371">
        <f t="shared" si="75"/>
        <v>8.8678581416840763E-2</v>
      </c>
      <c r="D2371">
        <f t="shared" si="76"/>
        <v>-2.4227368910146492</v>
      </c>
    </row>
    <row r="2372" spans="1:4" x14ac:dyDescent="0.15">
      <c r="A2372" s="7">
        <v>2366</v>
      </c>
      <c r="B2372" s="7">
        <v>0</v>
      </c>
      <c r="C2372">
        <f t="shared" si="75"/>
        <v>0.75586055390364359</v>
      </c>
      <c r="D2372">
        <f t="shared" si="76"/>
        <v>-0.27989837232446807</v>
      </c>
    </row>
    <row r="2373" spans="1:4" x14ac:dyDescent="0.15">
      <c r="A2373" s="7">
        <v>2367</v>
      </c>
      <c r="B2373" s="7">
        <v>0</v>
      </c>
      <c r="C2373">
        <f t="shared" si="75"/>
        <v>0.75586055390364359</v>
      </c>
      <c r="D2373">
        <f t="shared" si="76"/>
        <v>-0.27989837232446807</v>
      </c>
    </row>
    <row r="2374" spans="1:4" x14ac:dyDescent="0.15">
      <c r="A2374" s="7">
        <v>2368</v>
      </c>
      <c r="B2374" s="7">
        <v>0</v>
      </c>
      <c r="C2374">
        <f t="shared" si="75"/>
        <v>0.75586055390364359</v>
      </c>
      <c r="D2374">
        <f t="shared" si="76"/>
        <v>-0.27989837232446807</v>
      </c>
    </row>
    <row r="2375" spans="1:4" x14ac:dyDescent="0.15">
      <c r="A2375" s="7">
        <v>2369</v>
      </c>
      <c r="B2375" s="7">
        <v>0</v>
      </c>
      <c r="C2375">
        <f t="shared" si="75"/>
        <v>0.75586055390364359</v>
      </c>
      <c r="D2375">
        <f t="shared" si="76"/>
        <v>-0.27989837232446807</v>
      </c>
    </row>
    <row r="2376" spans="1:4" x14ac:dyDescent="0.15">
      <c r="A2376" s="7">
        <v>2370</v>
      </c>
      <c r="B2376" s="7">
        <v>0</v>
      </c>
      <c r="C2376">
        <f t="shared" ref="C2376:C2439" si="77">(_xlfn.GAMMA($B$1+B2376)/(_xlfn.GAMMA($B$1)*FACT(B2376))) * ($B$2/($B$2+$B$4))^$B$1 * (1/($B$2 +$B$4))^B2376</f>
        <v>0.75586055390364359</v>
      </c>
      <c r="D2376">
        <f t="shared" ref="D2376:D2439" si="78">LN(C2376)</f>
        <v>-0.27989837232446807</v>
      </c>
    </row>
    <row r="2377" spans="1:4" x14ac:dyDescent="0.15">
      <c r="A2377" s="7">
        <v>2371</v>
      </c>
      <c r="B2377" s="7">
        <v>0</v>
      </c>
      <c r="C2377">
        <f t="shared" si="77"/>
        <v>0.75586055390364359</v>
      </c>
      <c r="D2377">
        <f t="shared" si="78"/>
        <v>-0.27989837232446807</v>
      </c>
    </row>
    <row r="2378" spans="1:4" x14ac:dyDescent="0.15">
      <c r="A2378" s="7">
        <v>2372</v>
      </c>
      <c r="B2378" s="7">
        <v>1</v>
      </c>
      <c r="C2378">
        <f t="shared" si="77"/>
        <v>8.8678581416840763E-2</v>
      </c>
      <c r="D2378">
        <f t="shared" si="78"/>
        <v>-2.4227368910146492</v>
      </c>
    </row>
    <row r="2379" spans="1:4" x14ac:dyDescent="0.15">
      <c r="A2379" s="7">
        <v>2373</v>
      </c>
      <c r="B2379" s="7">
        <v>0</v>
      </c>
      <c r="C2379">
        <f t="shared" si="77"/>
        <v>0.75586055390364359</v>
      </c>
      <c r="D2379">
        <f t="shared" si="78"/>
        <v>-0.27989837232446807</v>
      </c>
    </row>
    <row r="2380" spans="1:4" x14ac:dyDescent="0.15">
      <c r="A2380" s="7">
        <v>2374</v>
      </c>
      <c r="B2380" s="7">
        <v>0</v>
      </c>
      <c r="C2380">
        <f t="shared" si="77"/>
        <v>0.75586055390364359</v>
      </c>
      <c r="D2380">
        <f t="shared" si="78"/>
        <v>-0.27989837232446807</v>
      </c>
    </row>
    <row r="2381" spans="1:4" x14ac:dyDescent="0.15">
      <c r="A2381" s="7">
        <v>2375</v>
      </c>
      <c r="B2381" s="7">
        <v>0</v>
      </c>
      <c r="C2381">
        <f t="shared" si="77"/>
        <v>0.75586055390364359</v>
      </c>
      <c r="D2381">
        <f t="shared" si="78"/>
        <v>-0.27989837232446807</v>
      </c>
    </row>
    <row r="2382" spans="1:4" x14ac:dyDescent="0.15">
      <c r="A2382" s="7">
        <v>2376</v>
      </c>
      <c r="B2382" s="7">
        <v>0</v>
      </c>
      <c r="C2382">
        <f t="shared" si="77"/>
        <v>0.75586055390364359</v>
      </c>
      <c r="D2382">
        <f t="shared" si="78"/>
        <v>-0.27989837232446807</v>
      </c>
    </row>
    <row r="2383" spans="1:4" x14ac:dyDescent="0.15">
      <c r="A2383" s="7">
        <v>2377</v>
      </c>
      <c r="B2383" s="7">
        <v>0</v>
      </c>
      <c r="C2383">
        <f t="shared" si="77"/>
        <v>0.75586055390364359</v>
      </c>
      <c r="D2383">
        <f t="shared" si="78"/>
        <v>-0.27989837232446807</v>
      </c>
    </row>
    <row r="2384" spans="1:4" x14ac:dyDescent="0.15">
      <c r="A2384" s="7">
        <v>2378</v>
      </c>
      <c r="B2384" s="7">
        <v>3</v>
      </c>
      <c r="C2384">
        <f t="shared" si="77"/>
        <v>2.7467996558433502E-2</v>
      </c>
      <c r="D2384">
        <f t="shared" si="78"/>
        <v>-3.594733713517384</v>
      </c>
    </row>
    <row r="2385" spans="1:4" x14ac:dyDescent="0.15">
      <c r="A2385" s="7">
        <v>2379</v>
      </c>
      <c r="B2385" s="7">
        <v>2</v>
      </c>
      <c r="C2385">
        <f t="shared" si="77"/>
        <v>4.4062133811825943E-2</v>
      </c>
      <c r="D2385">
        <f t="shared" si="78"/>
        <v>-3.1221545090977791</v>
      </c>
    </row>
    <row r="2386" spans="1:4" x14ac:dyDescent="0.15">
      <c r="A2386" s="7">
        <v>2380</v>
      </c>
      <c r="B2386" s="7">
        <v>0</v>
      </c>
      <c r="C2386">
        <f t="shared" si="77"/>
        <v>0.75586055390364359</v>
      </c>
      <c r="D2386">
        <f t="shared" si="78"/>
        <v>-0.27989837232446807</v>
      </c>
    </row>
    <row r="2387" spans="1:4" x14ac:dyDescent="0.15">
      <c r="A2387" s="7">
        <v>2381</v>
      </c>
      <c r="B2387" s="7">
        <v>0</v>
      </c>
      <c r="C2387">
        <f t="shared" si="77"/>
        <v>0.75586055390364359</v>
      </c>
      <c r="D2387">
        <f t="shared" si="78"/>
        <v>-0.27989837232446807</v>
      </c>
    </row>
    <row r="2388" spans="1:4" x14ac:dyDescent="0.15">
      <c r="A2388" s="7">
        <v>2382</v>
      </c>
      <c r="B2388" s="7">
        <v>0</v>
      </c>
      <c r="C2388">
        <f t="shared" si="77"/>
        <v>0.75586055390364359</v>
      </c>
      <c r="D2388">
        <f t="shared" si="78"/>
        <v>-0.27989837232446807</v>
      </c>
    </row>
    <row r="2389" spans="1:4" x14ac:dyDescent="0.15">
      <c r="A2389" s="7">
        <v>2383</v>
      </c>
      <c r="B2389" s="7">
        <v>0</v>
      </c>
      <c r="C2389">
        <f t="shared" si="77"/>
        <v>0.75586055390364359</v>
      </c>
      <c r="D2389">
        <f t="shared" si="78"/>
        <v>-0.27989837232446807</v>
      </c>
    </row>
    <row r="2390" spans="1:4" x14ac:dyDescent="0.15">
      <c r="A2390" s="7">
        <v>2384</v>
      </c>
      <c r="B2390" s="7">
        <v>0</v>
      </c>
      <c r="C2390">
        <f t="shared" si="77"/>
        <v>0.75586055390364359</v>
      </c>
      <c r="D2390">
        <f t="shared" si="78"/>
        <v>-0.27989837232446807</v>
      </c>
    </row>
    <row r="2391" spans="1:4" x14ac:dyDescent="0.15">
      <c r="A2391" s="7">
        <v>2385</v>
      </c>
      <c r="B2391" s="7">
        <v>1</v>
      </c>
      <c r="C2391">
        <f t="shared" si="77"/>
        <v>8.8678581416840763E-2</v>
      </c>
      <c r="D2391">
        <f t="shared" si="78"/>
        <v>-2.4227368910146492</v>
      </c>
    </row>
    <row r="2392" spans="1:4" x14ac:dyDescent="0.15">
      <c r="A2392" s="7">
        <v>2386</v>
      </c>
      <c r="B2392" s="7">
        <v>0</v>
      </c>
      <c r="C2392">
        <f t="shared" si="77"/>
        <v>0.75586055390364359</v>
      </c>
      <c r="D2392">
        <f t="shared" si="78"/>
        <v>-0.27989837232446807</v>
      </c>
    </row>
    <row r="2393" spans="1:4" x14ac:dyDescent="0.15">
      <c r="A2393" s="7">
        <v>2387</v>
      </c>
      <c r="B2393" s="7">
        <v>0</v>
      </c>
      <c r="C2393">
        <f t="shared" si="77"/>
        <v>0.75586055390364359</v>
      </c>
      <c r="D2393">
        <f t="shared" si="78"/>
        <v>-0.27989837232446807</v>
      </c>
    </row>
    <row r="2394" spans="1:4" x14ac:dyDescent="0.15">
      <c r="A2394" s="7">
        <v>2388</v>
      </c>
      <c r="B2394" s="7">
        <v>0</v>
      </c>
      <c r="C2394">
        <f t="shared" si="77"/>
        <v>0.75586055390364359</v>
      </c>
      <c r="D2394">
        <f t="shared" si="78"/>
        <v>-0.27989837232446807</v>
      </c>
    </row>
    <row r="2395" spans="1:4" x14ac:dyDescent="0.15">
      <c r="A2395" s="7">
        <v>2389</v>
      </c>
      <c r="B2395" s="7">
        <v>0</v>
      </c>
      <c r="C2395">
        <f t="shared" si="77"/>
        <v>0.75586055390364359</v>
      </c>
      <c r="D2395">
        <f t="shared" si="78"/>
        <v>-0.27989837232446807</v>
      </c>
    </row>
    <row r="2396" spans="1:4" x14ac:dyDescent="0.15">
      <c r="A2396" s="7">
        <v>2390</v>
      </c>
      <c r="B2396" s="7">
        <v>0</v>
      </c>
      <c r="C2396">
        <f t="shared" si="77"/>
        <v>0.75586055390364359</v>
      </c>
      <c r="D2396">
        <f t="shared" si="78"/>
        <v>-0.27989837232446807</v>
      </c>
    </row>
    <row r="2397" spans="1:4" x14ac:dyDescent="0.15">
      <c r="A2397" s="7">
        <v>2391</v>
      </c>
      <c r="B2397" s="7">
        <v>0</v>
      </c>
      <c r="C2397">
        <f t="shared" si="77"/>
        <v>0.75586055390364359</v>
      </c>
      <c r="D2397">
        <f t="shared" si="78"/>
        <v>-0.27989837232446807</v>
      </c>
    </row>
    <row r="2398" spans="1:4" x14ac:dyDescent="0.15">
      <c r="A2398" s="7">
        <v>2392</v>
      </c>
      <c r="B2398" s="7">
        <v>0</v>
      </c>
      <c r="C2398">
        <f t="shared" si="77"/>
        <v>0.75586055390364359</v>
      </c>
      <c r="D2398">
        <f t="shared" si="78"/>
        <v>-0.27989837232446807</v>
      </c>
    </row>
    <row r="2399" spans="1:4" x14ac:dyDescent="0.15">
      <c r="A2399" s="7">
        <v>2393</v>
      </c>
      <c r="B2399" s="7">
        <v>0</v>
      </c>
      <c r="C2399">
        <f t="shared" si="77"/>
        <v>0.75586055390364359</v>
      </c>
      <c r="D2399">
        <f t="shared" si="78"/>
        <v>-0.27989837232446807</v>
      </c>
    </row>
    <row r="2400" spans="1:4" x14ac:dyDescent="0.15">
      <c r="A2400" s="7">
        <v>2394</v>
      </c>
      <c r="B2400" s="7">
        <v>0</v>
      </c>
      <c r="C2400">
        <f t="shared" si="77"/>
        <v>0.75586055390364359</v>
      </c>
      <c r="D2400">
        <f t="shared" si="78"/>
        <v>-0.27989837232446807</v>
      </c>
    </row>
    <row r="2401" spans="1:4" x14ac:dyDescent="0.15">
      <c r="A2401" s="7">
        <v>2395</v>
      </c>
      <c r="B2401" s="7">
        <v>8</v>
      </c>
      <c r="C2401">
        <f t="shared" si="77"/>
        <v>6.1514536381425521E-3</v>
      </c>
      <c r="D2401">
        <f t="shared" si="78"/>
        <v>-5.0910668611676444</v>
      </c>
    </row>
    <row r="2402" spans="1:4" x14ac:dyDescent="0.15">
      <c r="A2402" s="7">
        <v>2396</v>
      </c>
      <c r="B2402" s="7">
        <v>1</v>
      </c>
      <c r="C2402">
        <f t="shared" si="77"/>
        <v>8.8678581416840763E-2</v>
      </c>
      <c r="D2402">
        <f t="shared" si="78"/>
        <v>-2.4227368910146492</v>
      </c>
    </row>
    <row r="2403" spans="1:4" x14ac:dyDescent="0.15">
      <c r="A2403" s="7">
        <v>2397</v>
      </c>
      <c r="B2403" s="7">
        <v>0</v>
      </c>
      <c r="C2403">
        <f t="shared" si="77"/>
        <v>0.75586055390364359</v>
      </c>
      <c r="D2403">
        <f t="shared" si="78"/>
        <v>-0.27989837232446807</v>
      </c>
    </row>
    <row r="2404" spans="1:4" x14ac:dyDescent="0.15">
      <c r="A2404" s="7">
        <v>2398</v>
      </c>
      <c r="B2404" s="7">
        <v>0</v>
      </c>
      <c r="C2404">
        <f t="shared" si="77"/>
        <v>0.75586055390364359</v>
      </c>
      <c r="D2404">
        <f t="shared" si="78"/>
        <v>-0.27989837232446807</v>
      </c>
    </row>
    <row r="2405" spans="1:4" x14ac:dyDescent="0.15">
      <c r="A2405" s="7">
        <v>2399</v>
      </c>
      <c r="B2405" s="7">
        <v>0</v>
      </c>
      <c r="C2405">
        <f t="shared" si="77"/>
        <v>0.75586055390364359</v>
      </c>
      <c r="D2405">
        <f t="shared" si="78"/>
        <v>-0.27989837232446807</v>
      </c>
    </row>
    <row r="2406" spans="1:4" x14ac:dyDescent="0.15">
      <c r="A2406" s="7">
        <v>2400</v>
      </c>
      <c r="B2406" s="7">
        <v>0</v>
      </c>
      <c r="C2406">
        <f t="shared" si="77"/>
        <v>0.75586055390364359</v>
      </c>
      <c r="D2406">
        <f t="shared" si="78"/>
        <v>-0.27989837232446807</v>
      </c>
    </row>
    <row r="2407" spans="1:4" x14ac:dyDescent="0.15">
      <c r="A2407" s="7">
        <v>2401</v>
      </c>
      <c r="B2407" s="7">
        <v>0</v>
      </c>
      <c r="C2407">
        <f t="shared" si="77"/>
        <v>0.75586055390364359</v>
      </c>
      <c r="D2407">
        <f t="shared" si="78"/>
        <v>-0.27989837232446807</v>
      </c>
    </row>
    <row r="2408" spans="1:4" x14ac:dyDescent="0.15">
      <c r="A2408" s="7">
        <v>2402</v>
      </c>
      <c r="B2408" s="7">
        <v>1</v>
      </c>
      <c r="C2408">
        <f t="shared" si="77"/>
        <v>8.8678581416840763E-2</v>
      </c>
      <c r="D2408">
        <f t="shared" si="78"/>
        <v>-2.4227368910146492</v>
      </c>
    </row>
    <row r="2409" spans="1:4" x14ac:dyDescent="0.15">
      <c r="A2409" s="7">
        <v>2403</v>
      </c>
      <c r="B2409" s="7">
        <v>0</v>
      </c>
      <c r="C2409">
        <f t="shared" si="77"/>
        <v>0.75586055390364359</v>
      </c>
      <c r="D2409">
        <f t="shared" si="78"/>
        <v>-0.27989837232446807</v>
      </c>
    </row>
    <row r="2410" spans="1:4" x14ac:dyDescent="0.15">
      <c r="A2410" s="7">
        <v>2404</v>
      </c>
      <c r="B2410" s="7">
        <v>2</v>
      </c>
      <c r="C2410">
        <f t="shared" si="77"/>
        <v>4.4062133811825943E-2</v>
      </c>
      <c r="D2410">
        <f t="shared" si="78"/>
        <v>-3.1221545090977791</v>
      </c>
    </row>
    <row r="2411" spans="1:4" x14ac:dyDescent="0.15">
      <c r="A2411" s="7">
        <v>2405</v>
      </c>
      <c r="B2411" s="7">
        <v>0</v>
      </c>
      <c r="C2411">
        <f t="shared" si="77"/>
        <v>0.75586055390364359</v>
      </c>
      <c r="D2411">
        <f t="shared" si="78"/>
        <v>-0.27989837232446807</v>
      </c>
    </row>
    <row r="2412" spans="1:4" x14ac:dyDescent="0.15">
      <c r="A2412" s="7">
        <v>2406</v>
      </c>
      <c r="B2412" s="7">
        <v>0</v>
      </c>
      <c r="C2412">
        <f t="shared" si="77"/>
        <v>0.75586055390364359</v>
      </c>
      <c r="D2412">
        <f t="shared" si="78"/>
        <v>-0.27989837232446807</v>
      </c>
    </row>
    <row r="2413" spans="1:4" x14ac:dyDescent="0.15">
      <c r="A2413" s="7">
        <v>2407</v>
      </c>
      <c r="B2413" s="7">
        <v>5</v>
      </c>
      <c r="C2413">
        <f t="shared" si="77"/>
        <v>1.366675533834656E-2</v>
      </c>
      <c r="D2413">
        <f t="shared" si="78"/>
        <v>-4.2927890127952875</v>
      </c>
    </row>
    <row r="2414" spans="1:4" x14ac:dyDescent="0.15">
      <c r="A2414" s="7">
        <v>2408</v>
      </c>
      <c r="B2414" s="7">
        <v>1</v>
      </c>
      <c r="C2414">
        <f t="shared" si="77"/>
        <v>8.8678581416840763E-2</v>
      </c>
      <c r="D2414">
        <f t="shared" si="78"/>
        <v>-2.4227368910146492</v>
      </c>
    </row>
    <row r="2415" spans="1:4" x14ac:dyDescent="0.15">
      <c r="A2415" s="7">
        <v>2409</v>
      </c>
      <c r="B2415" s="7">
        <v>0</v>
      </c>
      <c r="C2415">
        <f t="shared" si="77"/>
        <v>0.75586055390364359</v>
      </c>
      <c r="D2415">
        <f t="shared" si="78"/>
        <v>-0.27989837232446807</v>
      </c>
    </row>
    <row r="2416" spans="1:4" x14ac:dyDescent="0.15">
      <c r="A2416" s="7">
        <v>2410</v>
      </c>
      <c r="B2416" s="7">
        <v>0</v>
      </c>
      <c r="C2416">
        <f t="shared" si="77"/>
        <v>0.75586055390364359</v>
      </c>
      <c r="D2416">
        <f t="shared" si="78"/>
        <v>-0.27989837232446807</v>
      </c>
    </row>
    <row r="2417" spans="1:4" x14ac:dyDescent="0.15">
      <c r="A2417" s="7">
        <v>2411</v>
      </c>
      <c r="B2417" s="7">
        <v>0</v>
      </c>
      <c r="C2417">
        <f t="shared" si="77"/>
        <v>0.75586055390364359</v>
      </c>
      <c r="D2417">
        <f t="shared" si="78"/>
        <v>-0.27989837232446807</v>
      </c>
    </row>
    <row r="2418" spans="1:4" x14ac:dyDescent="0.15">
      <c r="A2418" s="7">
        <v>2412</v>
      </c>
      <c r="B2418" s="7">
        <v>0</v>
      </c>
      <c r="C2418">
        <f t="shared" si="77"/>
        <v>0.75586055390364359</v>
      </c>
      <c r="D2418">
        <f t="shared" si="78"/>
        <v>-0.27989837232446807</v>
      </c>
    </row>
    <row r="2419" spans="1:4" x14ac:dyDescent="0.15">
      <c r="A2419" s="7">
        <v>2413</v>
      </c>
      <c r="B2419" s="7">
        <v>0</v>
      </c>
      <c r="C2419">
        <f t="shared" si="77"/>
        <v>0.75586055390364359</v>
      </c>
      <c r="D2419">
        <f t="shared" si="78"/>
        <v>-0.27989837232446807</v>
      </c>
    </row>
    <row r="2420" spans="1:4" x14ac:dyDescent="0.15">
      <c r="A2420" s="7">
        <v>2414</v>
      </c>
      <c r="B2420" s="7">
        <v>0</v>
      </c>
      <c r="C2420">
        <f t="shared" si="77"/>
        <v>0.75586055390364359</v>
      </c>
      <c r="D2420">
        <f t="shared" si="78"/>
        <v>-0.27989837232446807</v>
      </c>
    </row>
    <row r="2421" spans="1:4" x14ac:dyDescent="0.15">
      <c r="A2421" s="7">
        <v>2415</v>
      </c>
      <c r="B2421" s="7">
        <v>0</v>
      </c>
      <c r="C2421">
        <f t="shared" si="77"/>
        <v>0.75586055390364359</v>
      </c>
      <c r="D2421">
        <f t="shared" si="78"/>
        <v>-0.27989837232446807</v>
      </c>
    </row>
    <row r="2422" spans="1:4" x14ac:dyDescent="0.15">
      <c r="A2422" s="7">
        <v>2416</v>
      </c>
      <c r="B2422" s="7">
        <v>0</v>
      </c>
      <c r="C2422">
        <f t="shared" si="77"/>
        <v>0.75586055390364359</v>
      </c>
      <c r="D2422">
        <f t="shared" si="78"/>
        <v>-0.27989837232446807</v>
      </c>
    </row>
    <row r="2423" spans="1:4" x14ac:dyDescent="0.15">
      <c r="A2423" s="7">
        <v>2417</v>
      </c>
      <c r="B2423" s="7">
        <v>0</v>
      </c>
      <c r="C2423">
        <f t="shared" si="77"/>
        <v>0.75586055390364359</v>
      </c>
      <c r="D2423">
        <f t="shared" si="78"/>
        <v>-0.27989837232446807</v>
      </c>
    </row>
    <row r="2424" spans="1:4" x14ac:dyDescent="0.15">
      <c r="A2424" s="7">
        <v>2418</v>
      </c>
      <c r="B2424" s="7">
        <v>0</v>
      </c>
      <c r="C2424">
        <f t="shared" si="77"/>
        <v>0.75586055390364359</v>
      </c>
      <c r="D2424">
        <f t="shared" si="78"/>
        <v>-0.27989837232446807</v>
      </c>
    </row>
    <row r="2425" spans="1:4" x14ac:dyDescent="0.15">
      <c r="A2425" s="7">
        <v>2419</v>
      </c>
      <c r="B2425" s="7">
        <v>1</v>
      </c>
      <c r="C2425">
        <f t="shared" si="77"/>
        <v>8.8678581416840763E-2</v>
      </c>
      <c r="D2425">
        <f t="shared" si="78"/>
        <v>-2.4227368910146492</v>
      </c>
    </row>
    <row r="2426" spans="1:4" x14ac:dyDescent="0.15">
      <c r="A2426" s="7">
        <v>2420</v>
      </c>
      <c r="B2426" s="7">
        <v>0</v>
      </c>
      <c r="C2426">
        <f t="shared" si="77"/>
        <v>0.75586055390364359</v>
      </c>
      <c r="D2426">
        <f t="shared" si="78"/>
        <v>-0.27989837232446807</v>
      </c>
    </row>
    <row r="2427" spans="1:4" x14ac:dyDescent="0.15">
      <c r="A2427" s="7">
        <v>2421</v>
      </c>
      <c r="B2427" s="7">
        <v>0</v>
      </c>
      <c r="C2427">
        <f t="shared" si="77"/>
        <v>0.75586055390364359</v>
      </c>
      <c r="D2427">
        <f t="shared" si="78"/>
        <v>-0.27989837232446807</v>
      </c>
    </row>
    <row r="2428" spans="1:4" x14ac:dyDescent="0.15">
      <c r="A2428" s="7">
        <v>2422</v>
      </c>
      <c r="B2428" s="7">
        <v>0</v>
      </c>
      <c r="C2428">
        <f t="shared" si="77"/>
        <v>0.75586055390364359</v>
      </c>
      <c r="D2428">
        <f t="shared" si="78"/>
        <v>-0.27989837232446807</v>
      </c>
    </row>
    <row r="2429" spans="1:4" x14ac:dyDescent="0.15">
      <c r="A2429" s="7">
        <v>2423</v>
      </c>
      <c r="B2429" s="7">
        <v>0</v>
      </c>
      <c r="C2429">
        <f t="shared" si="77"/>
        <v>0.75586055390364359</v>
      </c>
      <c r="D2429">
        <f t="shared" si="78"/>
        <v>-0.27989837232446807</v>
      </c>
    </row>
    <row r="2430" spans="1:4" x14ac:dyDescent="0.15">
      <c r="A2430" s="7">
        <v>2424</v>
      </c>
      <c r="B2430" s="7">
        <v>0</v>
      </c>
      <c r="C2430">
        <f t="shared" si="77"/>
        <v>0.75586055390364359</v>
      </c>
      <c r="D2430">
        <f t="shared" si="78"/>
        <v>-0.27989837232446807</v>
      </c>
    </row>
    <row r="2431" spans="1:4" x14ac:dyDescent="0.15">
      <c r="A2431" s="7">
        <v>2425</v>
      </c>
      <c r="B2431" s="7">
        <v>0</v>
      </c>
      <c r="C2431">
        <f t="shared" si="77"/>
        <v>0.75586055390364359</v>
      </c>
      <c r="D2431">
        <f t="shared" si="78"/>
        <v>-0.27989837232446807</v>
      </c>
    </row>
    <row r="2432" spans="1:4" x14ac:dyDescent="0.15">
      <c r="A2432" s="7">
        <v>2426</v>
      </c>
      <c r="B2432" s="7">
        <v>0</v>
      </c>
      <c r="C2432">
        <f t="shared" si="77"/>
        <v>0.75586055390364359</v>
      </c>
      <c r="D2432">
        <f t="shared" si="78"/>
        <v>-0.27989837232446807</v>
      </c>
    </row>
    <row r="2433" spans="1:4" x14ac:dyDescent="0.15">
      <c r="A2433" s="7">
        <v>2427</v>
      </c>
      <c r="B2433" s="7">
        <v>0</v>
      </c>
      <c r="C2433">
        <f t="shared" si="77"/>
        <v>0.75586055390364359</v>
      </c>
      <c r="D2433">
        <f t="shared" si="78"/>
        <v>-0.27989837232446807</v>
      </c>
    </row>
    <row r="2434" spans="1:4" x14ac:dyDescent="0.15">
      <c r="A2434" s="7">
        <v>2428</v>
      </c>
      <c r="B2434" s="7">
        <v>2</v>
      </c>
      <c r="C2434">
        <f t="shared" si="77"/>
        <v>4.4062133811825943E-2</v>
      </c>
      <c r="D2434">
        <f t="shared" si="78"/>
        <v>-3.1221545090977791</v>
      </c>
    </row>
    <row r="2435" spans="1:4" x14ac:dyDescent="0.15">
      <c r="A2435" s="7">
        <v>2429</v>
      </c>
      <c r="B2435" s="7">
        <v>12</v>
      </c>
      <c r="C2435">
        <f t="shared" si="77"/>
        <v>2.5609330205458858E-3</v>
      </c>
      <c r="D2435">
        <f t="shared" si="78"/>
        <v>-5.9673836257397612</v>
      </c>
    </row>
    <row r="2436" spans="1:4" x14ac:dyDescent="0.15">
      <c r="A2436" s="7">
        <v>2430</v>
      </c>
      <c r="B2436" s="7">
        <v>0</v>
      </c>
      <c r="C2436">
        <f t="shared" si="77"/>
        <v>0.75586055390364359</v>
      </c>
      <c r="D2436">
        <f t="shared" si="78"/>
        <v>-0.27989837232446807</v>
      </c>
    </row>
    <row r="2437" spans="1:4" x14ac:dyDescent="0.15">
      <c r="A2437" s="7">
        <v>2431</v>
      </c>
      <c r="B2437" s="7">
        <v>1</v>
      </c>
      <c r="C2437">
        <f t="shared" si="77"/>
        <v>8.8678581416840763E-2</v>
      </c>
      <c r="D2437">
        <f t="shared" si="78"/>
        <v>-2.4227368910146492</v>
      </c>
    </row>
    <row r="2438" spans="1:4" x14ac:dyDescent="0.15">
      <c r="A2438" s="7">
        <v>2432</v>
      </c>
      <c r="B2438" s="7">
        <v>0</v>
      </c>
      <c r="C2438">
        <f t="shared" si="77"/>
        <v>0.75586055390364359</v>
      </c>
      <c r="D2438">
        <f t="shared" si="78"/>
        <v>-0.27989837232446807</v>
      </c>
    </row>
    <row r="2439" spans="1:4" x14ac:dyDescent="0.15">
      <c r="A2439" s="7">
        <v>2433</v>
      </c>
      <c r="B2439" s="7">
        <v>0</v>
      </c>
      <c r="C2439">
        <f t="shared" si="77"/>
        <v>0.75586055390364359</v>
      </c>
      <c r="D2439">
        <f t="shared" si="78"/>
        <v>-0.27989837232446807</v>
      </c>
    </row>
    <row r="2440" spans="1:4" x14ac:dyDescent="0.15">
      <c r="A2440" s="7">
        <v>2434</v>
      </c>
      <c r="B2440" s="7">
        <v>0</v>
      </c>
      <c r="C2440">
        <f t="shared" ref="C2440:C2503" si="79">(_xlfn.GAMMA($B$1+B2440)/(_xlfn.GAMMA($B$1)*FACT(B2440))) * ($B$2/($B$2+$B$4))^$B$1 * (1/($B$2 +$B$4))^B2440</f>
        <v>0.75586055390364359</v>
      </c>
      <c r="D2440">
        <f t="shared" ref="D2440:D2503" si="80">LN(C2440)</f>
        <v>-0.27989837232446807</v>
      </c>
    </row>
    <row r="2441" spans="1:4" x14ac:dyDescent="0.15">
      <c r="A2441" s="7">
        <v>2435</v>
      </c>
      <c r="B2441" s="7">
        <v>0</v>
      </c>
      <c r="C2441">
        <f t="shared" si="79"/>
        <v>0.75586055390364359</v>
      </c>
      <c r="D2441">
        <f t="shared" si="80"/>
        <v>-0.27989837232446807</v>
      </c>
    </row>
    <row r="2442" spans="1:4" x14ac:dyDescent="0.15">
      <c r="A2442" s="7">
        <v>2436</v>
      </c>
      <c r="B2442" s="7">
        <v>0</v>
      </c>
      <c r="C2442">
        <f t="shared" si="79"/>
        <v>0.75586055390364359</v>
      </c>
      <c r="D2442">
        <f t="shared" si="80"/>
        <v>-0.27989837232446807</v>
      </c>
    </row>
    <row r="2443" spans="1:4" x14ac:dyDescent="0.15">
      <c r="A2443" s="7">
        <v>2437</v>
      </c>
      <c r="B2443" s="7">
        <v>0</v>
      </c>
      <c r="C2443">
        <f t="shared" si="79"/>
        <v>0.75586055390364359</v>
      </c>
      <c r="D2443">
        <f t="shared" si="80"/>
        <v>-0.27989837232446807</v>
      </c>
    </row>
    <row r="2444" spans="1:4" x14ac:dyDescent="0.15">
      <c r="A2444" s="7">
        <v>2438</v>
      </c>
      <c r="B2444" s="7">
        <v>0</v>
      </c>
      <c r="C2444">
        <f t="shared" si="79"/>
        <v>0.75586055390364359</v>
      </c>
      <c r="D2444">
        <f t="shared" si="80"/>
        <v>-0.27989837232446807</v>
      </c>
    </row>
    <row r="2445" spans="1:4" x14ac:dyDescent="0.15">
      <c r="A2445" s="7">
        <v>2439</v>
      </c>
      <c r="B2445" s="7">
        <v>0</v>
      </c>
      <c r="C2445">
        <f t="shared" si="79"/>
        <v>0.75586055390364359</v>
      </c>
      <c r="D2445">
        <f t="shared" si="80"/>
        <v>-0.27989837232446807</v>
      </c>
    </row>
    <row r="2446" spans="1:4" x14ac:dyDescent="0.15">
      <c r="A2446" s="7">
        <v>2440</v>
      </c>
      <c r="B2446" s="7">
        <v>0</v>
      </c>
      <c r="C2446">
        <f t="shared" si="79"/>
        <v>0.75586055390364359</v>
      </c>
      <c r="D2446">
        <f t="shared" si="80"/>
        <v>-0.27989837232446807</v>
      </c>
    </row>
    <row r="2447" spans="1:4" x14ac:dyDescent="0.15">
      <c r="A2447" s="7">
        <v>2441</v>
      </c>
      <c r="B2447" s="7">
        <v>0</v>
      </c>
      <c r="C2447">
        <f t="shared" si="79"/>
        <v>0.75586055390364359</v>
      </c>
      <c r="D2447">
        <f t="shared" si="80"/>
        <v>-0.27989837232446807</v>
      </c>
    </row>
    <row r="2448" spans="1:4" x14ac:dyDescent="0.15">
      <c r="A2448" s="7">
        <v>2442</v>
      </c>
      <c r="B2448" s="7">
        <v>0</v>
      </c>
      <c r="C2448">
        <f t="shared" si="79"/>
        <v>0.75586055390364359</v>
      </c>
      <c r="D2448">
        <f t="shared" si="80"/>
        <v>-0.27989837232446807</v>
      </c>
    </row>
    <row r="2449" spans="1:4" x14ac:dyDescent="0.15">
      <c r="A2449" s="7">
        <v>2443</v>
      </c>
      <c r="B2449" s="7">
        <v>0</v>
      </c>
      <c r="C2449">
        <f t="shared" si="79"/>
        <v>0.75586055390364359</v>
      </c>
      <c r="D2449">
        <f t="shared" si="80"/>
        <v>-0.27989837232446807</v>
      </c>
    </row>
    <row r="2450" spans="1:4" x14ac:dyDescent="0.15">
      <c r="A2450" s="7">
        <v>2444</v>
      </c>
      <c r="B2450" s="7">
        <v>0</v>
      </c>
      <c r="C2450">
        <f t="shared" si="79"/>
        <v>0.75586055390364359</v>
      </c>
      <c r="D2450">
        <f t="shared" si="80"/>
        <v>-0.27989837232446807</v>
      </c>
    </row>
    <row r="2451" spans="1:4" x14ac:dyDescent="0.15">
      <c r="A2451" s="7">
        <v>2445</v>
      </c>
      <c r="B2451" s="7">
        <v>0</v>
      </c>
      <c r="C2451">
        <f t="shared" si="79"/>
        <v>0.75586055390364359</v>
      </c>
      <c r="D2451">
        <f t="shared" si="80"/>
        <v>-0.27989837232446807</v>
      </c>
    </row>
    <row r="2452" spans="1:4" x14ac:dyDescent="0.15">
      <c r="A2452" s="7">
        <v>2446</v>
      </c>
      <c r="B2452" s="7">
        <v>1</v>
      </c>
      <c r="C2452">
        <f t="shared" si="79"/>
        <v>8.8678581416840763E-2</v>
      </c>
      <c r="D2452">
        <f t="shared" si="80"/>
        <v>-2.4227368910146492</v>
      </c>
    </row>
    <row r="2453" spans="1:4" x14ac:dyDescent="0.15">
      <c r="A2453" s="7">
        <v>2447</v>
      </c>
      <c r="B2453" s="7">
        <v>0</v>
      </c>
      <c r="C2453">
        <f t="shared" si="79"/>
        <v>0.75586055390364359</v>
      </c>
      <c r="D2453">
        <f t="shared" si="80"/>
        <v>-0.27989837232446807</v>
      </c>
    </row>
    <row r="2454" spans="1:4" x14ac:dyDescent="0.15">
      <c r="A2454" s="7">
        <v>2448</v>
      </c>
      <c r="B2454" s="7">
        <v>0</v>
      </c>
      <c r="C2454">
        <f t="shared" si="79"/>
        <v>0.75586055390364359</v>
      </c>
      <c r="D2454">
        <f t="shared" si="80"/>
        <v>-0.27989837232446807</v>
      </c>
    </row>
    <row r="2455" spans="1:4" x14ac:dyDescent="0.15">
      <c r="A2455" s="7">
        <v>2449</v>
      </c>
      <c r="B2455" s="7">
        <v>1</v>
      </c>
      <c r="C2455">
        <f t="shared" si="79"/>
        <v>8.8678581416840763E-2</v>
      </c>
      <c r="D2455">
        <f t="shared" si="80"/>
        <v>-2.4227368910146492</v>
      </c>
    </row>
    <row r="2456" spans="1:4" x14ac:dyDescent="0.15">
      <c r="A2456" s="7">
        <v>2450</v>
      </c>
      <c r="B2456" s="7">
        <v>0</v>
      </c>
      <c r="C2456">
        <f t="shared" si="79"/>
        <v>0.75586055390364359</v>
      </c>
      <c r="D2456">
        <f t="shared" si="80"/>
        <v>-0.27989837232446807</v>
      </c>
    </row>
    <row r="2457" spans="1:4" x14ac:dyDescent="0.15">
      <c r="A2457" s="7">
        <v>2451</v>
      </c>
      <c r="B2457" s="7">
        <v>0</v>
      </c>
      <c r="C2457">
        <f t="shared" si="79"/>
        <v>0.75586055390364359</v>
      </c>
      <c r="D2457">
        <f t="shared" si="80"/>
        <v>-0.27989837232446807</v>
      </c>
    </row>
    <row r="2458" spans="1:4" x14ac:dyDescent="0.15">
      <c r="A2458" s="7">
        <v>2452</v>
      </c>
      <c r="B2458" s="7">
        <v>0</v>
      </c>
      <c r="C2458">
        <f t="shared" si="79"/>
        <v>0.75586055390364359</v>
      </c>
      <c r="D2458">
        <f t="shared" si="80"/>
        <v>-0.27989837232446807</v>
      </c>
    </row>
    <row r="2459" spans="1:4" x14ac:dyDescent="0.15">
      <c r="A2459" s="7">
        <v>2453</v>
      </c>
      <c r="B2459" s="7">
        <v>2</v>
      </c>
      <c r="C2459">
        <f t="shared" si="79"/>
        <v>4.4062133811825943E-2</v>
      </c>
      <c r="D2459">
        <f t="shared" si="80"/>
        <v>-3.1221545090977791</v>
      </c>
    </row>
    <row r="2460" spans="1:4" x14ac:dyDescent="0.15">
      <c r="A2460" s="7">
        <v>2454</v>
      </c>
      <c r="B2460" s="7">
        <v>0</v>
      </c>
      <c r="C2460">
        <f t="shared" si="79"/>
        <v>0.75586055390364359</v>
      </c>
      <c r="D2460">
        <f t="shared" si="80"/>
        <v>-0.27989837232446807</v>
      </c>
    </row>
    <row r="2461" spans="1:4" x14ac:dyDescent="0.15">
      <c r="A2461" s="7">
        <v>2455</v>
      </c>
      <c r="B2461" s="7">
        <v>0</v>
      </c>
      <c r="C2461">
        <f t="shared" si="79"/>
        <v>0.75586055390364359</v>
      </c>
      <c r="D2461">
        <f t="shared" si="80"/>
        <v>-0.27989837232446807</v>
      </c>
    </row>
    <row r="2462" spans="1:4" x14ac:dyDescent="0.15">
      <c r="A2462" s="7">
        <v>2456</v>
      </c>
      <c r="B2462" s="7">
        <v>0</v>
      </c>
      <c r="C2462">
        <f t="shared" si="79"/>
        <v>0.75586055390364359</v>
      </c>
      <c r="D2462">
        <f t="shared" si="80"/>
        <v>-0.27989837232446807</v>
      </c>
    </row>
    <row r="2463" spans="1:4" x14ac:dyDescent="0.15">
      <c r="A2463" s="7">
        <v>2457</v>
      </c>
      <c r="B2463" s="7">
        <v>0</v>
      </c>
      <c r="C2463">
        <f t="shared" si="79"/>
        <v>0.75586055390364359</v>
      </c>
      <c r="D2463">
        <f t="shared" si="80"/>
        <v>-0.27989837232446807</v>
      </c>
    </row>
    <row r="2464" spans="1:4" x14ac:dyDescent="0.15">
      <c r="A2464" s="7">
        <v>2458</v>
      </c>
      <c r="B2464" s="7">
        <v>1</v>
      </c>
      <c r="C2464">
        <f t="shared" si="79"/>
        <v>8.8678581416840763E-2</v>
      </c>
      <c r="D2464">
        <f t="shared" si="80"/>
        <v>-2.4227368910146492</v>
      </c>
    </row>
    <row r="2465" spans="1:4" x14ac:dyDescent="0.15">
      <c r="A2465" s="7">
        <v>2459</v>
      </c>
      <c r="B2465" s="7">
        <v>0</v>
      </c>
      <c r="C2465">
        <f t="shared" si="79"/>
        <v>0.75586055390364359</v>
      </c>
      <c r="D2465">
        <f t="shared" si="80"/>
        <v>-0.27989837232446807</v>
      </c>
    </row>
    <row r="2466" spans="1:4" x14ac:dyDescent="0.15">
      <c r="A2466" s="7">
        <v>2460</v>
      </c>
      <c r="B2466" s="7">
        <v>0</v>
      </c>
      <c r="C2466">
        <f t="shared" si="79"/>
        <v>0.75586055390364359</v>
      </c>
      <c r="D2466">
        <f t="shared" si="80"/>
        <v>-0.27989837232446807</v>
      </c>
    </row>
    <row r="2467" spans="1:4" x14ac:dyDescent="0.15">
      <c r="A2467" s="7">
        <v>2461</v>
      </c>
      <c r="B2467" s="7">
        <v>0</v>
      </c>
      <c r="C2467">
        <f t="shared" si="79"/>
        <v>0.75586055390364359</v>
      </c>
      <c r="D2467">
        <f t="shared" si="80"/>
        <v>-0.27989837232446807</v>
      </c>
    </row>
    <row r="2468" spans="1:4" x14ac:dyDescent="0.15">
      <c r="A2468" s="7">
        <v>2462</v>
      </c>
      <c r="B2468" s="7">
        <v>2</v>
      </c>
      <c r="C2468">
        <f t="shared" si="79"/>
        <v>4.4062133811825943E-2</v>
      </c>
      <c r="D2468">
        <f t="shared" si="80"/>
        <v>-3.1221545090977791</v>
      </c>
    </row>
    <row r="2469" spans="1:4" x14ac:dyDescent="0.15">
      <c r="A2469" s="7">
        <v>2463</v>
      </c>
      <c r="B2469" s="7">
        <v>0</v>
      </c>
      <c r="C2469">
        <f t="shared" si="79"/>
        <v>0.75586055390364359</v>
      </c>
      <c r="D2469">
        <f t="shared" si="80"/>
        <v>-0.27989837232446807</v>
      </c>
    </row>
    <row r="2470" spans="1:4" x14ac:dyDescent="0.15">
      <c r="A2470" s="7">
        <v>2464</v>
      </c>
      <c r="B2470" s="7">
        <v>3</v>
      </c>
      <c r="C2470">
        <f t="shared" si="79"/>
        <v>2.7467996558433502E-2</v>
      </c>
      <c r="D2470">
        <f t="shared" si="80"/>
        <v>-3.594733713517384</v>
      </c>
    </row>
    <row r="2471" spans="1:4" x14ac:dyDescent="0.15">
      <c r="A2471" s="7">
        <v>2465</v>
      </c>
      <c r="B2471" s="7">
        <v>1</v>
      </c>
      <c r="C2471">
        <f t="shared" si="79"/>
        <v>8.8678581416840763E-2</v>
      </c>
      <c r="D2471">
        <f t="shared" si="80"/>
        <v>-2.4227368910146492</v>
      </c>
    </row>
    <row r="2472" spans="1:4" x14ac:dyDescent="0.15">
      <c r="A2472" s="7">
        <v>2466</v>
      </c>
      <c r="B2472" s="7">
        <v>0</v>
      </c>
      <c r="C2472">
        <f t="shared" si="79"/>
        <v>0.75586055390364359</v>
      </c>
      <c r="D2472">
        <f t="shared" si="80"/>
        <v>-0.27989837232446807</v>
      </c>
    </row>
    <row r="2473" spans="1:4" x14ac:dyDescent="0.15">
      <c r="A2473" s="7">
        <v>2467</v>
      </c>
      <c r="B2473" s="7">
        <v>11</v>
      </c>
      <c r="C2473">
        <f t="shared" si="79"/>
        <v>3.1493246274866328E-3</v>
      </c>
      <c r="D2473">
        <f t="shared" si="80"/>
        <v>-5.7605672531049104</v>
      </c>
    </row>
    <row r="2474" spans="1:4" x14ac:dyDescent="0.15">
      <c r="A2474" s="7">
        <v>2468</v>
      </c>
      <c r="B2474" s="7">
        <v>1</v>
      </c>
      <c r="C2474">
        <f t="shared" si="79"/>
        <v>8.8678581416840763E-2</v>
      </c>
      <c r="D2474">
        <f t="shared" si="80"/>
        <v>-2.4227368910146492</v>
      </c>
    </row>
    <row r="2475" spans="1:4" x14ac:dyDescent="0.15">
      <c r="A2475" s="7">
        <v>2469</v>
      </c>
      <c r="B2475" s="7">
        <v>0</v>
      </c>
      <c r="C2475">
        <f t="shared" si="79"/>
        <v>0.75586055390364359</v>
      </c>
      <c r="D2475">
        <f t="shared" si="80"/>
        <v>-0.27989837232446807</v>
      </c>
    </row>
    <row r="2476" spans="1:4" x14ac:dyDescent="0.15">
      <c r="A2476" s="7">
        <v>2470</v>
      </c>
      <c r="B2476" s="7">
        <v>2</v>
      </c>
      <c r="C2476">
        <f t="shared" si="79"/>
        <v>4.4062133811825943E-2</v>
      </c>
      <c r="D2476">
        <f t="shared" si="80"/>
        <v>-3.1221545090977791</v>
      </c>
    </row>
    <row r="2477" spans="1:4" x14ac:dyDescent="0.15">
      <c r="A2477" s="7">
        <v>2471</v>
      </c>
      <c r="B2477" s="7">
        <v>0</v>
      </c>
      <c r="C2477">
        <f t="shared" si="79"/>
        <v>0.75586055390364359</v>
      </c>
      <c r="D2477">
        <f t="shared" si="80"/>
        <v>-0.27989837232446807</v>
      </c>
    </row>
    <row r="2478" spans="1:4" x14ac:dyDescent="0.15">
      <c r="A2478" s="7">
        <v>2472</v>
      </c>
      <c r="B2478" s="7">
        <v>0</v>
      </c>
      <c r="C2478">
        <f t="shared" si="79"/>
        <v>0.75586055390364359</v>
      </c>
      <c r="D2478">
        <f t="shared" si="80"/>
        <v>-0.27989837232446807</v>
      </c>
    </row>
    <row r="2479" spans="1:4" x14ac:dyDescent="0.15">
      <c r="A2479" s="7">
        <v>2473</v>
      </c>
      <c r="B2479" s="7">
        <v>1</v>
      </c>
      <c r="C2479">
        <f t="shared" si="79"/>
        <v>8.8678581416840763E-2</v>
      </c>
      <c r="D2479">
        <f t="shared" si="80"/>
        <v>-2.4227368910146492</v>
      </c>
    </row>
    <row r="2480" spans="1:4" x14ac:dyDescent="0.15">
      <c r="A2480" s="7">
        <v>2474</v>
      </c>
      <c r="B2480" s="7">
        <v>0</v>
      </c>
      <c r="C2480">
        <f t="shared" si="79"/>
        <v>0.75586055390364359</v>
      </c>
      <c r="D2480">
        <f t="shared" si="80"/>
        <v>-0.27989837232446807</v>
      </c>
    </row>
    <row r="2481" spans="1:4" x14ac:dyDescent="0.15">
      <c r="A2481" s="7">
        <v>2475</v>
      </c>
      <c r="B2481" s="7">
        <v>0</v>
      </c>
      <c r="C2481">
        <f t="shared" si="79"/>
        <v>0.75586055390364359</v>
      </c>
      <c r="D2481">
        <f t="shared" si="80"/>
        <v>-0.27989837232446807</v>
      </c>
    </row>
    <row r="2482" spans="1:4" x14ac:dyDescent="0.15">
      <c r="A2482" s="7">
        <v>2476</v>
      </c>
      <c r="B2482" s="7">
        <v>0</v>
      </c>
      <c r="C2482">
        <f t="shared" si="79"/>
        <v>0.75586055390364359</v>
      </c>
      <c r="D2482">
        <f t="shared" si="80"/>
        <v>-0.27989837232446807</v>
      </c>
    </row>
    <row r="2483" spans="1:4" x14ac:dyDescent="0.15">
      <c r="A2483" s="7">
        <v>2477</v>
      </c>
      <c r="B2483" s="7">
        <v>3</v>
      </c>
      <c r="C2483">
        <f t="shared" si="79"/>
        <v>2.7467996558433502E-2</v>
      </c>
      <c r="D2483">
        <f t="shared" si="80"/>
        <v>-3.594733713517384</v>
      </c>
    </row>
    <row r="2484" spans="1:4" x14ac:dyDescent="0.15">
      <c r="A2484" s="7">
        <v>2478</v>
      </c>
      <c r="B2484" s="7">
        <v>0</v>
      </c>
      <c r="C2484">
        <f t="shared" si="79"/>
        <v>0.75586055390364359</v>
      </c>
      <c r="D2484">
        <f t="shared" si="80"/>
        <v>-0.27989837232446807</v>
      </c>
    </row>
    <row r="2485" spans="1:4" x14ac:dyDescent="0.15">
      <c r="A2485" s="7">
        <v>2479</v>
      </c>
      <c r="B2485" s="7">
        <v>0</v>
      </c>
      <c r="C2485">
        <f t="shared" si="79"/>
        <v>0.75586055390364359</v>
      </c>
      <c r="D2485">
        <f t="shared" si="80"/>
        <v>-0.27989837232446807</v>
      </c>
    </row>
    <row r="2486" spans="1:4" x14ac:dyDescent="0.15">
      <c r="A2486" s="7">
        <v>2480</v>
      </c>
      <c r="B2486" s="7">
        <v>0</v>
      </c>
      <c r="C2486">
        <f t="shared" si="79"/>
        <v>0.75586055390364359</v>
      </c>
      <c r="D2486">
        <f t="shared" si="80"/>
        <v>-0.27989837232446807</v>
      </c>
    </row>
    <row r="2487" spans="1:4" x14ac:dyDescent="0.15">
      <c r="A2487" s="7">
        <v>2481</v>
      </c>
      <c r="B2487" s="7">
        <v>0</v>
      </c>
      <c r="C2487">
        <f t="shared" si="79"/>
        <v>0.75586055390364359</v>
      </c>
      <c r="D2487">
        <f t="shared" si="80"/>
        <v>-0.27989837232446807</v>
      </c>
    </row>
    <row r="2488" spans="1:4" x14ac:dyDescent="0.15">
      <c r="A2488" s="7">
        <v>2482</v>
      </c>
      <c r="B2488" s="7">
        <v>0</v>
      </c>
      <c r="C2488">
        <f t="shared" si="79"/>
        <v>0.75586055390364359</v>
      </c>
      <c r="D2488">
        <f t="shared" si="80"/>
        <v>-0.27989837232446807</v>
      </c>
    </row>
    <row r="2489" spans="1:4" x14ac:dyDescent="0.15">
      <c r="A2489" s="7">
        <v>2483</v>
      </c>
      <c r="B2489" s="7">
        <v>4</v>
      </c>
      <c r="C2489">
        <f t="shared" si="79"/>
        <v>1.8860933071470173E-2</v>
      </c>
      <c r="D2489">
        <f t="shared" si="80"/>
        <v>-3.9706625294337847</v>
      </c>
    </row>
    <row r="2490" spans="1:4" x14ac:dyDescent="0.15">
      <c r="A2490" s="7">
        <v>2484</v>
      </c>
      <c r="B2490" s="7">
        <v>0</v>
      </c>
      <c r="C2490">
        <f t="shared" si="79"/>
        <v>0.75586055390364359</v>
      </c>
      <c r="D2490">
        <f t="shared" si="80"/>
        <v>-0.27989837232446807</v>
      </c>
    </row>
    <row r="2491" spans="1:4" x14ac:dyDescent="0.15">
      <c r="A2491" s="7">
        <v>2485</v>
      </c>
      <c r="B2491" s="7">
        <v>0</v>
      </c>
      <c r="C2491">
        <f t="shared" si="79"/>
        <v>0.75586055390364359</v>
      </c>
      <c r="D2491">
        <f t="shared" si="80"/>
        <v>-0.27989837232446807</v>
      </c>
    </row>
    <row r="2492" spans="1:4" x14ac:dyDescent="0.15">
      <c r="A2492" s="7">
        <v>2486</v>
      </c>
      <c r="B2492" s="7">
        <v>1</v>
      </c>
      <c r="C2492">
        <f t="shared" si="79"/>
        <v>8.8678581416840763E-2</v>
      </c>
      <c r="D2492">
        <f t="shared" si="80"/>
        <v>-2.4227368910146492</v>
      </c>
    </row>
    <row r="2493" spans="1:4" x14ac:dyDescent="0.15">
      <c r="A2493" s="7">
        <v>2487</v>
      </c>
      <c r="B2493" s="7">
        <v>2</v>
      </c>
      <c r="C2493">
        <f t="shared" si="79"/>
        <v>4.4062133811825943E-2</v>
      </c>
      <c r="D2493">
        <f t="shared" si="80"/>
        <v>-3.1221545090977791</v>
      </c>
    </row>
    <row r="2494" spans="1:4" x14ac:dyDescent="0.15">
      <c r="A2494" s="7">
        <v>2488</v>
      </c>
      <c r="B2494" s="7">
        <v>1</v>
      </c>
      <c r="C2494">
        <f t="shared" si="79"/>
        <v>8.8678581416840763E-2</v>
      </c>
      <c r="D2494">
        <f t="shared" si="80"/>
        <v>-2.4227368910146492</v>
      </c>
    </row>
    <row r="2495" spans="1:4" x14ac:dyDescent="0.15">
      <c r="A2495" s="7">
        <v>2489</v>
      </c>
      <c r="B2495" s="7">
        <v>0</v>
      </c>
      <c r="C2495">
        <f t="shared" si="79"/>
        <v>0.75586055390364359</v>
      </c>
      <c r="D2495">
        <f t="shared" si="80"/>
        <v>-0.27989837232446807</v>
      </c>
    </row>
    <row r="2496" spans="1:4" x14ac:dyDescent="0.15">
      <c r="A2496" s="7">
        <v>2490</v>
      </c>
      <c r="B2496" s="7">
        <v>0</v>
      </c>
      <c r="C2496">
        <f t="shared" si="79"/>
        <v>0.75586055390364359</v>
      </c>
      <c r="D2496">
        <f t="shared" si="80"/>
        <v>-0.27989837232446807</v>
      </c>
    </row>
    <row r="2497" spans="1:4" x14ac:dyDescent="0.15">
      <c r="A2497" s="7">
        <v>2491</v>
      </c>
      <c r="B2497" s="7">
        <v>0</v>
      </c>
      <c r="C2497">
        <f t="shared" si="79"/>
        <v>0.75586055390364359</v>
      </c>
      <c r="D2497">
        <f t="shared" si="80"/>
        <v>-0.27989837232446807</v>
      </c>
    </row>
    <row r="2498" spans="1:4" x14ac:dyDescent="0.15">
      <c r="A2498" s="7">
        <v>2492</v>
      </c>
      <c r="B2498" s="7">
        <v>0</v>
      </c>
      <c r="C2498">
        <f t="shared" si="79"/>
        <v>0.75586055390364359</v>
      </c>
      <c r="D2498">
        <f t="shared" si="80"/>
        <v>-0.27989837232446807</v>
      </c>
    </row>
    <row r="2499" spans="1:4" x14ac:dyDescent="0.15">
      <c r="A2499" s="7">
        <v>2493</v>
      </c>
      <c r="B2499" s="7">
        <v>0</v>
      </c>
      <c r="C2499">
        <f t="shared" si="79"/>
        <v>0.75586055390364359</v>
      </c>
      <c r="D2499">
        <f t="shared" si="80"/>
        <v>-0.27989837232446807</v>
      </c>
    </row>
    <row r="2500" spans="1:4" x14ac:dyDescent="0.15">
      <c r="A2500" s="7">
        <v>2494</v>
      </c>
      <c r="B2500" s="7">
        <v>5</v>
      </c>
      <c r="C2500">
        <f t="shared" si="79"/>
        <v>1.366675533834656E-2</v>
      </c>
      <c r="D2500">
        <f t="shared" si="80"/>
        <v>-4.2927890127952875</v>
      </c>
    </row>
    <row r="2501" spans="1:4" x14ac:dyDescent="0.15">
      <c r="A2501" s="7">
        <v>2495</v>
      </c>
      <c r="B2501" s="7">
        <v>1</v>
      </c>
      <c r="C2501">
        <f t="shared" si="79"/>
        <v>8.8678581416840763E-2</v>
      </c>
      <c r="D2501">
        <f t="shared" si="80"/>
        <v>-2.4227368910146492</v>
      </c>
    </row>
    <row r="2502" spans="1:4" x14ac:dyDescent="0.15">
      <c r="A2502" s="7">
        <v>2496</v>
      </c>
      <c r="B2502" s="7">
        <v>5</v>
      </c>
      <c r="C2502">
        <f t="shared" si="79"/>
        <v>1.366675533834656E-2</v>
      </c>
      <c r="D2502">
        <f t="shared" si="80"/>
        <v>-4.2927890127952875</v>
      </c>
    </row>
    <row r="2503" spans="1:4" x14ac:dyDescent="0.15">
      <c r="A2503" s="7">
        <v>2497</v>
      </c>
      <c r="B2503" s="7">
        <v>0</v>
      </c>
      <c r="C2503">
        <f t="shared" si="79"/>
        <v>0.75586055390364359</v>
      </c>
      <c r="D2503">
        <f t="shared" si="80"/>
        <v>-0.27989837232446807</v>
      </c>
    </row>
    <row r="2504" spans="1:4" x14ac:dyDescent="0.15">
      <c r="A2504" s="7">
        <v>2498</v>
      </c>
      <c r="B2504" s="7">
        <v>0</v>
      </c>
      <c r="C2504">
        <f t="shared" ref="C2504:C2567" si="81">(_xlfn.GAMMA($B$1+B2504)/(_xlfn.GAMMA($B$1)*FACT(B2504))) * ($B$2/($B$2+$B$4))^$B$1 * (1/($B$2 +$B$4))^B2504</f>
        <v>0.75586055390364359</v>
      </c>
      <c r="D2504">
        <f t="shared" ref="D2504:D2567" si="82">LN(C2504)</f>
        <v>-0.27989837232446807</v>
      </c>
    </row>
    <row r="2505" spans="1:4" x14ac:dyDescent="0.15">
      <c r="A2505" s="7">
        <v>2499</v>
      </c>
      <c r="B2505" s="7">
        <v>2</v>
      </c>
      <c r="C2505">
        <f t="shared" si="81"/>
        <v>4.4062133811825943E-2</v>
      </c>
      <c r="D2505">
        <f t="shared" si="82"/>
        <v>-3.1221545090977791</v>
      </c>
    </row>
    <row r="2506" spans="1:4" x14ac:dyDescent="0.15">
      <c r="A2506" s="7">
        <v>2500</v>
      </c>
      <c r="B2506" s="7">
        <v>0</v>
      </c>
      <c r="C2506">
        <f t="shared" si="81"/>
        <v>0.75586055390364359</v>
      </c>
      <c r="D2506">
        <f t="shared" si="82"/>
        <v>-0.27989837232446807</v>
      </c>
    </row>
    <row r="2507" spans="1:4" x14ac:dyDescent="0.15">
      <c r="A2507" s="7">
        <v>2501</v>
      </c>
      <c r="B2507" s="7">
        <v>0</v>
      </c>
      <c r="C2507">
        <f t="shared" si="81"/>
        <v>0.75586055390364359</v>
      </c>
      <c r="D2507">
        <f t="shared" si="82"/>
        <v>-0.27989837232446807</v>
      </c>
    </row>
    <row r="2508" spans="1:4" x14ac:dyDescent="0.15">
      <c r="A2508" s="7">
        <v>2502</v>
      </c>
      <c r="B2508" s="7">
        <v>0</v>
      </c>
      <c r="C2508">
        <f t="shared" si="81"/>
        <v>0.75586055390364359</v>
      </c>
      <c r="D2508">
        <f t="shared" si="82"/>
        <v>-0.27989837232446807</v>
      </c>
    </row>
    <row r="2509" spans="1:4" x14ac:dyDescent="0.15">
      <c r="A2509" s="7">
        <v>2503</v>
      </c>
      <c r="B2509" s="7">
        <v>0</v>
      </c>
      <c r="C2509">
        <f t="shared" si="81"/>
        <v>0.75586055390364359</v>
      </c>
      <c r="D2509">
        <f t="shared" si="82"/>
        <v>-0.27989837232446807</v>
      </c>
    </row>
    <row r="2510" spans="1:4" x14ac:dyDescent="0.15">
      <c r="A2510" s="7">
        <v>2504</v>
      </c>
      <c r="B2510" s="7">
        <v>0</v>
      </c>
      <c r="C2510">
        <f t="shared" si="81"/>
        <v>0.75586055390364359</v>
      </c>
      <c r="D2510">
        <f t="shared" si="82"/>
        <v>-0.27989837232446807</v>
      </c>
    </row>
    <row r="2511" spans="1:4" x14ac:dyDescent="0.15">
      <c r="A2511" s="7">
        <v>2505</v>
      </c>
      <c r="B2511" s="7">
        <v>0</v>
      </c>
      <c r="C2511">
        <f t="shared" si="81"/>
        <v>0.75586055390364359</v>
      </c>
      <c r="D2511">
        <f t="shared" si="82"/>
        <v>-0.27989837232446807</v>
      </c>
    </row>
    <row r="2512" spans="1:4" x14ac:dyDescent="0.15">
      <c r="A2512" s="7">
        <v>2506</v>
      </c>
      <c r="B2512" s="7">
        <v>0</v>
      </c>
      <c r="C2512">
        <f t="shared" si="81"/>
        <v>0.75586055390364359</v>
      </c>
      <c r="D2512">
        <f t="shared" si="82"/>
        <v>-0.27989837232446807</v>
      </c>
    </row>
    <row r="2513" spans="1:4" x14ac:dyDescent="0.15">
      <c r="A2513" s="7">
        <v>2507</v>
      </c>
      <c r="B2513" s="7">
        <v>0</v>
      </c>
      <c r="C2513">
        <f t="shared" si="81"/>
        <v>0.75586055390364359</v>
      </c>
      <c r="D2513">
        <f t="shared" si="82"/>
        <v>-0.27989837232446807</v>
      </c>
    </row>
    <row r="2514" spans="1:4" x14ac:dyDescent="0.15">
      <c r="A2514" s="7">
        <v>2508</v>
      </c>
      <c r="B2514" s="7">
        <v>0</v>
      </c>
      <c r="C2514">
        <f t="shared" si="81"/>
        <v>0.75586055390364359</v>
      </c>
      <c r="D2514">
        <f t="shared" si="82"/>
        <v>-0.27989837232446807</v>
      </c>
    </row>
    <row r="2515" spans="1:4" x14ac:dyDescent="0.15">
      <c r="A2515" s="7">
        <v>2509</v>
      </c>
      <c r="B2515" s="7">
        <v>1</v>
      </c>
      <c r="C2515">
        <f t="shared" si="81"/>
        <v>8.8678581416840763E-2</v>
      </c>
      <c r="D2515">
        <f t="shared" si="82"/>
        <v>-2.4227368910146492</v>
      </c>
    </row>
    <row r="2516" spans="1:4" x14ac:dyDescent="0.15">
      <c r="A2516" s="7">
        <v>2510</v>
      </c>
      <c r="B2516" s="7">
        <v>0</v>
      </c>
      <c r="C2516">
        <f t="shared" si="81"/>
        <v>0.75586055390364359</v>
      </c>
      <c r="D2516">
        <f t="shared" si="82"/>
        <v>-0.27989837232446807</v>
      </c>
    </row>
    <row r="2517" spans="1:4" x14ac:dyDescent="0.15">
      <c r="A2517" s="7">
        <v>2511</v>
      </c>
      <c r="B2517" s="7">
        <v>0</v>
      </c>
      <c r="C2517">
        <f t="shared" si="81"/>
        <v>0.75586055390364359</v>
      </c>
      <c r="D2517">
        <f t="shared" si="82"/>
        <v>-0.27989837232446807</v>
      </c>
    </row>
    <row r="2518" spans="1:4" x14ac:dyDescent="0.15">
      <c r="A2518" s="7">
        <v>2512</v>
      </c>
      <c r="B2518" s="7">
        <v>0</v>
      </c>
      <c r="C2518">
        <f t="shared" si="81"/>
        <v>0.75586055390364359</v>
      </c>
      <c r="D2518">
        <f t="shared" si="82"/>
        <v>-0.27989837232446807</v>
      </c>
    </row>
    <row r="2519" spans="1:4" x14ac:dyDescent="0.15">
      <c r="A2519" s="7">
        <v>2513</v>
      </c>
      <c r="B2519" s="7">
        <v>1</v>
      </c>
      <c r="C2519">
        <f t="shared" si="81"/>
        <v>8.8678581416840763E-2</v>
      </c>
      <c r="D2519">
        <f t="shared" si="82"/>
        <v>-2.4227368910146492</v>
      </c>
    </row>
    <row r="2520" spans="1:4" x14ac:dyDescent="0.15">
      <c r="A2520" s="7">
        <v>2514</v>
      </c>
      <c r="B2520" s="7">
        <v>0</v>
      </c>
      <c r="C2520">
        <f t="shared" si="81"/>
        <v>0.75586055390364359</v>
      </c>
      <c r="D2520">
        <f t="shared" si="82"/>
        <v>-0.27989837232446807</v>
      </c>
    </row>
    <row r="2521" spans="1:4" x14ac:dyDescent="0.15">
      <c r="A2521" s="7">
        <v>2515</v>
      </c>
      <c r="B2521" s="7">
        <v>1</v>
      </c>
      <c r="C2521">
        <f t="shared" si="81"/>
        <v>8.8678581416840763E-2</v>
      </c>
      <c r="D2521">
        <f t="shared" si="82"/>
        <v>-2.4227368910146492</v>
      </c>
    </row>
    <row r="2522" spans="1:4" x14ac:dyDescent="0.15">
      <c r="A2522" s="7">
        <v>2516</v>
      </c>
      <c r="B2522" s="7">
        <v>1</v>
      </c>
      <c r="C2522">
        <f t="shared" si="81"/>
        <v>8.8678581416840763E-2</v>
      </c>
      <c r="D2522">
        <f t="shared" si="82"/>
        <v>-2.4227368910146492</v>
      </c>
    </row>
    <row r="2523" spans="1:4" x14ac:dyDescent="0.15">
      <c r="A2523" s="7">
        <v>2517</v>
      </c>
      <c r="B2523" s="7">
        <v>1</v>
      </c>
      <c r="C2523">
        <f t="shared" si="81"/>
        <v>8.8678581416840763E-2</v>
      </c>
      <c r="D2523">
        <f t="shared" si="82"/>
        <v>-2.4227368910146492</v>
      </c>
    </row>
    <row r="2524" spans="1:4" x14ac:dyDescent="0.15">
      <c r="A2524" s="7">
        <v>2518</v>
      </c>
      <c r="B2524" s="7">
        <v>2</v>
      </c>
      <c r="C2524">
        <f t="shared" si="81"/>
        <v>4.4062133811825943E-2</v>
      </c>
      <c r="D2524">
        <f t="shared" si="82"/>
        <v>-3.1221545090977791</v>
      </c>
    </row>
    <row r="2525" spans="1:4" x14ac:dyDescent="0.15">
      <c r="A2525" s="7">
        <v>2519</v>
      </c>
      <c r="B2525" s="7">
        <v>0</v>
      </c>
      <c r="C2525">
        <f t="shared" si="81"/>
        <v>0.75586055390364359</v>
      </c>
      <c r="D2525">
        <f t="shared" si="82"/>
        <v>-0.27989837232446807</v>
      </c>
    </row>
    <row r="2526" spans="1:4" x14ac:dyDescent="0.15">
      <c r="A2526" s="7">
        <v>2520</v>
      </c>
      <c r="B2526" s="7">
        <v>0</v>
      </c>
      <c r="C2526">
        <f t="shared" si="81"/>
        <v>0.75586055390364359</v>
      </c>
      <c r="D2526">
        <f t="shared" si="82"/>
        <v>-0.27989837232446807</v>
      </c>
    </row>
    <row r="2527" spans="1:4" x14ac:dyDescent="0.15">
      <c r="A2527" s="7">
        <v>2521</v>
      </c>
      <c r="B2527" s="7">
        <v>0</v>
      </c>
      <c r="C2527">
        <f t="shared" si="81"/>
        <v>0.75586055390364359</v>
      </c>
      <c r="D2527">
        <f t="shared" si="82"/>
        <v>-0.27989837232446807</v>
      </c>
    </row>
    <row r="2528" spans="1:4" x14ac:dyDescent="0.15">
      <c r="A2528" s="7">
        <v>2522</v>
      </c>
      <c r="B2528" s="7">
        <v>0</v>
      </c>
      <c r="C2528">
        <f t="shared" si="81"/>
        <v>0.75586055390364359</v>
      </c>
      <c r="D2528">
        <f t="shared" si="82"/>
        <v>-0.27989837232446807</v>
      </c>
    </row>
    <row r="2529" spans="1:4" x14ac:dyDescent="0.15">
      <c r="A2529" s="7">
        <v>2523</v>
      </c>
      <c r="B2529" s="7">
        <v>0</v>
      </c>
      <c r="C2529">
        <f t="shared" si="81"/>
        <v>0.75586055390364359</v>
      </c>
      <c r="D2529">
        <f t="shared" si="82"/>
        <v>-0.27989837232446807</v>
      </c>
    </row>
    <row r="2530" spans="1:4" x14ac:dyDescent="0.15">
      <c r="A2530" s="7">
        <v>2524</v>
      </c>
      <c r="B2530" s="7">
        <v>0</v>
      </c>
      <c r="C2530">
        <f t="shared" si="81"/>
        <v>0.75586055390364359</v>
      </c>
      <c r="D2530">
        <f t="shared" si="82"/>
        <v>-0.27989837232446807</v>
      </c>
    </row>
    <row r="2531" spans="1:4" x14ac:dyDescent="0.15">
      <c r="A2531" s="7">
        <v>2525</v>
      </c>
      <c r="B2531" s="7">
        <v>0</v>
      </c>
      <c r="C2531">
        <f t="shared" si="81"/>
        <v>0.75586055390364359</v>
      </c>
      <c r="D2531">
        <f t="shared" si="82"/>
        <v>-0.27989837232446807</v>
      </c>
    </row>
    <row r="2532" spans="1:4" x14ac:dyDescent="0.15">
      <c r="A2532" s="7">
        <v>2526</v>
      </c>
      <c r="B2532" s="7">
        <v>0</v>
      </c>
      <c r="C2532">
        <f t="shared" si="81"/>
        <v>0.75586055390364359</v>
      </c>
      <c r="D2532">
        <f t="shared" si="82"/>
        <v>-0.27989837232446807</v>
      </c>
    </row>
    <row r="2533" spans="1:4" x14ac:dyDescent="0.15">
      <c r="A2533" s="7">
        <v>2527</v>
      </c>
      <c r="B2533" s="7">
        <v>0</v>
      </c>
      <c r="C2533">
        <f t="shared" si="81"/>
        <v>0.75586055390364359</v>
      </c>
      <c r="D2533">
        <f t="shared" si="82"/>
        <v>-0.27989837232446807</v>
      </c>
    </row>
    <row r="2534" spans="1:4" x14ac:dyDescent="0.15">
      <c r="A2534" s="7">
        <v>2528</v>
      </c>
      <c r="B2534" s="7">
        <v>0</v>
      </c>
      <c r="C2534">
        <f t="shared" si="81"/>
        <v>0.75586055390364359</v>
      </c>
      <c r="D2534">
        <f t="shared" si="82"/>
        <v>-0.27989837232446807</v>
      </c>
    </row>
    <row r="2535" spans="1:4" x14ac:dyDescent="0.15">
      <c r="A2535" s="7">
        <v>2529</v>
      </c>
      <c r="B2535" s="7">
        <v>0</v>
      </c>
      <c r="C2535">
        <f t="shared" si="81"/>
        <v>0.75586055390364359</v>
      </c>
      <c r="D2535">
        <f t="shared" si="82"/>
        <v>-0.27989837232446807</v>
      </c>
    </row>
    <row r="2536" spans="1:4" x14ac:dyDescent="0.15">
      <c r="A2536" s="7">
        <v>2530</v>
      </c>
      <c r="B2536" s="7">
        <v>0</v>
      </c>
      <c r="C2536">
        <f t="shared" si="81"/>
        <v>0.75586055390364359</v>
      </c>
      <c r="D2536">
        <f t="shared" si="82"/>
        <v>-0.27989837232446807</v>
      </c>
    </row>
    <row r="2537" spans="1:4" x14ac:dyDescent="0.15">
      <c r="A2537" s="7">
        <v>2531</v>
      </c>
      <c r="B2537" s="7">
        <v>0</v>
      </c>
      <c r="C2537">
        <f t="shared" si="81"/>
        <v>0.75586055390364359</v>
      </c>
      <c r="D2537">
        <f t="shared" si="82"/>
        <v>-0.27989837232446807</v>
      </c>
    </row>
    <row r="2538" spans="1:4" x14ac:dyDescent="0.15">
      <c r="A2538" s="7">
        <v>2532</v>
      </c>
      <c r="B2538" s="7">
        <v>0</v>
      </c>
      <c r="C2538">
        <f t="shared" si="81"/>
        <v>0.75586055390364359</v>
      </c>
      <c r="D2538">
        <f t="shared" si="82"/>
        <v>-0.27989837232446807</v>
      </c>
    </row>
    <row r="2539" spans="1:4" x14ac:dyDescent="0.15">
      <c r="A2539" s="7">
        <v>2533</v>
      </c>
      <c r="B2539" s="7">
        <v>1</v>
      </c>
      <c r="C2539">
        <f t="shared" si="81"/>
        <v>8.8678581416840763E-2</v>
      </c>
      <c r="D2539">
        <f t="shared" si="82"/>
        <v>-2.4227368910146492</v>
      </c>
    </row>
    <row r="2540" spans="1:4" x14ac:dyDescent="0.15">
      <c r="A2540" s="7">
        <v>2534</v>
      </c>
      <c r="B2540" s="7">
        <v>2</v>
      </c>
      <c r="C2540">
        <f t="shared" si="81"/>
        <v>4.4062133811825943E-2</v>
      </c>
      <c r="D2540">
        <f t="shared" si="82"/>
        <v>-3.1221545090977791</v>
      </c>
    </row>
    <row r="2541" spans="1:4" x14ac:dyDescent="0.15">
      <c r="A2541" s="7">
        <v>2535</v>
      </c>
      <c r="B2541" s="7">
        <v>7</v>
      </c>
      <c r="C2541">
        <f t="shared" si="81"/>
        <v>7.8709438009233242E-3</v>
      </c>
      <c r="D2541">
        <f t="shared" si="82"/>
        <v>-4.8445772998646781</v>
      </c>
    </row>
    <row r="2542" spans="1:4" x14ac:dyDescent="0.15">
      <c r="A2542" s="7">
        <v>2536</v>
      </c>
      <c r="B2542" s="7">
        <v>0</v>
      </c>
      <c r="C2542">
        <f t="shared" si="81"/>
        <v>0.75586055390364359</v>
      </c>
      <c r="D2542">
        <f t="shared" si="82"/>
        <v>-0.27989837232446807</v>
      </c>
    </row>
    <row r="2543" spans="1:4" x14ac:dyDescent="0.15">
      <c r="A2543" s="7">
        <v>2537</v>
      </c>
      <c r="B2543" s="7">
        <v>0</v>
      </c>
      <c r="C2543">
        <f t="shared" si="81"/>
        <v>0.75586055390364359</v>
      </c>
      <c r="D2543">
        <f t="shared" si="82"/>
        <v>-0.27989837232446807</v>
      </c>
    </row>
    <row r="2544" spans="1:4" x14ac:dyDescent="0.15">
      <c r="A2544" s="7">
        <v>2538</v>
      </c>
      <c r="B2544" s="7">
        <v>0</v>
      </c>
      <c r="C2544">
        <f t="shared" si="81"/>
        <v>0.75586055390364359</v>
      </c>
      <c r="D2544">
        <f t="shared" si="82"/>
        <v>-0.27989837232446807</v>
      </c>
    </row>
    <row r="2545" spans="1:4" x14ac:dyDescent="0.15">
      <c r="A2545" s="7">
        <v>2539</v>
      </c>
      <c r="B2545" s="7">
        <v>1</v>
      </c>
      <c r="C2545">
        <f t="shared" si="81"/>
        <v>8.8678581416840763E-2</v>
      </c>
      <c r="D2545">
        <f t="shared" si="82"/>
        <v>-2.4227368910146492</v>
      </c>
    </row>
    <row r="2546" spans="1:4" x14ac:dyDescent="0.15">
      <c r="A2546" s="7">
        <v>2540</v>
      </c>
      <c r="B2546" s="7">
        <v>0</v>
      </c>
      <c r="C2546">
        <f t="shared" si="81"/>
        <v>0.75586055390364359</v>
      </c>
      <c r="D2546">
        <f t="shared" si="82"/>
        <v>-0.27989837232446807</v>
      </c>
    </row>
    <row r="2547" spans="1:4" x14ac:dyDescent="0.15">
      <c r="A2547" s="7">
        <v>2541</v>
      </c>
      <c r="B2547" s="7">
        <v>0</v>
      </c>
      <c r="C2547">
        <f t="shared" si="81"/>
        <v>0.75586055390364359</v>
      </c>
      <c r="D2547">
        <f t="shared" si="82"/>
        <v>-0.27989837232446807</v>
      </c>
    </row>
    <row r="2548" spans="1:4" x14ac:dyDescent="0.15">
      <c r="A2548" s="7">
        <v>2542</v>
      </c>
      <c r="B2548" s="7">
        <v>1</v>
      </c>
      <c r="C2548">
        <f t="shared" si="81"/>
        <v>8.8678581416840763E-2</v>
      </c>
      <c r="D2548">
        <f t="shared" si="82"/>
        <v>-2.4227368910146492</v>
      </c>
    </row>
    <row r="2549" spans="1:4" x14ac:dyDescent="0.15">
      <c r="A2549" s="7">
        <v>2543</v>
      </c>
      <c r="B2549" s="7">
        <v>0</v>
      </c>
      <c r="C2549">
        <f t="shared" si="81"/>
        <v>0.75586055390364359</v>
      </c>
      <c r="D2549">
        <f t="shared" si="82"/>
        <v>-0.27989837232446807</v>
      </c>
    </row>
    <row r="2550" spans="1:4" x14ac:dyDescent="0.15">
      <c r="A2550" s="7">
        <v>2544</v>
      </c>
      <c r="B2550" s="7">
        <v>0</v>
      </c>
      <c r="C2550">
        <f t="shared" si="81"/>
        <v>0.75586055390364359</v>
      </c>
      <c r="D2550">
        <f t="shared" si="82"/>
        <v>-0.27989837232446807</v>
      </c>
    </row>
    <row r="2551" spans="1:4" x14ac:dyDescent="0.15">
      <c r="A2551" s="7">
        <v>2545</v>
      </c>
      <c r="B2551" s="7">
        <v>0</v>
      </c>
      <c r="C2551">
        <f t="shared" si="81"/>
        <v>0.75586055390364359</v>
      </c>
      <c r="D2551">
        <f t="shared" si="82"/>
        <v>-0.27989837232446807</v>
      </c>
    </row>
    <row r="2552" spans="1:4" x14ac:dyDescent="0.15">
      <c r="A2552" s="7">
        <v>2546</v>
      </c>
      <c r="B2552" s="7">
        <v>0</v>
      </c>
      <c r="C2552">
        <f t="shared" si="81"/>
        <v>0.75586055390364359</v>
      </c>
      <c r="D2552">
        <f t="shared" si="82"/>
        <v>-0.27989837232446807</v>
      </c>
    </row>
    <row r="2553" spans="1:4" x14ac:dyDescent="0.15">
      <c r="A2553" s="7">
        <v>2547</v>
      </c>
      <c r="B2553" s="7">
        <v>3</v>
      </c>
      <c r="C2553">
        <f t="shared" si="81"/>
        <v>2.7467996558433502E-2</v>
      </c>
      <c r="D2553">
        <f t="shared" si="82"/>
        <v>-3.594733713517384</v>
      </c>
    </row>
    <row r="2554" spans="1:4" x14ac:dyDescent="0.15">
      <c r="A2554" s="7">
        <v>2548</v>
      </c>
      <c r="B2554" s="7">
        <v>1</v>
      </c>
      <c r="C2554">
        <f t="shared" si="81"/>
        <v>8.8678581416840763E-2</v>
      </c>
      <c r="D2554">
        <f t="shared" si="82"/>
        <v>-2.4227368910146492</v>
      </c>
    </row>
    <row r="2555" spans="1:4" x14ac:dyDescent="0.15">
      <c r="A2555" s="7">
        <v>2549</v>
      </c>
      <c r="B2555" s="7">
        <v>12</v>
      </c>
      <c r="C2555">
        <f t="shared" si="81"/>
        <v>2.5609330205458858E-3</v>
      </c>
      <c r="D2555">
        <f t="shared" si="82"/>
        <v>-5.9673836257397612</v>
      </c>
    </row>
    <row r="2556" spans="1:4" x14ac:dyDescent="0.15">
      <c r="A2556" s="7">
        <v>2550</v>
      </c>
      <c r="B2556" s="7">
        <v>2</v>
      </c>
      <c r="C2556">
        <f t="shared" si="81"/>
        <v>4.4062133811825943E-2</v>
      </c>
      <c r="D2556">
        <f t="shared" si="82"/>
        <v>-3.1221545090977791</v>
      </c>
    </row>
    <row r="2557" spans="1:4" x14ac:dyDescent="0.15">
      <c r="A2557" s="7">
        <v>2551</v>
      </c>
      <c r="B2557" s="7">
        <v>0</v>
      </c>
      <c r="C2557">
        <f t="shared" si="81"/>
        <v>0.75586055390364359</v>
      </c>
      <c r="D2557">
        <f t="shared" si="82"/>
        <v>-0.27989837232446807</v>
      </c>
    </row>
    <row r="2558" spans="1:4" x14ac:dyDescent="0.15">
      <c r="A2558" s="7">
        <v>2552</v>
      </c>
      <c r="B2558" s="7">
        <v>0</v>
      </c>
      <c r="C2558">
        <f t="shared" si="81"/>
        <v>0.75586055390364359</v>
      </c>
      <c r="D2558">
        <f t="shared" si="82"/>
        <v>-0.27989837232446807</v>
      </c>
    </row>
    <row r="2559" spans="1:4" x14ac:dyDescent="0.15">
      <c r="A2559" s="7">
        <v>2553</v>
      </c>
      <c r="B2559" s="7">
        <v>0</v>
      </c>
      <c r="C2559">
        <f t="shared" si="81"/>
        <v>0.75586055390364359</v>
      </c>
      <c r="D2559">
        <f t="shared" si="82"/>
        <v>-0.27989837232446807</v>
      </c>
    </row>
    <row r="2560" spans="1:4" x14ac:dyDescent="0.15">
      <c r="A2560" s="7">
        <v>2554</v>
      </c>
      <c r="B2560" s="7">
        <v>0</v>
      </c>
      <c r="C2560">
        <f t="shared" si="81"/>
        <v>0.75586055390364359</v>
      </c>
      <c r="D2560">
        <f t="shared" si="82"/>
        <v>-0.27989837232446807</v>
      </c>
    </row>
    <row r="2561" spans="1:4" x14ac:dyDescent="0.15">
      <c r="A2561" s="7">
        <v>2555</v>
      </c>
      <c r="B2561" s="7">
        <v>1</v>
      </c>
      <c r="C2561">
        <f t="shared" si="81"/>
        <v>8.8678581416840763E-2</v>
      </c>
      <c r="D2561">
        <f t="shared" si="82"/>
        <v>-2.4227368910146492</v>
      </c>
    </row>
    <row r="2562" spans="1:4" x14ac:dyDescent="0.15">
      <c r="A2562" s="7">
        <v>2556</v>
      </c>
      <c r="B2562" s="7">
        <v>1</v>
      </c>
      <c r="C2562">
        <f t="shared" si="81"/>
        <v>8.8678581416840763E-2</v>
      </c>
      <c r="D2562">
        <f t="shared" si="82"/>
        <v>-2.4227368910146492</v>
      </c>
    </row>
    <row r="2563" spans="1:4" x14ac:dyDescent="0.15">
      <c r="A2563" s="7">
        <v>2557</v>
      </c>
      <c r="B2563" s="7">
        <v>0</v>
      </c>
      <c r="C2563">
        <f t="shared" si="81"/>
        <v>0.75586055390364359</v>
      </c>
      <c r="D2563">
        <f t="shared" si="82"/>
        <v>-0.27989837232446807</v>
      </c>
    </row>
    <row r="2564" spans="1:4" x14ac:dyDescent="0.15">
      <c r="A2564" s="7">
        <v>2558</v>
      </c>
      <c r="B2564" s="7">
        <v>0</v>
      </c>
      <c r="C2564">
        <f t="shared" si="81"/>
        <v>0.75586055390364359</v>
      </c>
      <c r="D2564">
        <f t="shared" si="82"/>
        <v>-0.27989837232446807</v>
      </c>
    </row>
    <row r="2565" spans="1:4" x14ac:dyDescent="0.15">
      <c r="A2565" s="7">
        <v>2559</v>
      </c>
      <c r="B2565" s="7">
        <v>0</v>
      </c>
      <c r="C2565">
        <f t="shared" si="81"/>
        <v>0.75586055390364359</v>
      </c>
      <c r="D2565">
        <f t="shared" si="82"/>
        <v>-0.27989837232446807</v>
      </c>
    </row>
    <row r="2566" spans="1:4" x14ac:dyDescent="0.15">
      <c r="A2566" s="7">
        <v>2560</v>
      </c>
      <c r="B2566" s="7">
        <v>0</v>
      </c>
      <c r="C2566">
        <f t="shared" si="81"/>
        <v>0.75586055390364359</v>
      </c>
      <c r="D2566">
        <f t="shared" si="82"/>
        <v>-0.27989837232446807</v>
      </c>
    </row>
    <row r="2567" spans="1:4" x14ac:dyDescent="0.15">
      <c r="A2567" s="7">
        <v>2561</v>
      </c>
      <c r="B2567" s="7">
        <v>0</v>
      </c>
      <c r="C2567">
        <f t="shared" si="81"/>
        <v>0.75586055390364359</v>
      </c>
      <c r="D2567">
        <f t="shared" si="82"/>
        <v>-0.27989837232446807</v>
      </c>
    </row>
    <row r="2568" spans="1:4" x14ac:dyDescent="0.15">
      <c r="A2568" s="7">
        <v>2562</v>
      </c>
      <c r="B2568" s="7">
        <v>0</v>
      </c>
      <c r="C2568">
        <f t="shared" ref="C2568:C2631" si="83">(_xlfn.GAMMA($B$1+B2568)/(_xlfn.GAMMA($B$1)*FACT(B2568))) * ($B$2/($B$2+$B$4))^$B$1 * (1/($B$2 +$B$4))^B2568</f>
        <v>0.75586055390364359</v>
      </c>
      <c r="D2568">
        <f t="shared" ref="D2568:D2631" si="84">LN(C2568)</f>
        <v>-0.27989837232446807</v>
      </c>
    </row>
    <row r="2569" spans="1:4" x14ac:dyDescent="0.15">
      <c r="A2569" s="7">
        <v>2563</v>
      </c>
      <c r="B2569" s="7">
        <v>0</v>
      </c>
      <c r="C2569">
        <f t="shared" si="83"/>
        <v>0.75586055390364359</v>
      </c>
      <c r="D2569">
        <f t="shared" si="84"/>
        <v>-0.27989837232446807</v>
      </c>
    </row>
    <row r="2570" spans="1:4" x14ac:dyDescent="0.15">
      <c r="A2570" s="7">
        <v>2564</v>
      </c>
      <c r="B2570" s="7">
        <v>0</v>
      </c>
      <c r="C2570">
        <f t="shared" si="83"/>
        <v>0.75586055390364359</v>
      </c>
      <c r="D2570">
        <f t="shared" si="84"/>
        <v>-0.27989837232446807</v>
      </c>
    </row>
    <row r="2571" spans="1:4" x14ac:dyDescent="0.15">
      <c r="A2571" s="7">
        <v>2565</v>
      </c>
      <c r="B2571" s="7">
        <v>0</v>
      </c>
      <c r="C2571">
        <f t="shared" si="83"/>
        <v>0.75586055390364359</v>
      </c>
      <c r="D2571">
        <f t="shared" si="84"/>
        <v>-0.27989837232446807</v>
      </c>
    </row>
    <row r="2572" spans="1:4" x14ac:dyDescent="0.15">
      <c r="A2572" s="7">
        <v>2566</v>
      </c>
      <c r="B2572" s="7">
        <v>3</v>
      </c>
      <c r="C2572">
        <f t="shared" si="83"/>
        <v>2.7467996558433502E-2</v>
      </c>
      <c r="D2572">
        <f t="shared" si="84"/>
        <v>-3.594733713517384</v>
      </c>
    </row>
    <row r="2573" spans="1:4" x14ac:dyDescent="0.15">
      <c r="A2573" s="7">
        <v>2567</v>
      </c>
      <c r="B2573" s="7">
        <v>0</v>
      </c>
      <c r="C2573">
        <f t="shared" si="83"/>
        <v>0.75586055390364359</v>
      </c>
      <c r="D2573">
        <f t="shared" si="84"/>
        <v>-0.27989837232446807</v>
      </c>
    </row>
    <row r="2574" spans="1:4" x14ac:dyDescent="0.15">
      <c r="A2574" s="7">
        <v>2568</v>
      </c>
      <c r="B2574" s="7">
        <v>0</v>
      </c>
      <c r="C2574">
        <f t="shared" si="83"/>
        <v>0.75586055390364359</v>
      </c>
      <c r="D2574">
        <f t="shared" si="84"/>
        <v>-0.27989837232446807</v>
      </c>
    </row>
    <row r="2575" spans="1:4" x14ac:dyDescent="0.15">
      <c r="A2575" s="7">
        <v>2569</v>
      </c>
      <c r="B2575" s="7">
        <v>0</v>
      </c>
      <c r="C2575">
        <f t="shared" si="83"/>
        <v>0.75586055390364359</v>
      </c>
      <c r="D2575">
        <f t="shared" si="84"/>
        <v>-0.27989837232446807</v>
      </c>
    </row>
    <row r="2576" spans="1:4" x14ac:dyDescent="0.15">
      <c r="A2576" s="7">
        <v>2570</v>
      </c>
      <c r="B2576" s="7">
        <v>0</v>
      </c>
      <c r="C2576">
        <f t="shared" si="83"/>
        <v>0.75586055390364359</v>
      </c>
      <c r="D2576">
        <f t="shared" si="84"/>
        <v>-0.27989837232446807</v>
      </c>
    </row>
    <row r="2577" spans="1:4" x14ac:dyDescent="0.15">
      <c r="A2577" s="7">
        <v>2571</v>
      </c>
      <c r="B2577" s="7">
        <v>1</v>
      </c>
      <c r="C2577">
        <f t="shared" si="83"/>
        <v>8.8678581416840763E-2</v>
      </c>
      <c r="D2577">
        <f t="shared" si="84"/>
        <v>-2.4227368910146492</v>
      </c>
    </row>
    <row r="2578" spans="1:4" x14ac:dyDescent="0.15">
      <c r="A2578" s="7">
        <v>2572</v>
      </c>
      <c r="B2578" s="7">
        <v>3</v>
      </c>
      <c r="C2578">
        <f t="shared" si="83"/>
        <v>2.7467996558433502E-2</v>
      </c>
      <c r="D2578">
        <f t="shared" si="84"/>
        <v>-3.594733713517384</v>
      </c>
    </row>
    <row r="2579" spans="1:4" x14ac:dyDescent="0.15">
      <c r="A2579" s="7">
        <v>2573</v>
      </c>
      <c r="B2579" s="7">
        <v>0</v>
      </c>
      <c r="C2579">
        <f t="shared" si="83"/>
        <v>0.75586055390364359</v>
      </c>
      <c r="D2579">
        <f t="shared" si="84"/>
        <v>-0.27989837232446807</v>
      </c>
    </row>
    <row r="2580" spans="1:4" x14ac:dyDescent="0.15">
      <c r="A2580" s="7">
        <v>2574</v>
      </c>
      <c r="B2580" s="7">
        <v>0</v>
      </c>
      <c r="C2580">
        <f t="shared" si="83"/>
        <v>0.75586055390364359</v>
      </c>
      <c r="D2580">
        <f t="shared" si="84"/>
        <v>-0.27989837232446807</v>
      </c>
    </row>
    <row r="2581" spans="1:4" x14ac:dyDescent="0.15">
      <c r="A2581" s="7">
        <v>2575</v>
      </c>
      <c r="B2581" s="7">
        <v>0</v>
      </c>
      <c r="C2581">
        <f t="shared" si="83"/>
        <v>0.75586055390364359</v>
      </c>
      <c r="D2581">
        <f t="shared" si="84"/>
        <v>-0.27989837232446807</v>
      </c>
    </row>
    <row r="2582" spans="1:4" x14ac:dyDescent="0.15">
      <c r="A2582" s="7">
        <v>2576</v>
      </c>
      <c r="B2582" s="7">
        <v>0</v>
      </c>
      <c r="C2582">
        <f t="shared" si="83"/>
        <v>0.75586055390364359</v>
      </c>
      <c r="D2582">
        <f t="shared" si="84"/>
        <v>-0.27989837232446807</v>
      </c>
    </row>
    <row r="2583" spans="1:4" x14ac:dyDescent="0.15">
      <c r="A2583" s="7">
        <v>2577</v>
      </c>
      <c r="B2583" s="7">
        <v>1</v>
      </c>
      <c r="C2583">
        <f t="shared" si="83"/>
        <v>8.8678581416840763E-2</v>
      </c>
      <c r="D2583">
        <f t="shared" si="84"/>
        <v>-2.4227368910146492</v>
      </c>
    </row>
    <row r="2584" spans="1:4" x14ac:dyDescent="0.15">
      <c r="A2584" s="7">
        <v>2578</v>
      </c>
      <c r="B2584" s="7">
        <v>0</v>
      </c>
      <c r="C2584">
        <f t="shared" si="83"/>
        <v>0.75586055390364359</v>
      </c>
      <c r="D2584">
        <f t="shared" si="84"/>
        <v>-0.27989837232446807</v>
      </c>
    </row>
    <row r="2585" spans="1:4" x14ac:dyDescent="0.15">
      <c r="A2585" s="7">
        <v>2579</v>
      </c>
      <c r="B2585" s="7">
        <v>0</v>
      </c>
      <c r="C2585">
        <f t="shared" si="83"/>
        <v>0.75586055390364359</v>
      </c>
      <c r="D2585">
        <f t="shared" si="84"/>
        <v>-0.27989837232446807</v>
      </c>
    </row>
    <row r="2586" spans="1:4" x14ac:dyDescent="0.15">
      <c r="A2586" s="7">
        <v>2580</v>
      </c>
      <c r="B2586" s="7">
        <v>0</v>
      </c>
      <c r="C2586">
        <f t="shared" si="83"/>
        <v>0.75586055390364359</v>
      </c>
      <c r="D2586">
        <f t="shared" si="84"/>
        <v>-0.27989837232446807</v>
      </c>
    </row>
    <row r="2587" spans="1:4" x14ac:dyDescent="0.15">
      <c r="A2587" s="7">
        <v>2581</v>
      </c>
      <c r="B2587" s="7">
        <v>0</v>
      </c>
      <c r="C2587">
        <f t="shared" si="83"/>
        <v>0.75586055390364359</v>
      </c>
      <c r="D2587">
        <f t="shared" si="84"/>
        <v>-0.27989837232446807</v>
      </c>
    </row>
    <row r="2588" spans="1:4" x14ac:dyDescent="0.15">
      <c r="A2588" s="7">
        <v>2582</v>
      </c>
      <c r="B2588" s="7">
        <v>0</v>
      </c>
      <c r="C2588">
        <f t="shared" si="83"/>
        <v>0.75586055390364359</v>
      </c>
      <c r="D2588">
        <f t="shared" si="84"/>
        <v>-0.27989837232446807</v>
      </c>
    </row>
    <row r="2589" spans="1:4" x14ac:dyDescent="0.15">
      <c r="A2589" s="7">
        <v>2583</v>
      </c>
      <c r="B2589" s="7">
        <v>4</v>
      </c>
      <c r="C2589">
        <f t="shared" si="83"/>
        <v>1.8860933071470173E-2</v>
      </c>
      <c r="D2589">
        <f t="shared" si="84"/>
        <v>-3.9706625294337847</v>
      </c>
    </row>
    <row r="2590" spans="1:4" x14ac:dyDescent="0.15">
      <c r="A2590" s="7">
        <v>2584</v>
      </c>
      <c r="B2590" s="7">
        <v>0</v>
      </c>
      <c r="C2590">
        <f t="shared" si="83"/>
        <v>0.75586055390364359</v>
      </c>
      <c r="D2590">
        <f t="shared" si="84"/>
        <v>-0.27989837232446807</v>
      </c>
    </row>
    <row r="2591" spans="1:4" x14ac:dyDescent="0.15">
      <c r="A2591" s="7">
        <v>2585</v>
      </c>
      <c r="B2591" s="7">
        <v>0</v>
      </c>
      <c r="C2591">
        <f t="shared" si="83"/>
        <v>0.75586055390364359</v>
      </c>
      <c r="D2591">
        <f t="shared" si="84"/>
        <v>-0.27989837232446807</v>
      </c>
    </row>
    <row r="2592" spans="1:4" x14ac:dyDescent="0.15">
      <c r="A2592" s="7">
        <v>2586</v>
      </c>
      <c r="B2592" s="7">
        <v>0</v>
      </c>
      <c r="C2592">
        <f t="shared" si="83"/>
        <v>0.75586055390364359</v>
      </c>
      <c r="D2592">
        <f t="shared" si="84"/>
        <v>-0.27989837232446807</v>
      </c>
    </row>
    <row r="2593" spans="1:4" x14ac:dyDescent="0.15">
      <c r="A2593" s="7">
        <v>2587</v>
      </c>
      <c r="B2593" s="7">
        <v>0</v>
      </c>
      <c r="C2593">
        <f t="shared" si="83"/>
        <v>0.75586055390364359</v>
      </c>
      <c r="D2593">
        <f t="shared" si="84"/>
        <v>-0.27989837232446807</v>
      </c>
    </row>
    <row r="2594" spans="1:4" x14ac:dyDescent="0.15">
      <c r="A2594" s="7">
        <v>2588</v>
      </c>
      <c r="B2594" s="7">
        <v>1</v>
      </c>
      <c r="C2594">
        <f t="shared" si="83"/>
        <v>8.8678581416840763E-2</v>
      </c>
      <c r="D2594">
        <f t="shared" si="84"/>
        <v>-2.4227368910146492</v>
      </c>
    </row>
    <row r="2595" spans="1:4" x14ac:dyDescent="0.15">
      <c r="A2595" s="7">
        <v>2589</v>
      </c>
      <c r="B2595" s="7">
        <v>0</v>
      </c>
      <c r="C2595">
        <f t="shared" si="83"/>
        <v>0.75586055390364359</v>
      </c>
      <c r="D2595">
        <f t="shared" si="84"/>
        <v>-0.27989837232446807</v>
      </c>
    </row>
    <row r="2596" spans="1:4" x14ac:dyDescent="0.15">
      <c r="A2596" s="7">
        <v>2590</v>
      </c>
      <c r="B2596" s="7">
        <v>0</v>
      </c>
      <c r="C2596">
        <f t="shared" si="83"/>
        <v>0.75586055390364359</v>
      </c>
      <c r="D2596">
        <f t="shared" si="84"/>
        <v>-0.27989837232446807</v>
      </c>
    </row>
    <row r="2597" spans="1:4" x14ac:dyDescent="0.15">
      <c r="A2597" s="7">
        <v>2591</v>
      </c>
      <c r="B2597" s="7">
        <v>0</v>
      </c>
      <c r="C2597">
        <f t="shared" si="83"/>
        <v>0.75586055390364359</v>
      </c>
      <c r="D2597">
        <f t="shared" si="84"/>
        <v>-0.27989837232446807</v>
      </c>
    </row>
    <row r="2598" spans="1:4" x14ac:dyDescent="0.15">
      <c r="A2598" s="7">
        <v>2592</v>
      </c>
      <c r="B2598" s="7">
        <v>0</v>
      </c>
      <c r="C2598">
        <f t="shared" si="83"/>
        <v>0.75586055390364359</v>
      </c>
      <c r="D2598">
        <f t="shared" si="84"/>
        <v>-0.27989837232446807</v>
      </c>
    </row>
    <row r="2599" spans="1:4" x14ac:dyDescent="0.15">
      <c r="A2599" s="7">
        <v>2593</v>
      </c>
      <c r="B2599" s="7">
        <v>0</v>
      </c>
      <c r="C2599">
        <f t="shared" si="83"/>
        <v>0.75586055390364359</v>
      </c>
      <c r="D2599">
        <f t="shared" si="84"/>
        <v>-0.27989837232446807</v>
      </c>
    </row>
    <row r="2600" spans="1:4" x14ac:dyDescent="0.15">
      <c r="A2600" s="7">
        <v>2594</v>
      </c>
      <c r="B2600" s="7">
        <v>0</v>
      </c>
      <c r="C2600">
        <f t="shared" si="83"/>
        <v>0.75586055390364359</v>
      </c>
      <c r="D2600">
        <f t="shared" si="84"/>
        <v>-0.27989837232446807</v>
      </c>
    </row>
    <row r="2601" spans="1:4" x14ac:dyDescent="0.15">
      <c r="A2601" s="7">
        <v>2595</v>
      </c>
      <c r="B2601" s="7">
        <v>0</v>
      </c>
      <c r="C2601">
        <f t="shared" si="83"/>
        <v>0.75586055390364359</v>
      </c>
      <c r="D2601">
        <f t="shared" si="84"/>
        <v>-0.27989837232446807</v>
      </c>
    </row>
    <row r="2602" spans="1:4" x14ac:dyDescent="0.15">
      <c r="A2602" s="7">
        <v>2596</v>
      </c>
      <c r="B2602" s="7">
        <v>1</v>
      </c>
      <c r="C2602">
        <f t="shared" si="83"/>
        <v>8.8678581416840763E-2</v>
      </c>
      <c r="D2602">
        <f t="shared" si="84"/>
        <v>-2.4227368910146492</v>
      </c>
    </row>
    <row r="2603" spans="1:4" x14ac:dyDescent="0.15">
      <c r="A2603" s="7">
        <v>2597</v>
      </c>
      <c r="B2603" s="7">
        <v>0</v>
      </c>
      <c r="C2603">
        <f t="shared" si="83"/>
        <v>0.75586055390364359</v>
      </c>
      <c r="D2603">
        <f t="shared" si="84"/>
        <v>-0.27989837232446807</v>
      </c>
    </row>
    <row r="2604" spans="1:4" x14ac:dyDescent="0.15">
      <c r="A2604" s="7">
        <v>2598</v>
      </c>
      <c r="B2604" s="7">
        <v>0</v>
      </c>
      <c r="C2604">
        <f t="shared" si="83"/>
        <v>0.75586055390364359</v>
      </c>
      <c r="D2604">
        <f t="shared" si="84"/>
        <v>-0.27989837232446807</v>
      </c>
    </row>
    <row r="2605" spans="1:4" x14ac:dyDescent="0.15">
      <c r="A2605" s="7">
        <v>2599</v>
      </c>
      <c r="B2605" s="7">
        <v>0</v>
      </c>
      <c r="C2605">
        <f t="shared" si="83"/>
        <v>0.75586055390364359</v>
      </c>
      <c r="D2605">
        <f t="shared" si="84"/>
        <v>-0.27989837232446807</v>
      </c>
    </row>
    <row r="2606" spans="1:4" x14ac:dyDescent="0.15">
      <c r="A2606" s="7">
        <v>2600</v>
      </c>
      <c r="B2606" s="7">
        <v>0</v>
      </c>
      <c r="C2606">
        <f t="shared" si="83"/>
        <v>0.75586055390364359</v>
      </c>
      <c r="D2606">
        <f t="shared" si="84"/>
        <v>-0.27989837232446807</v>
      </c>
    </row>
    <row r="2607" spans="1:4" x14ac:dyDescent="0.15">
      <c r="A2607" s="7">
        <v>2601</v>
      </c>
      <c r="B2607" s="7">
        <v>0</v>
      </c>
      <c r="C2607">
        <f t="shared" si="83"/>
        <v>0.75586055390364359</v>
      </c>
      <c r="D2607">
        <f t="shared" si="84"/>
        <v>-0.27989837232446807</v>
      </c>
    </row>
    <row r="2608" spans="1:4" x14ac:dyDescent="0.15">
      <c r="A2608" s="7">
        <v>2602</v>
      </c>
      <c r="B2608" s="7">
        <v>0</v>
      </c>
      <c r="C2608">
        <f t="shared" si="83"/>
        <v>0.75586055390364359</v>
      </c>
      <c r="D2608">
        <f t="shared" si="84"/>
        <v>-0.27989837232446807</v>
      </c>
    </row>
    <row r="2609" spans="1:4" x14ac:dyDescent="0.15">
      <c r="A2609" s="7">
        <v>2603</v>
      </c>
      <c r="B2609" s="7">
        <v>0</v>
      </c>
      <c r="C2609">
        <f t="shared" si="83"/>
        <v>0.75586055390364359</v>
      </c>
      <c r="D2609">
        <f t="shared" si="84"/>
        <v>-0.27989837232446807</v>
      </c>
    </row>
    <row r="2610" spans="1:4" x14ac:dyDescent="0.15">
      <c r="A2610" s="7">
        <v>2604</v>
      </c>
      <c r="B2610" s="7">
        <v>1</v>
      </c>
      <c r="C2610">
        <f t="shared" si="83"/>
        <v>8.8678581416840763E-2</v>
      </c>
      <c r="D2610">
        <f t="shared" si="84"/>
        <v>-2.4227368910146492</v>
      </c>
    </row>
    <row r="2611" spans="1:4" x14ac:dyDescent="0.15">
      <c r="A2611" s="7">
        <v>2605</v>
      </c>
      <c r="B2611" s="7">
        <v>0</v>
      </c>
      <c r="C2611">
        <f t="shared" si="83"/>
        <v>0.75586055390364359</v>
      </c>
      <c r="D2611">
        <f t="shared" si="84"/>
        <v>-0.27989837232446807</v>
      </c>
    </row>
    <row r="2612" spans="1:4" x14ac:dyDescent="0.15">
      <c r="A2612" s="7">
        <v>2606</v>
      </c>
      <c r="B2612" s="7">
        <v>0</v>
      </c>
      <c r="C2612">
        <f t="shared" si="83"/>
        <v>0.75586055390364359</v>
      </c>
      <c r="D2612">
        <f t="shared" si="84"/>
        <v>-0.27989837232446807</v>
      </c>
    </row>
    <row r="2613" spans="1:4" x14ac:dyDescent="0.15">
      <c r="A2613" s="7">
        <v>2607</v>
      </c>
      <c r="B2613" s="7">
        <v>0</v>
      </c>
      <c r="C2613">
        <f t="shared" si="83"/>
        <v>0.75586055390364359</v>
      </c>
      <c r="D2613">
        <f t="shared" si="84"/>
        <v>-0.27989837232446807</v>
      </c>
    </row>
    <row r="2614" spans="1:4" x14ac:dyDescent="0.15">
      <c r="A2614" s="7">
        <v>2608</v>
      </c>
      <c r="B2614" s="7">
        <v>0</v>
      </c>
      <c r="C2614">
        <f t="shared" si="83"/>
        <v>0.75586055390364359</v>
      </c>
      <c r="D2614">
        <f t="shared" si="84"/>
        <v>-0.27989837232446807</v>
      </c>
    </row>
    <row r="2615" spans="1:4" x14ac:dyDescent="0.15">
      <c r="A2615" s="7">
        <v>2609</v>
      </c>
      <c r="B2615" s="7">
        <v>0</v>
      </c>
      <c r="C2615">
        <f t="shared" si="83"/>
        <v>0.75586055390364359</v>
      </c>
      <c r="D2615">
        <f t="shared" si="84"/>
        <v>-0.27989837232446807</v>
      </c>
    </row>
    <row r="2616" spans="1:4" x14ac:dyDescent="0.15">
      <c r="A2616" s="7">
        <v>2610</v>
      </c>
      <c r="B2616" s="7">
        <v>0</v>
      </c>
      <c r="C2616">
        <f t="shared" si="83"/>
        <v>0.75586055390364359</v>
      </c>
      <c r="D2616">
        <f t="shared" si="84"/>
        <v>-0.27989837232446807</v>
      </c>
    </row>
    <row r="2617" spans="1:4" x14ac:dyDescent="0.15">
      <c r="A2617" s="7">
        <v>2611</v>
      </c>
      <c r="B2617" s="7">
        <v>0</v>
      </c>
      <c r="C2617">
        <f t="shared" si="83"/>
        <v>0.75586055390364359</v>
      </c>
      <c r="D2617">
        <f t="shared" si="84"/>
        <v>-0.27989837232446807</v>
      </c>
    </row>
    <row r="2618" spans="1:4" x14ac:dyDescent="0.15">
      <c r="A2618" s="7">
        <v>2612</v>
      </c>
      <c r="B2618" s="7">
        <v>0</v>
      </c>
      <c r="C2618">
        <f t="shared" si="83"/>
        <v>0.75586055390364359</v>
      </c>
      <c r="D2618">
        <f t="shared" si="84"/>
        <v>-0.27989837232446807</v>
      </c>
    </row>
    <row r="2619" spans="1:4" x14ac:dyDescent="0.15">
      <c r="A2619" s="7">
        <v>2613</v>
      </c>
      <c r="B2619" s="7">
        <v>0</v>
      </c>
      <c r="C2619">
        <f t="shared" si="83"/>
        <v>0.75586055390364359</v>
      </c>
      <c r="D2619">
        <f t="shared" si="84"/>
        <v>-0.27989837232446807</v>
      </c>
    </row>
    <row r="2620" spans="1:4" x14ac:dyDescent="0.15">
      <c r="A2620" s="7">
        <v>2614</v>
      </c>
      <c r="B2620" s="7">
        <v>0</v>
      </c>
      <c r="C2620">
        <f t="shared" si="83"/>
        <v>0.75586055390364359</v>
      </c>
      <c r="D2620">
        <f t="shared" si="84"/>
        <v>-0.27989837232446807</v>
      </c>
    </row>
    <row r="2621" spans="1:4" x14ac:dyDescent="0.15">
      <c r="A2621" s="7">
        <v>2615</v>
      </c>
      <c r="B2621" s="7">
        <v>0</v>
      </c>
      <c r="C2621">
        <f t="shared" si="83"/>
        <v>0.75586055390364359</v>
      </c>
      <c r="D2621">
        <f t="shared" si="84"/>
        <v>-0.27989837232446807</v>
      </c>
    </row>
    <row r="2622" spans="1:4" x14ac:dyDescent="0.15">
      <c r="A2622" s="7">
        <v>2616</v>
      </c>
      <c r="B2622" s="7">
        <v>1</v>
      </c>
      <c r="C2622">
        <f t="shared" si="83"/>
        <v>8.8678581416840763E-2</v>
      </c>
      <c r="D2622">
        <f t="shared" si="84"/>
        <v>-2.4227368910146492</v>
      </c>
    </row>
    <row r="2623" spans="1:4" x14ac:dyDescent="0.15">
      <c r="A2623" s="7">
        <v>2617</v>
      </c>
      <c r="B2623" s="7">
        <v>0</v>
      </c>
      <c r="C2623">
        <f t="shared" si="83"/>
        <v>0.75586055390364359</v>
      </c>
      <c r="D2623">
        <f t="shared" si="84"/>
        <v>-0.27989837232446807</v>
      </c>
    </row>
    <row r="2624" spans="1:4" x14ac:dyDescent="0.15">
      <c r="A2624" s="7">
        <v>2618</v>
      </c>
      <c r="B2624" s="7">
        <v>0</v>
      </c>
      <c r="C2624">
        <f t="shared" si="83"/>
        <v>0.75586055390364359</v>
      </c>
      <c r="D2624">
        <f t="shared" si="84"/>
        <v>-0.27989837232446807</v>
      </c>
    </row>
    <row r="2625" spans="1:4" x14ac:dyDescent="0.15">
      <c r="A2625" s="7">
        <v>2619</v>
      </c>
      <c r="B2625" s="7">
        <v>0</v>
      </c>
      <c r="C2625">
        <f t="shared" si="83"/>
        <v>0.75586055390364359</v>
      </c>
      <c r="D2625">
        <f t="shared" si="84"/>
        <v>-0.27989837232446807</v>
      </c>
    </row>
    <row r="2626" spans="1:4" x14ac:dyDescent="0.15">
      <c r="A2626" s="7">
        <v>2620</v>
      </c>
      <c r="B2626" s="7">
        <v>0</v>
      </c>
      <c r="C2626">
        <f t="shared" si="83"/>
        <v>0.75586055390364359</v>
      </c>
      <c r="D2626">
        <f t="shared" si="84"/>
        <v>-0.27989837232446807</v>
      </c>
    </row>
    <row r="2627" spans="1:4" x14ac:dyDescent="0.15">
      <c r="A2627" s="7">
        <v>2621</v>
      </c>
      <c r="B2627" s="7">
        <v>0</v>
      </c>
      <c r="C2627">
        <f t="shared" si="83"/>
        <v>0.75586055390364359</v>
      </c>
      <c r="D2627">
        <f t="shared" si="84"/>
        <v>-0.27989837232446807</v>
      </c>
    </row>
    <row r="2628" spans="1:4" x14ac:dyDescent="0.15">
      <c r="A2628" s="7">
        <v>2622</v>
      </c>
      <c r="B2628" s="7">
        <v>0</v>
      </c>
      <c r="C2628">
        <f t="shared" si="83"/>
        <v>0.75586055390364359</v>
      </c>
      <c r="D2628">
        <f t="shared" si="84"/>
        <v>-0.27989837232446807</v>
      </c>
    </row>
    <row r="2629" spans="1:4" x14ac:dyDescent="0.15">
      <c r="A2629" s="7">
        <v>2623</v>
      </c>
      <c r="B2629" s="7">
        <v>0</v>
      </c>
      <c r="C2629">
        <f t="shared" si="83"/>
        <v>0.75586055390364359</v>
      </c>
      <c r="D2629">
        <f t="shared" si="84"/>
        <v>-0.27989837232446807</v>
      </c>
    </row>
    <row r="2630" spans="1:4" x14ac:dyDescent="0.15">
      <c r="A2630" s="7">
        <v>2624</v>
      </c>
      <c r="B2630" s="7">
        <v>4</v>
      </c>
      <c r="C2630">
        <f t="shared" si="83"/>
        <v>1.8860933071470173E-2</v>
      </c>
      <c r="D2630">
        <f t="shared" si="84"/>
        <v>-3.9706625294337847</v>
      </c>
    </row>
    <row r="2631" spans="1:4" x14ac:dyDescent="0.15">
      <c r="A2631" s="7">
        <v>2625</v>
      </c>
      <c r="B2631" s="7">
        <v>0</v>
      </c>
      <c r="C2631">
        <f t="shared" si="83"/>
        <v>0.75586055390364359</v>
      </c>
      <c r="D2631">
        <f t="shared" si="84"/>
        <v>-0.27989837232446807</v>
      </c>
    </row>
    <row r="2632" spans="1:4" x14ac:dyDescent="0.15">
      <c r="A2632" s="7">
        <v>2626</v>
      </c>
      <c r="B2632" s="7">
        <v>0</v>
      </c>
      <c r="C2632">
        <f t="shared" ref="C2632:C2695" si="85">(_xlfn.GAMMA($B$1+B2632)/(_xlfn.GAMMA($B$1)*FACT(B2632))) * ($B$2/($B$2+$B$4))^$B$1 * (1/($B$2 +$B$4))^B2632</f>
        <v>0.75586055390364359</v>
      </c>
      <c r="D2632">
        <f t="shared" ref="D2632:D2695" si="86">LN(C2632)</f>
        <v>-0.27989837232446807</v>
      </c>
    </row>
    <row r="2633" spans="1:4" x14ac:dyDescent="0.15">
      <c r="A2633" s="7">
        <v>2627</v>
      </c>
      <c r="B2633" s="7">
        <v>0</v>
      </c>
      <c r="C2633">
        <f t="shared" si="85"/>
        <v>0.75586055390364359</v>
      </c>
      <c r="D2633">
        <f t="shared" si="86"/>
        <v>-0.27989837232446807</v>
      </c>
    </row>
    <row r="2634" spans="1:4" x14ac:dyDescent="0.15">
      <c r="A2634" s="7">
        <v>2628</v>
      </c>
      <c r="B2634" s="7">
        <v>0</v>
      </c>
      <c r="C2634">
        <f t="shared" si="85"/>
        <v>0.75586055390364359</v>
      </c>
      <c r="D2634">
        <f t="shared" si="86"/>
        <v>-0.27989837232446807</v>
      </c>
    </row>
    <row r="2635" spans="1:4" x14ac:dyDescent="0.15">
      <c r="A2635" s="7">
        <v>2629</v>
      </c>
      <c r="B2635" s="7">
        <v>0</v>
      </c>
      <c r="C2635">
        <f t="shared" si="85"/>
        <v>0.75586055390364359</v>
      </c>
      <c r="D2635">
        <f t="shared" si="86"/>
        <v>-0.27989837232446807</v>
      </c>
    </row>
    <row r="2636" spans="1:4" x14ac:dyDescent="0.15">
      <c r="A2636" s="7">
        <v>2630</v>
      </c>
      <c r="B2636" s="7">
        <v>3</v>
      </c>
      <c r="C2636">
        <f t="shared" si="85"/>
        <v>2.7467996558433502E-2</v>
      </c>
      <c r="D2636">
        <f t="shared" si="86"/>
        <v>-3.594733713517384</v>
      </c>
    </row>
    <row r="2637" spans="1:4" x14ac:dyDescent="0.15">
      <c r="A2637" s="7">
        <v>2631</v>
      </c>
      <c r="B2637" s="7">
        <v>0</v>
      </c>
      <c r="C2637">
        <f t="shared" si="85"/>
        <v>0.75586055390364359</v>
      </c>
      <c r="D2637">
        <f t="shared" si="86"/>
        <v>-0.27989837232446807</v>
      </c>
    </row>
    <row r="2638" spans="1:4" x14ac:dyDescent="0.15">
      <c r="A2638" s="7">
        <v>2632</v>
      </c>
      <c r="B2638" s="7">
        <v>1</v>
      </c>
      <c r="C2638">
        <f t="shared" si="85"/>
        <v>8.8678581416840763E-2</v>
      </c>
      <c r="D2638">
        <f t="shared" si="86"/>
        <v>-2.4227368910146492</v>
      </c>
    </row>
    <row r="2639" spans="1:4" x14ac:dyDescent="0.15">
      <c r="A2639" s="7">
        <v>2633</v>
      </c>
      <c r="B2639" s="7">
        <v>1</v>
      </c>
      <c r="C2639">
        <f t="shared" si="85"/>
        <v>8.8678581416840763E-2</v>
      </c>
      <c r="D2639">
        <f t="shared" si="86"/>
        <v>-2.4227368910146492</v>
      </c>
    </row>
    <row r="2640" spans="1:4" x14ac:dyDescent="0.15">
      <c r="A2640" s="7">
        <v>2634</v>
      </c>
      <c r="B2640" s="7">
        <v>0</v>
      </c>
      <c r="C2640">
        <f t="shared" si="85"/>
        <v>0.75586055390364359</v>
      </c>
      <c r="D2640">
        <f t="shared" si="86"/>
        <v>-0.27989837232446807</v>
      </c>
    </row>
    <row r="2641" spans="1:4" x14ac:dyDescent="0.15">
      <c r="A2641" s="7">
        <v>2635</v>
      </c>
      <c r="B2641" s="7">
        <v>0</v>
      </c>
      <c r="C2641">
        <f t="shared" si="85"/>
        <v>0.75586055390364359</v>
      </c>
      <c r="D2641">
        <f t="shared" si="86"/>
        <v>-0.27989837232446807</v>
      </c>
    </row>
    <row r="2642" spans="1:4" x14ac:dyDescent="0.15">
      <c r="A2642" s="7">
        <v>2636</v>
      </c>
      <c r="B2642" s="7">
        <v>0</v>
      </c>
      <c r="C2642">
        <f t="shared" si="85"/>
        <v>0.75586055390364359</v>
      </c>
      <c r="D2642">
        <f t="shared" si="86"/>
        <v>-0.27989837232446807</v>
      </c>
    </row>
    <row r="2643" spans="1:4" x14ac:dyDescent="0.15">
      <c r="A2643" s="7">
        <v>2637</v>
      </c>
      <c r="B2643" s="7">
        <v>0</v>
      </c>
      <c r="C2643">
        <f t="shared" si="85"/>
        <v>0.75586055390364359</v>
      </c>
      <c r="D2643">
        <f t="shared" si="86"/>
        <v>-0.27989837232446807</v>
      </c>
    </row>
    <row r="2644" spans="1:4" x14ac:dyDescent="0.15">
      <c r="A2644" s="7">
        <v>2638</v>
      </c>
      <c r="B2644" s="7">
        <v>0</v>
      </c>
      <c r="C2644">
        <f t="shared" si="85"/>
        <v>0.75586055390364359</v>
      </c>
      <c r="D2644">
        <f t="shared" si="86"/>
        <v>-0.27989837232446807</v>
      </c>
    </row>
    <row r="2645" spans="1:4" x14ac:dyDescent="0.15">
      <c r="A2645" s="7">
        <v>2639</v>
      </c>
      <c r="B2645" s="7">
        <v>0</v>
      </c>
      <c r="C2645">
        <f t="shared" si="85"/>
        <v>0.75586055390364359</v>
      </c>
      <c r="D2645">
        <f t="shared" si="86"/>
        <v>-0.27989837232446807</v>
      </c>
    </row>
    <row r="2646" spans="1:4" x14ac:dyDescent="0.15">
      <c r="A2646" s="7">
        <v>2640</v>
      </c>
      <c r="B2646" s="7">
        <v>0</v>
      </c>
      <c r="C2646">
        <f t="shared" si="85"/>
        <v>0.75586055390364359</v>
      </c>
      <c r="D2646">
        <f t="shared" si="86"/>
        <v>-0.27989837232446807</v>
      </c>
    </row>
    <row r="2647" spans="1:4" x14ac:dyDescent="0.15">
      <c r="A2647" s="7">
        <v>2641</v>
      </c>
      <c r="B2647" s="7">
        <v>0</v>
      </c>
      <c r="C2647">
        <f t="shared" si="85"/>
        <v>0.75586055390364359</v>
      </c>
      <c r="D2647">
        <f t="shared" si="86"/>
        <v>-0.27989837232446807</v>
      </c>
    </row>
    <row r="2648" spans="1:4" x14ac:dyDescent="0.15">
      <c r="A2648" s="7">
        <v>2642</v>
      </c>
      <c r="B2648" s="7">
        <v>1</v>
      </c>
      <c r="C2648">
        <f t="shared" si="85"/>
        <v>8.8678581416840763E-2</v>
      </c>
      <c r="D2648">
        <f t="shared" si="86"/>
        <v>-2.4227368910146492</v>
      </c>
    </row>
    <row r="2649" spans="1:4" x14ac:dyDescent="0.15">
      <c r="A2649" s="7">
        <v>2643</v>
      </c>
      <c r="B2649" s="7">
        <v>0</v>
      </c>
      <c r="C2649">
        <f t="shared" si="85"/>
        <v>0.75586055390364359</v>
      </c>
      <c r="D2649">
        <f t="shared" si="86"/>
        <v>-0.27989837232446807</v>
      </c>
    </row>
    <row r="2650" spans="1:4" x14ac:dyDescent="0.15">
      <c r="A2650" s="7">
        <v>2644</v>
      </c>
      <c r="B2650" s="7">
        <v>0</v>
      </c>
      <c r="C2650">
        <f t="shared" si="85"/>
        <v>0.75586055390364359</v>
      </c>
      <c r="D2650">
        <f t="shared" si="86"/>
        <v>-0.27989837232446807</v>
      </c>
    </row>
    <row r="2651" spans="1:4" x14ac:dyDescent="0.15">
      <c r="A2651" s="7">
        <v>2645</v>
      </c>
      <c r="B2651" s="7">
        <v>2</v>
      </c>
      <c r="C2651">
        <f t="shared" si="85"/>
        <v>4.4062133811825943E-2</v>
      </c>
      <c r="D2651">
        <f t="shared" si="86"/>
        <v>-3.1221545090977791</v>
      </c>
    </row>
    <row r="2652" spans="1:4" x14ac:dyDescent="0.15">
      <c r="A2652" s="7">
        <v>2646</v>
      </c>
      <c r="B2652" s="7">
        <v>0</v>
      </c>
      <c r="C2652">
        <f t="shared" si="85"/>
        <v>0.75586055390364359</v>
      </c>
      <c r="D2652">
        <f t="shared" si="86"/>
        <v>-0.27989837232446807</v>
      </c>
    </row>
    <row r="2653" spans="1:4" x14ac:dyDescent="0.15">
      <c r="A2653" s="7">
        <v>2647</v>
      </c>
      <c r="B2653" s="7">
        <v>0</v>
      </c>
      <c r="C2653">
        <f t="shared" si="85"/>
        <v>0.75586055390364359</v>
      </c>
      <c r="D2653">
        <f t="shared" si="86"/>
        <v>-0.27989837232446807</v>
      </c>
    </row>
    <row r="2654" spans="1:4" x14ac:dyDescent="0.15">
      <c r="A2654" s="7">
        <v>2648</v>
      </c>
      <c r="B2654" s="7">
        <v>0</v>
      </c>
      <c r="C2654">
        <f t="shared" si="85"/>
        <v>0.75586055390364359</v>
      </c>
      <c r="D2654">
        <f t="shared" si="86"/>
        <v>-0.27989837232446807</v>
      </c>
    </row>
    <row r="2655" spans="1:4" x14ac:dyDescent="0.15">
      <c r="A2655" s="7">
        <v>2649</v>
      </c>
      <c r="B2655" s="7">
        <v>0</v>
      </c>
      <c r="C2655">
        <f t="shared" si="85"/>
        <v>0.75586055390364359</v>
      </c>
      <c r="D2655">
        <f t="shared" si="86"/>
        <v>-0.27989837232446807</v>
      </c>
    </row>
    <row r="2656" spans="1:4" x14ac:dyDescent="0.15">
      <c r="A2656" s="7">
        <v>2650</v>
      </c>
      <c r="B2656" s="7">
        <v>0</v>
      </c>
      <c r="C2656">
        <f t="shared" si="85"/>
        <v>0.75586055390364359</v>
      </c>
      <c r="D2656">
        <f t="shared" si="86"/>
        <v>-0.27989837232446807</v>
      </c>
    </row>
    <row r="2657" spans="1:4" x14ac:dyDescent="0.15">
      <c r="A2657" s="7">
        <v>2651</v>
      </c>
      <c r="B2657" s="7">
        <v>0</v>
      </c>
      <c r="C2657">
        <f t="shared" si="85"/>
        <v>0.75586055390364359</v>
      </c>
      <c r="D2657">
        <f t="shared" si="86"/>
        <v>-0.27989837232446807</v>
      </c>
    </row>
    <row r="2658" spans="1:4" x14ac:dyDescent="0.15">
      <c r="A2658" s="7">
        <v>2652</v>
      </c>
      <c r="B2658" s="7">
        <v>4</v>
      </c>
      <c r="C2658">
        <f t="shared" si="85"/>
        <v>1.8860933071470173E-2</v>
      </c>
      <c r="D2658">
        <f t="shared" si="86"/>
        <v>-3.9706625294337847</v>
      </c>
    </row>
    <row r="2659" spans="1:4" x14ac:dyDescent="0.15">
      <c r="A2659" s="7">
        <v>2653</v>
      </c>
      <c r="B2659" s="7">
        <v>0</v>
      </c>
      <c r="C2659">
        <f t="shared" si="85"/>
        <v>0.75586055390364359</v>
      </c>
      <c r="D2659">
        <f t="shared" si="86"/>
        <v>-0.27989837232446807</v>
      </c>
    </row>
    <row r="2660" spans="1:4" x14ac:dyDescent="0.15">
      <c r="A2660" s="7">
        <v>2654</v>
      </c>
      <c r="B2660" s="7">
        <v>4</v>
      </c>
      <c r="C2660">
        <f t="shared" si="85"/>
        <v>1.8860933071470173E-2</v>
      </c>
      <c r="D2660">
        <f t="shared" si="86"/>
        <v>-3.9706625294337847</v>
      </c>
    </row>
    <row r="2661" spans="1:4" x14ac:dyDescent="0.15">
      <c r="A2661" s="7">
        <v>2655</v>
      </c>
      <c r="B2661" s="7">
        <v>0</v>
      </c>
      <c r="C2661">
        <f t="shared" si="85"/>
        <v>0.75586055390364359</v>
      </c>
      <c r="D2661">
        <f t="shared" si="86"/>
        <v>-0.27989837232446807</v>
      </c>
    </row>
    <row r="2662" spans="1:4" x14ac:dyDescent="0.15">
      <c r="A2662" s="7">
        <v>2656</v>
      </c>
      <c r="B2662" s="7">
        <v>0</v>
      </c>
      <c r="C2662">
        <f t="shared" si="85"/>
        <v>0.75586055390364359</v>
      </c>
      <c r="D2662">
        <f t="shared" si="86"/>
        <v>-0.27989837232446807</v>
      </c>
    </row>
    <row r="2663" spans="1:4" x14ac:dyDescent="0.15">
      <c r="A2663" s="7">
        <v>2657</v>
      </c>
      <c r="B2663" s="7">
        <v>1</v>
      </c>
      <c r="C2663">
        <f t="shared" si="85"/>
        <v>8.8678581416840763E-2</v>
      </c>
      <c r="D2663">
        <f t="shared" si="86"/>
        <v>-2.4227368910146492</v>
      </c>
    </row>
    <row r="2664" spans="1:4" x14ac:dyDescent="0.15">
      <c r="A2664" s="7">
        <v>2658</v>
      </c>
      <c r="B2664" s="7">
        <v>10</v>
      </c>
      <c r="C2664">
        <f t="shared" si="85"/>
        <v>3.9004877815418653E-3</v>
      </c>
      <c r="D2664">
        <f t="shared" si="86"/>
        <v>-5.5466536614771886</v>
      </c>
    </row>
    <row r="2665" spans="1:4" x14ac:dyDescent="0.15">
      <c r="A2665" s="7">
        <v>2659</v>
      </c>
      <c r="B2665" s="7">
        <v>0</v>
      </c>
      <c r="C2665">
        <f t="shared" si="85"/>
        <v>0.75586055390364359</v>
      </c>
      <c r="D2665">
        <f t="shared" si="86"/>
        <v>-0.27989837232446807</v>
      </c>
    </row>
    <row r="2666" spans="1:4" x14ac:dyDescent="0.15">
      <c r="A2666" s="7">
        <v>2660</v>
      </c>
      <c r="B2666" s="7">
        <v>4</v>
      </c>
      <c r="C2666">
        <f t="shared" si="85"/>
        <v>1.8860933071470173E-2</v>
      </c>
      <c r="D2666">
        <f t="shared" si="86"/>
        <v>-3.9706625294337847</v>
      </c>
    </row>
    <row r="2667" spans="1:4" x14ac:dyDescent="0.15">
      <c r="A2667" s="7">
        <v>2661</v>
      </c>
      <c r="B2667" s="7">
        <v>1</v>
      </c>
      <c r="C2667">
        <f t="shared" si="85"/>
        <v>8.8678581416840763E-2</v>
      </c>
      <c r="D2667">
        <f t="shared" si="86"/>
        <v>-2.4227368910146492</v>
      </c>
    </row>
    <row r="2668" spans="1:4" x14ac:dyDescent="0.15">
      <c r="A2668" s="7">
        <v>2662</v>
      </c>
      <c r="B2668" s="7">
        <v>0</v>
      </c>
      <c r="C2668">
        <f t="shared" si="85"/>
        <v>0.75586055390364359</v>
      </c>
      <c r="D2668">
        <f t="shared" si="86"/>
        <v>-0.27989837232446807</v>
      </c>
    </row>
    <row r="2669" spans="1:4" x14ac:dyDescent="0.15">
      <c r="A2669" s="7">
        <v>2663</v>
      </c>
      <c r="B2669" s="7">
        <v>0</v>
      </c>
      <c r="C2669">
        <f t="shared" si="85"/>
        <v>0.75586055390364359</v>
      </c>
      <c r="D2669">
        <f t="shared" si="86"/>
        <v>-0.27989837232446807</v>
      </c>
    </row>
    <row r="2670" spans="1:4" x14ac:dyDescent="0.15">
      <c r="A2670" s="7">
        <v>2664</v>
      </c>
      <c r="B2670" s="7">
        <v>0</v>
      </c>
      <c r="C2670">
        <f t="shared" si="85"/>
        <v>0.75586055390364359</v>
      </c>
      <c r="D2670">
        <f t="shared" si="86"/>
        <v>-0.27989837232446807</v>
      </c>
    </row>
    <row r="2671" spans="1:4" x14ac:dyDescent="0.15">
      <c r="A2671" s="7">
        <v>2665</v>
      </c>
      <c r="B2671" s="7">
        <v>0</v>
      </c>
      <c r="C2671">
        <f t="shared" si="85"/>
        <v>0.75586055390364359</v>
      </c>
      <c r="D2671">
        <f t="shared" si="86"/>
        <v>-0.27989837232446807</v>
      </c>
    </row>
    <row r="2672" spans="1:4" x14ac:dyDescent="0.15">
      <c r="A2672" s="7">
        <v>2666</v>
      </c>
      <c r="B2672" s="7">
        <v>17</v>
      </c>
      <c r="C2672">
        <f t="shared" si="85"/>
        <v>9.8081724189613977E-4</v>
      </c>
      <c r="D2672">
        <f t="shared" si="86"/>
        <v>-6.9271244135158199</v>
      </c>
    </row>
    <row r="2673" spans="1:4" x14ac:dyDescent="0.15">
      <c r="A2673" s="7">
        <v>2667</v>
      </c>
      <c r="B2673" s="7">
        <v>1</v>
      </c>
      <c r="C2673">
        <f t="shared" si="85"/>
        <v>8.8678581416840763E-2</v>
      </c>
      <c r="D2673">
        <f t="shared" si="86"/>
        <v>-2.4227368910146492</v>
      </c>
    </row>
    <row r="2674" spans="1:4" x14ac:dyDescent="0.15">
      <c r="A2674" s="7">
        <v>2668</v>
      </c>
      <c r="B2674" s="7">
        <v>0</v>
      </c>
      <c r="C2674">
        <f t="shared" si="85"/>
        <v>0.75586055390364359</v>
      </c>
      <c r="D2674">
        <f t="shared" si="86"/>
        <v>-0.27989837232446807</v>
      </c>
    </row>
    <row r="2675" spans="1:4" x14ac:dyDescent="0.15">
      <c r="A2675" s="7">
        <v>2669</v>
      </c>
      <c r="B2675" s="7">
        <v>0</v>
      </c>
      <c r="C2675">
        <f t="shared" si="85"/>
        <v>0.75586055390364359</v>
      </c>
      <c r="D2675">
        <f t="shared" si="86"/>
        <v>-0.27989837232446807</v>
      </c>
    </row>
    <row r="2676" spans="1:4" x14ac:dyDescent="0.15">
      <c r="A2676" s="7">
        <v>2670</v>
      </c>
      <c r="B2676" s="7">
        <v>0</v>
      </c>
      <c r="C2676">
        <f t="shared" si="85"/>
        <v>0.75586055390364359</v>
      </c>
      <c r="D2676">
        <f t="shared" si="86"/>
        <v>-0.27989837232446807</v>
      </c>
    </row>
    <row r="2677" spans="1:4" x14ac:dyDescent="0.15">
      <c r="A2677" s="7">
        <v>2671</v>
      </c>
      <c r="B2677" s="7">
        <v>1</v>
      </c>
      <c r="C2677">
        <f t="shared" si="85"/>
        <v>8.8678581416840763E-2</v>
      </c>
      <c r="D2677">
        <f t="shared" si="86"/>
        <v>-2.4227368910146492</v>
      </c>
    </row>
    <row r="2678" spans="1:4" x14ac:dyDescent="0.15">
      <c r="A2678" s="7">
        <v>2672</v>
      </c>
      <c r="B2678" s="7">
        <v>0</v>
      </c>
      <c r="C2678">
        <f t="shared" si="85"/>
        <v>0.75586055390364359</v>
      </c>
      <c r="D2678">
        <f t="shared" si="86"/>
        <v>-0.27989837232446807</v>
      </c>
    </row>
    <row r="2679" spans="1:4" x14ac:dyDescent="0.15">
      <c r="A2679" s="7">
        <v>2673</v>
      </c>
      <c r="B2679" s="7">
        <v>0</v>
      </c>
      <c r="C2679">
        <f t="shared" si="85"/>
        <v>0.75586055390364359</v>
      </c>
      <c r="D2679">
        <f t="shared" si="86"/>
        <v>-0.27989837232446807</v>
      </c>
    </row>
    <row r="2680" spans="1:4" x14ac:dyDescent="0.15">
      <c r="A2680" s="7">
        <v>2674</v>
      </c>
      <c r="B2680" s="7">
        <v>0</v>
      </c>
      <c r="C2680">
        <f t="shared" si="85"/>
        <v>0.75586055390364359</v>
      </c>
      <c r="D2680">
        <f t="shared" si="86"/>
        <v>-0.27989837232446807</v>
      </c>
    </row>
    <row r="2681" spans="1:4" x14ac:dyDescent="0.15">
      <c r="A2681" s="7">
        <v>2675</v>
      </c>
      <c r="B2681" s="7">
        <v>0</v>
      </c>
      <c r="C2681">
        <f t="shared" si="85"/>
        <v>0.75586055390364359</v>
      </c>
      <c r="D2681">
        <f t="shared" si="86"/>
        <v>-0.27989837232446807</v>
      </c>
    </row>
    <row r="2682" spans="1:4" x14ac:dyDescent="0.15">
      <c r="A2682" s="7">
        <v>2676</v>
      </c>
      <c r="B2682" s="7">
        <v>0</v>
      </c>
      <c r="C2682">
        <f t="shared" si="85"/>
        <v>0.75586055390364359</v>
      </c>
      <c r="D2682">
        <f t="shared" si="86"/>
        <v>-0.27989837232446807</v>
      </c>
    </row>
    <row r="2683" spans="1:4" x14ac:dyDescent="0.15">
      <c r="A2683" s="7">
        <v>2677</v>
      </c>
      <c r="B2683" s="7">
        <v>0</v>
      </c>
      <c r="C2683">
        <f t="shared" si="85"/>
        <v>0.75586055390364359</v>
      </c>
      <c r="D2683">
        <f t="shared" si="86"/>
        <v>-0.27989837232446807</v>
      </c>
    </row>
    <row r="2684" spans="1:4" x14ac:dyDescent="0.15">
      <c r="A2684" s="7">
        <v>2678</v>
      </c>
      <c r="B2684" s="7">
        <v>0</v>
      </c>
      <c r="C2684">
        <f t="shared" si="85"/>
        <v>0.75586055390364359</v>
      </c>
      <c r="D2684">
        <f t="shared" si="86"/>
        <v>-0.27989837232446807</v>
      </c>
    </row>
    <row r="2685" spans="1:4" x14ac:dyDescent="0.15">
      <c r="A2685" s="7">
        <v>2679</v>
      </c>
      <c r="B2685" s="7">
        <v>0</v>
      </c>
      <c r="C2685">
        <f t="shared" si="85"/>
        <v>0.75586055390364359</v>
      </c>
      <c r="D2685">
        <f t="shared" si="86"/>
        <v>-0.27989837232446807</v>
      </c>
    </row>
    <row r="2686" spans="1:4" x14ac:dyDescent="0.15">
      <c r="A2686" s="7">
        <v>2680</v>
      </c>
      <c r="B2686" s="7">
        <v>0</v>
      </c>
      <c r="C2686">
        <f t="shared" si="85"/>
        <v>0.75586055390364359</v>
      </c>
      <c r="D2686">
        <f t="shared" si="86"/>
        <v>-0.27989837232446807</v>
      </c>
    </row>
    <row r="2687" spans="1:4" x14ac:dyDescent="0.15">
      <c r="A2687" s="7">
        <v>2681</v>
      </c>
      <c r="B2687" s="7">
        <v>0</v>
      </c>
      <c r="C2687">
        <f t="shared" si="85"/>
        <v>0.75586055390364359</v>
      </c>
      <c r="D2687">
        <f t="shared" si="86"/>
        <v>-0.27989837232446807</v>
      </c>
    </row>
    <row r="2688" spans="1:4" x14ac:dyDescent="0.15">
      <c r="A2688" s="7">
        <v>2682</v>
      </c>
      <c r="B2688" s="7">
        <v>0</v>
      </c>
      <c r="C2688">
        <f t="shared" si="85"/>
        <v>0.75586055390364359</v>
      </c>
      <c r="D2688">
        <f t="shared" si="86"/>
        <v>-0.27989837232446807</v>
      </c>
    </row>
    <row r="2689" spans="1:4" x14ac:dyDescent="0.15">
      <c r="A2689" s="7">
        <v>2683</v>
      </c>
      <c r="B2689" s="7">
        <v>0</v>
      </c>
      <c r="C2689">
        <f t="shared" si="85"/>
        <v>0.75586055390364359</v>
      </c>
      <c r="D2689">
        <f t="shared" si="86"/>
        <v>-0.27989837232446807</v>
      </c>
    </row>
    <row r="2690" spans="1:4" x14ac:dyDescent="0.15">
      <c r="A2690" s="7">
        <v>2684</v>
      </c>
      <c r="B2690" s="7">
        <v>0</v>
      </c>
      <c r="C2690">
        <f t="shared" si="85"/>
        <v>0.75586055390364359</v>
      </c>
      <c r="D2690">
        <f t="shared" si="86"/>
        <v>-0.27989837232446807</v>
      </c>
    </row>
    <row r="2691" spans="1:4" x14ac:dyDescent="0.15">
      <c r="A2691" s="7">
        <v>2685</v>
      </c>
      <c r="B2691" s="7">
        <v>0</v>
      </c>
      <c r="C2691">
        <f t="shared" si="85"/>
        <v>0.75586055390364359</v>
      </c>
      <c r="D2691">
        <f t="shared" si="86"/>
        <v>-0.27989837232446807</v>
      </c>
    </row>
    <row r="2692" spans="1:4" x14ac:dyDescent="0.15">
      <c r="A2692" s="7">
        <v>2686</v>
      </c>
      <c r="B2692" s="7">
        <v>0</v>
      </c>
      <c r="C2692">
        <f t="shared" si="85"/>
        <v>0.75586055390364359</v>
      </c>
      <c r="D2692">
        <f t="shared" si="86"/>
        <v>-0.27989837232446807</v>
      </c>
    </row>
    <row r="2693" spans="1:4" x14ac:dyDescent="0.15">
      <c r="A2693" s="7">
        <v>2687</v>
      </c>
      <c r="B2693" s="7">
        <v>0</v>
      </c>
      <c r="C2693">
        <f t="shared" si="85"/>
        <v>0.75586055390364359</v>
      </c>
      <c r="D2693">
        <f t="shared" si="86"/>
        <v>-0.27989837232446807</v>
      </c>
    </row>
    <row r="2694" spans="1:4" x14ac:dyDescent="0.15">
      <c r="A2694" s="7">
        <v>2688</v>
      </c>
      <c r="B2694" s="7">
        <v>0</v>
      </c>
      <c r="C2694">
        <f t="shared" si="85"/>
        <v>0.75586055390364359</v>
      </c>
      <c r="D2694">
        <f t="shared" si="86"/>
        <v>-0.27989837232446807</v>
      </c>
    </row>
    <row r="2695" spans="1:4" x14ac:dyDescent="0.15">
      <c r="A2695" s="7">
        <v>2689</v>
      </c>
      <c r="B2695" s="7">
        <v>0</v>
      </c>
      <c r="C2695">
        <f t="shared" si="85"/>
        <v>0.75586055390364359</v>
      </c>
      <c r="D2695">
        <f t="shared" si="86"/>
        <v>-0.27989837232446807</v>
      </c>
    </row>
    <row r="2696" spans="1:4" x14ac:dyDescent="0.15">
      <c r="A2696" s="7">
        <v>2690</v>
      </c>
      <c r="B2696" s="7">
        <v>0</v>
      </c>
      <c r="C2696">
        <f t="shared" ref="C2696:C2734" si="87">(_xlfn.GAMMA($B$1+B2696)/(_xlfn.GAMMA($B$1)*FACT(B2696))) * ($B$2/($B$2+$B$4))^$B$1 * (1/($B$2 +$B$4))^B2696</f>
        <v>0.75586055390364359</v>
      </c>
      <c r="D2696">
        <f t="shared" ref="D2696:D2734" si="88">LN(C2696)</f>
        <v>-0.27989837232446807</v>
      </c>
    </row>
    <row r="2697" spans="1:4" x14ac:dyDescent="0.15">
      <c r="A2697" s="7">
        <v>2691</v>
      </c>
      <c r="B2697" s="7">
        <v>0</v>
      </c>
      <c r="C2697">
        <f t="shared" si="87"/>
        <v>0.75586055390364359</v>
      </c>
      <c r="D2697">
        <f t="shared" si="88"/>
        <v>-0.27989837232446807</v>
      </c>
    </row>
    <row r="2698" spans="1:4" x14ac:dyDescent="0.15">
      <c r="A2698" s="7">
        <v>2692</v>
      </c>
      <c r="B2698" s="7">
        <v>0</v>
      </c>
      <c r="C2698">
        <f t="shared" si="87"/>
        <v>0.75586055390364359</v>
      </c>
      <c r="D2698">
        <f t="shared" si="88"/>
        <v>-0.27989837232446807</v>
      </c>
    </row>
    <row r="2699" spans="1:4" x14ac:dyDescent="0.15">
      <c r="A2699" s="7">
        <v>2693</v>
      </c>
      <c r="B2699" s="7">
        <v>0</v>
      </c>
      <c r="C2699">
        <f t="shared" si="87"/>
        <v>0.75586055390364359</v>
      </c>
      <c r="D2699">
        <f t="shared" si="88"/>
        <v>-0.27989837232446807</v>
      </c>
    </row>
    <row r="2700" spans="1:4" x14ac:dyDescent="0.15">
      <c r="A2700" s="7">
        <v>2694</v>
      </c>
      <c r="B2700" s="7">
        <v>0</v>
      </c>
      <c r="C2700">
        <f t="shared" si="87"/>
        <v>0.75586055390364359</v>
      </c>
      <c r="D2700">
        <f t="shared" si="88"/>
        <v>-0.27989837232446807</v>
      </c>
    </row>
    <row r="2701" spans="1:4" x14ac:dyDescent="0.15">
      <c r="A2701" s="7">
        <v>2695</v>
      </c>
      <c r="B2701" s="7">
        <v>0</v>
      </c>
      <c r="C2701">
        <f t="shared" si="87"/>
        <v>0.75586055390364359</v>
      </c>
      <c r="D2701">
        <f t="shared" si="88"/>
        <v>-0.27989837232446807</v>
      </c>
    </row>
    <row r="2702" spans="1:4" x14ac:dyDescent="0.15">
      <c r="A2702" s="7">
        <v>2696</v>
      </c>
      <c r="B2702" s="7">
        <v>0</v>
      </c>
      <c r="C2702">
        <f t="shared" si="87"/>
        <v>0.75586055390364359</v>
      </c>
      <c r="D2702">
        <f t="shared" si="88"/>
        <v>-0.27989837232446807</v>
      </c>
    </row>
    <row r="2703" spans="1:4" x14ac:dyDescent="0.15">
      <c r="A2703" s="7">
        <v>2697</v>
      </c>
      <c r="B2703" s="7">
        <v>49</v>
      </c>
      <c r="C2703">
        <f t="shared" si="87"/>
        <v>5.7713531393308874E-6</v>
      </c>
      <c r="D2703">
        <f t="shared" si="88"/>
        <v>-12.062603992055811</v>
      </c>
    </row>
    <row r="2704" spans="1:4" x14ac:dyDescent="0.15">
      <c r="A2704" s="7">
        <v>2698</v>
      </c>
      <c r="B2704" s="7">
        <v>0</v>
      </c>
      <c r="C2704">
        <f t="shared" si="87"/>
        <v>0.75586055390364359</v>
      </c>
      <c r="D2704">
        <f t="shared" si="88"/>
        <v>-0.27989837232446807</v>
      </c>
    </row>
    <row r="2705" spans="1:4" x14ac:dyDescent="0.15">
      <c r="A2705" s="7">
        <v>2699</v>
      </c>
      <c r="B2705" s="7">
        <v>0</v>
      </c>
      <c r="C2705">
        <f t="shared" si="87"/>
        <v>0.75586055390364359</v>
      </c>
      <c r="D2705">
        <f t="shared" si="88"/>
        <v>-0.27989837232446807</v>
      </c>
    </row>
    <row r="2706" spans="1:4" x14ac:dyDescent="0.15">
      <c r="A2706" s="7">
        <v>2700</v>
      </c>
      <c r="B2706" s="7">
        <v>0</v>
      </c>
      <c r="C2706">
        <f t="shared" si="87"/>
        <v>0.75586055390364359</v>
      </c>
      <c r="D2706">
        <f t="shared" si="88"/>
        <v>-0.27989837232446807</v>
      </c>
    </row>
    <row r="2707" spans="1:4" x14ac:dyDescent="0.15">
      <c r="A2707" s="7">
        <v>2701</v>
      </c>
      <c r="B2707" s="7">
        <v>0</v>
      </c>
      <c r="C2707">
        <f t="shared" si="87"/>
        <v>0.75586055390364359</v>
      </c>
      <c r="D2707">
        <f t="shared" si="88"/>
        <v>-0.27989837232446807</v>
      </c>
    </row>
    <row r="2708" spans="1:4" x14ac:dyDescent="0.15">
      <c r="A2708" s="7">
        <v>2702</v>
      </c>
      <c r="B2708" s="7">
        <v>0</v>
      </c>
      <c r="C2708">
        <f t="shared" si="87"/>
        <v>0.75586055390364359</v>
      </c>
      <c r="D2708">
        <f t="shared" si="88"/>
        <v>-0.27989837232446807</v>
      </c>
    </row>
    <row r="2709" spans="1:4" x14ac:dyDescent="0.15">
      <c r="A2709" s="7">
        <v>2703</v>
      </c>
      <c r="B2709" s="7">
        <v>0</v>
      </c>
      <c r="C2709">
        <f t="shared" si="87"/>
        <v>0.75586055390364359</v>
      </c>
      <c r="D2709">
        <f t="shared" si="88"/>
        <v>-0.27989837232446807</v>
      </c>
    </row>
    <row r="2710" spans="1:4" x14ac:dyDescent="0.15">
      <c r="A2710" s="7">
        <v>2704</v>
      </c>
      <c r="B2710" s="7">
        <v>0</v>
      </c>
      <c r="C2710">
        <f t="shared" si="87"/>
        <v>0.75586055390364359</v>
      </c>
      <c r="D2710">
        <f t="shared" si="88"/>
        <v>-0.27989837232446807</v>
      </c>
    </row>
    <row r="2711" spans="1:4" x14ac:dyDescent="0.15">
      <c r="A2711" s="7">
        <v>2705</v>
      </c>
      <c r="B2711" s="7">
        <v>6</v>
      </c>
      <c r="C2711">
        <f t="shared" si="87"/>
        <v>1.0248837632111705E-2</v>
      </c>
      <c r="D2711">
        <f t="shared" si="88"/>
        <v>-4.5805909815733834</v>
      </c>
    </row>
    <row r="2712" spans="1:4" x14ac:dyDescent="0.15">
      <c r="A2712" s="7">
        <v>2706</v>
      </c>
      <c r="B2712" s="7">
        <v>0</v>
      </c>
      <c r="C2712">
        <f t="shared" si="87"/>
        <v>0.75586055390364359</v>
      </c>
      <c r="D2712">
        <f t="shared" si="88"/>
        <v>-0.27989837232446807</v>
      </c>
    </row>
    <row r="2713" spans="1:4" x14ac:dyDescent="0.15">
      <c r="A2713" s="7">
        <v>2707</v>
      </c>
      <c r="B2713" s="7">
        <v>1</v>
      </c>
      <c r="C2713">
        <f t="shared" si="87"/>
        <v>8.8678581416840763E-2</v>
      </c>
      <c r="D2713">
        <f t="shared" si="88"/>
        <v>-2.4227368910146492</v>
      </c>
    </row>
    <row r="2714" spans="1:4" x14ac:dyDescent="0.15">
      <c r="A2714" s="7">
        <v>2708</v>
      </c>
      <c r="B2714" s="7">
        <v>4</v>
      </c>
      <c r="C2714">
        <f t="shared" si="87"/>
        <v>1.8860933071470173E-2</v>
      </c>
      <c r="D2714">
        <f t="shared" si="88"/>
        <v>-3.9706625294337847</v>
      </c>
    </row>
    <row r="2715" spans="1:4" x14ac:dyDescent="0.15">
      <c r="A2715" s="7">
        <v>2709</v>
      </c>
      <c r="B2715" s="7">
        <v>0</v>
      </c>
      <c r="C2715">
        <f t="shared" si="87"/>
        <v>0.75586055390364359</v>
      </c>
      <c r="D2715">
        <f t="shared" si="88"/>
        <v>-0.27989837232446807</v>
      </c>
    </row>
    <row r="2716" spans="1:4" x14ac:dyDescent="0.15">
      <c r="A2716" s="7">
        <v>2710</v>
      </c>
      <c r="B2716" s="7">
        <v>0</v>
      </c>
      <c r="C2716">
        <f t="shared" si="87"/>
        <v>0.75586055390364359</v>
      </c>
      <c r="D2716">
        <f t="shared" si="88"/>
        <v>-0.27989837232446807</v>
      </c>
    </row>
    <row r="2717" spans="1:4" x14ac:dyDescent="0.15">
      <c r="A2717" s="7">
        <v>2711</v>
      </c>
      <c r="B2717" s="7">
        <v>0</v>
      </c>
      <c r="C2717">
        <f t="shared" si="87"/>
        <v>0.75586055390364359</v>
      </c>
      <c r="D2717">
        <f t="shared" si="88"/>
        <v>-0.27989837232446807</v>
      </c>
    </row>
    <row r="2718" spans="1:4" x14ac:dyDescent="0.15">
      <c r="A2718" s="7">
        <v>2712</v>
      </c>
      <c r="B2718" s="7">
        <v>0</v>
      </c>
      <c r="C2718">
        <f t="shared" si="87"/>
        <v>0.75586055390364359</v>
      </c>
      <c r="D2718">
        <f t="shared" si="88"/>
        <v>-0.27989837232446807</v>
      </c>
    </row>
    <row r="2719" spans="1:4" x14ac:dyDescent="0.15">
      <c r="A2719" s="7">
        <v>2713</v>
      </c>
      <c r="B2719" s="7">
        <v>0</v>
      </c>
      <c r="C2719">
        <f t="shared" si="87"/>
        <v>0.75586055390364359</v>
      </c>
      <c r="D2719">
        <f t="shared" si="88"/>
        <v>-0.27989837232446807</v>
      </c>
    </row>
    <row r="2720" spans="1:4" x14ac:dyDescent="0.15">
      <c r="A2720" s="7">
        <v>2714</v>
      </c>
      <c r="B2720" s="7">
        <v>0</v>
      </c>
      <c r="C2720">
        <f t="shared" si="87"/>
        <v>0.75586055390364359</v>
      </c>
      <c r="D2720">
        <f t="shared" si="88"/>
        <v>-0.27989837232446807</v>
      </c>
    </row>
    <row r="2721" spans="1:4" x14ac:dyDescent="0.15">
      <c r="A2721" s="7">
        <v>2715</v>
      </c>
      <c r="B2721" s="7">
        <v>2</v>
      </c>
      <c r="C2721">
        <f t="shared" si="87"/>
        <v>4.4062133811825943E-2</v>
      </c>
      <c r="D2721">
        <f t="shared" si="88"/>
        <v>-3.1221545090977791</v>
      </c>
    </row>
    <row r="2722" spans="1:4" x14ac:dyDescent="0.15">
      <c r="A2722" s="7">
        <v>2716</v>
      </c>
      <c r="B2722" s="7">
        <v>0</v>
      </c>
      <c r="C2722">
        <f t="shared" si="87"/>
        <v>0.75586055390364359</v>
      </c>
      <c r="D2722">
        <f t="shared" si="88"/>
        <v>-0.27989837232446807</v>
      </c>
    </row>
    <row r="2723" spans="1:4" x14ac:dyDescent="0.15">
      <c r="A2723" s="7">
        <v>2717</v>
      </c>
      <c r="B2723" s="7">
        <v>1</v>
      </c>
      <c r="C2723">
        <f t="shared" si="87"/>
        <v>8.8678581416840763E-2</v>
      </c>
      <c r="D2723">
        <f t="shared" si="88"/>
        <v>-2.4227368910146492</v>
      </c>
    </row>
    <row r="2724" spans="1:4" x14ac:dyDescent="0.15">
      <c r="A2724" s="7">
        <v>2718</v>
      </c>
      <c r="B2724" s="7">
        <v>0</v>
      </c>
      <c r="C2724">
        <f t="shared" si="87"/>
        <v>0.75586055390364359</v>
      </c>
      <c r="D2724">
        <f t="shared" si="88"/>
        <v>-0.27989837232446807</v>
      </c>
    </row>
    <row r="2725" spans="1:4" x14ac:dyDescent="0.15">
      <c r="A2725" s="7">
        <v>2719</v>
      </c>
      <c r="B2725" s="7">
        <v>0</v>
      </c>
      <c r="C2725">
        <f t="shared" si="87"/>
        <v>0.75586055390364359</v>
      </c>
      <c r="D2725">
        <f t="shared" si="88"/>
        <v>-0.27989837232446807</v>
      </c>
    </row>
    <row r="2726" spans="1:4" x14ac:dyDescent="0.15">
      <c r="A2726" s="7">
        <v>2720</v>
      </c>
      <c r="B2726" s="7">
        <v>0</v>
      </c>
      <c r="C2726">
        <f t="shared" si="87"/>
        <v>0.75586055390364359</v>
      </c>
      <c r="D2726">
        <f t="shared" si="88"/>
        <v>-0.27989837232446807</v>
      </c>
    </row>
    <row r="2727" spans="1:4" x14ac:dyDescent="0.15">
      <c r="A2727" s="7">
        <v>2721</v>
      </c>
      <c r="B2727" s="7">
        <v>0</v>
      </c>
      <c r="C2727">
        <f t="shared" si="87"/>
        <v>0.75586055390364359</v>
      </c>
      <c r="D2727">
        <f t="shared" si="88"/>
        <v>-0.27989837232446807</v>
      </c>
    </row>
    <row r="2728" spans="1:4" x14ac:dyDescent="0.15">
      <c r="A2728" s="7">
        <v>2722</v>
      </c>
      <c r="B2728" s="7">
        <v>0</v>
      </c>
      <c r="C2728">
        <f t="shared" si="87"/>
        <v>0.75586055390364359</v>
      </c>
      <c r="D2728">
        <f t="shared" si="88"/>
        <v>-0.27989837232446807</v>
      </c>
    </row>
    <row r="2729" spans="1:4" x14ac:dyDescent="0.15">
      <c r="A2729" s="7">
        <v>2723</v>
      </c>
      <c r="B2729" s="7">
        <v>0</v>
      </c>
      <c r="C2729">
        <f t="shared" si="87"/>
        <v>0.75586055390364359</v>
      </c>
      <c r="D2729">
        <f t="shared" si="88"/>
        <v>-0.27989837232446807</v>
      </c>
    </row>
    <row r="2730" spans="1:4" x14ac:dyDescent="0.15">
      <c r="A2730" s="7">
        <v>2724</v>
      </c>
      <c r="B2730" s="7">
        <v>0</v>
      </c>
      <c r="C2730">
        <f t="shared" si="87"/>
        <v>0.75586055390364359</v>
      </c>
      <c r="D2730">
        <f t="shared" si="88"/>
        <v>-0.27989837232446807</v>
      </c>
    </row>
    <row r="2731" spans="1:4" x14ac:dyDescent="0.15">
      <c r="A2731" s="7">
        <v>2725</v>
      </c>
      <c r="B2731" s="7">
        <v>0</v>
      </c>
      <c r="C2731">
        <f t="shared" si="87"/>
        <v>0.75586055390364359</v>
      </c>
      <c r="D2731">
        <f t="shared" si="88"/>
        <v>-0.27989837232446807</v>
      </c>
    </row>
    <row r="2732" spans="1:4" x14ac:dyDescent="0.15">
      <c r="A2732" s="7">
        <v>2726</v>
      </c>
      <c r="B2732" s="7">
        <v>0</v>
      </c>
      <c r="C2732">
        <f t="shared" si="87"/>
        <v>0.75586055390364359</v>
      </c>
      <c r="D2732">
        <f t="shared" si="88"/>
        <v>-0.27989837232446807</v>
      </c>
    </row>
    <row r="2733" spans="1:4" x14ac:dyDescent="0.15">
      <c r="A2733" s="7">
        <v>2727</v>
      </c>
      <c r="B2733" s="7">
        <v>0</v>
      </c>
      <c r="C2733">
        <f t="shared" si="87"/>
        <v>0.75586055390364359</v>
      </c>
      <c r="D2733">
        <f t="shared" si="88"/>
        <v>-0.27989837232446807</v>
      </c>
    </row>
    <row r="2734" spans="1:4" x14ac:dyDescent="0.15">
      <c r="A2734" s="7">
        <v>2728</v>
      </c>
      <c r="B2734" s="7">
        <v>0</v>
      </c>
      <c r="C2734">
        <f t="shared" si="87"/>
        <v>0.75586055390364359</v>
      </c>
      <c r="D2734">
        <f t="shared" si="88"/>
        <v>-0.27989837232446807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D3CD4-D1E0-1D44-8D81-4315D78AED9F}">
  <dimension ref="A1:N2735"/>
  <sheetViews>
    <sheetView topLeftCell="A5" workbookViewId="0">
      <selection activeCell="O26" sqref="O26"/>
    </sheetView>
  </sheetViews>
  <sheetFormatPr baseColWidth="10" defaultRowHeight="13" x14ac:dyDescent="0.15"/>
  <cols>
    <col min="3" max="3" width="14.6640625" bestFit="1" customWidth="1"/>
    <col min="5" max="5" width="12.33203125" bestFit="1" customWidth="1"/>
  </cols>
  <sheetData>
    <row r="1" spans="1:13" x14ac:dyDescent="0.15">
      <c r="A1" s="7" t="s">
        <v>18</v>
      </c>
      <c r="B1" s="7">
        <v>0.13388028126722198</v>
      </c>
      <c r="C1" s="7"/>
      <c r="D1" s="7"/>
      <c r="E1" s="7"/>
      <c r="F1" s="7"/>
    </row>
    <row r="2" spans="1:13" x14ac:dyDescent="0.15">
      <c r="A2" s="7" t="s">
        <v>19</v>
      </c>
      <c r="B2" s="7">
        <v>0.14099947214198691</v>
      </c>
      <c r="C2" s="7"/>
      <c r="D2" s="7"/>
      <c r="E2" s="7"/>
      <c r="F2" s="7"/>
    </row>
    <row r="3" spans="1:13" x14ac:dyDescent="0.15">
      <c r="A3" s="7" t="s">
        <v>22</v>
      </c>
      <c r="B3" s="7">
        <v>1E-4</v>
      </c>
      <c r="C3" s="7"/>
      <c r="D3" s="7"/>
      <c r="E3" s="7"/>
      <c r="F3" s="7"/>
    </row>
    <row r="4" spans="1:13" x14ac:dyDescent="0.15">
      <c r="A4" s="7" t="s">
        <v>17</v>
      </c>
      <c r="B4" s="7">
        <f>SUM(E8:E2735)</f>
        <v>-2905.6266111143541</v>
      </c>
      <c r="C4" s="7"/>
      <c r="D4" s="7"/>
      <c r="E4" s="7"/>
      <c r="F4" s="7"/>
    </row>
    <row r="5" spans="1:13" x14ac:dyDescent="0.15">
      <c r="A5" s="7" t="s">
        <v>20</v>
      </c>
      <c r="B5" s="7">
        <v>1</v>
      </c>
      <c r="C5" s="7"/>
      <c r="D5" s="7"/>
      <c r="E5" s="7"/>
      <c r="F5" s="7"/>
    </row>
    <row r="6" spans="1:13" x14ac:dyDescent="0.15">
      <c r="C6" s="7"/>
      <c r="D6" s="7"/>
      <c r="E6" s="7"/>
      <c r="F6" s="7"/>
    </row>
    <row r="7" spans="1:13" x14ac:dyDescent="0.15">
      <c r="A7" s="12" t="s">
        <v>13</v>
      </c>
      <c r="B7" s="12" t="s">
        <v>3</v>
      </c>
      <c r="C7" s="7" t="s">
        <v>28</v>
      </c>
      <c r="D7" s="7" t="s">
        <v>29</v>
      </c>
      <c r="E7" s="7" t="s">
        <v>17</v>
      </c>
      <c r="F7" s="11"/>
      <c r="G7" s="7" t="s">
        <v>27</v>
      </c>
      <c r="H7" s="7" t="s">
        <v>2</v>
      </c>
      <c r="I7" s="7" t="s">
        <v>25</v>
      </c>
      <c r="J7" s="7" t="s">
        <v>29</v>
      </c>
      <c r="K7" s="7" t="s">
        <v>46</v>
      </c>
      <c r="L7" s="7" t="s">
        <v>23</v>
      </c>
      <c r="M7" s="7"/>
    </row>
    <row r="8" spans="1:13" x14ac:dyDescent="0.15">
      <c r="A8" s="7">
        <v>1</v>
      </c>
      <c r="B8" s="7">
        <v>0</v>
      </c>
      <c r="C8" s="7">
        <f>(_xlfn.GAMMA($B$1+B8)/(_xlfn.GAMMA($B$1)*FACT(B8))) * ($B$2/($B$2+$B$5))^$B$1 * (1/($B$2 +$B$5))^B8</f>
        <v>0.75583605794746755</v>
      </c>
      <c r="D8" s="7">
        <f xml:space="preserve"> IF(B8 = 0, $B$3 + (1-$B$3) * C8, (1-$B$3) *C8)</f>
        <v>0.75586047434167281</v>
      </c>
      <c r="E8" s="7">
        <f>LN(D8)</f>
        <v>-0.27989847758459119</v>
      </c>
      <c r="F8" s="7"/>
      <c r="G8" s="10">
        <v>0</v>
      </c>
      <c r="H8" s="7">
        <v>2046</v>
      </c>
      <c r="I8">
        <f xml:space="preserve"> ($B$2/($B$2+$B$5))^$B$1</f>
        <v>0.75583605794746755</v>
      </c>
      <c r="J8">
        <f>$B$3 + (1-$B$3) * I8</f>
        <v>0.75586047434167281</v>
      </c>
      <c r="K8">
        <f>J8*2728</f>
        <v>2061.9873740040834</v>
      </c>
      <c r="L8">
        <f>(K8-H8)^2/K8</f>
        <v>0.12395620398495083</v>
      </c>
    </row>
    <row r="9" spans="1:13" x14ac:dyDescent="0.15">
      <c r="A9" s="7">
        <v>2</v>
      </c>
      <c r="B9" s="7">
        <v>5</v>
      </c>
      <c r="C9" s="7">
        <f t="shared" ref="C9:C72" si="0">(_xlfn.GAMMA($B$1+B9)/(_xlfn.GAMMA($B$1)*FACT(B9))) * ($B$2/($B$2+$B$5))^$B$1 * (1/($B$2 +$B$5))^B9</f>
        <v>1.366826244062944E-2</v>
      </c>
      <c r="D9" s="7">
        <f t="shared" ref="D9:D72" si="1" xml:space="preserve"> IF(B9 = 0, $B$3 + (1-$B$3) * C9, (1-$B$3) *C9)</f>
        <v>1.3666895614385376E-2</v>
      </c>
      <c r="E9" s="7">
        <f t="shared" ref="E9:E72" si="2">LN(D9)</f>
        <v>-4.2927787488141558</v>
      </c>
      <c r="F9" s="7"/>
      <c r="G9" s="10">
        <v>1</v>
      </c>
      <c r="H9" s="7">
        <v>318</v>
      </c>
      <c r="I9">
        <f xml:space="preserve"> I8 * $B$5/G9 * ($B$1 + G8)/($B$2 + $B$5)</f>
        <v>8.8686757970141181E-2</v>
      </c>
      <c r="J9">
        <f>(1-$B$3)*I9</f>
        <v>8.867788929434417E-2</v>
      </c>
      <c r="K9">
        <f t="shared" ref="K9:K18" si="3">J9*2728</f>
        <v>241.9132819949709</v>
      </c>
      <c r="L9">
        <f t="shared" ref="L9:L18" si="4">(K9-H9)^2/K9</f>
        <v>23.930842527683822</v>
      </c>
    </row>
    <row r="10" spans="1:13" x14ac:dyDescent="0.15">
      <c r="A10" s="7">
        <v>3</v>
      </c>
      <c r="B10" s="7">
        <v>0</v>
      </c>
      <c r="C10" s="7">
        <f t="shared" si="0"/>
        <v>0.75583605794746755</v>
      </c>
      <c r="D10" s="7">
        <f t="shared" si="1"/>
        <v>0.75586047434167281</v>
      </c>
      <c r="E10" s="7">
        <f t="shared" si="2"/>
        <v>-0.27989847758459119</v>
      </c>
      <c r="F10" s="7"/>
      <c r="G10" s="10">
        <v>2</v>
      </c>
      <c r="H10" s="7">
        <v>129</v>
      </c>
      <c r="I10">
        <f t="shared" ref="I10:I17" si="5" xml:space="preserve"> I9 * $B$5/G10 * ($B$1 + G9)/($B$2 + $B$5)</f>
        <v>4.4066701399555042E-2</v>
      </c>
      <c r="J10">
        <f t="shared" ref="J10:J18" si="6">(1-$B$3)*I10</f>
        <v>4.4062294729415086E-2</v>
      </c>
      <c r="K10">
        <f t="shared" si="3"/>
        <v>120.20194002184435</v>
      </c>
      <c r="L10">
        <f t="shared" si="4"/>
        <v>0.64396514203645283</v>
      </c>
    </row>
    <row r="11" spans="1:13" x14ac:dyDescent="0.15">
      <c r="A11" s="7">
        <v>4</v>
      </c>
      <c r="B11" s="7">
        <v>0</v>
      </c>
      <c r="C11" s="7">
        <f t="shared" si="0"/>
        <v>0.75583605794746755</v>
      </c>
      <c r="D11" s="7">
        <f t="shared" si="1"/>
        <v>0.75586047434167281</v>
      </c>
      <c r="E11" s="7">
        <f t="shared" si="2"/>
        <v>-0.27989847758459119</v>
      </c>
      <c r="F11" s="7"/>
      <c r="G11" s="10">
        <v>3</v>
      </c>
      <c r="H11" s="7">
        <v>66</v>
      </c>
      <c r="I11">
        <f t="shared" si="5"/>
        <v>2.7470963680778882E-2</v>
      </c>
      <c r="J11">
        <f t="shared" si="6"/>
        <v>2.7468216584410805E-2</v>
      </c>
      <c r="K11">
        <f t="shared" si="3"/>
        <v>74.933294842272673</v>
      </c>
      <c r="L11">
        <f t="shared" si="4"/>
        <v>1.0649973006919649</v>
      </c>
    </row>
    <row r="12" spans="1:13" x14ac:dyDescent="0.15">
      <c r="A12" s="7">
        <v>5</v>
      </c>
      <c r="B12" s="7">
        <v>0</v>
      </c>
      <c r="C12" s="7">
        <f t="shared" si="0"/>
        <v>0.75583605794746755</v>
      </c>
      <c r="D12" s="7">
        <f t="shared" si="1"/>
        <v>0.75586047434167281</v>
      </c>
      <c r="E12" s="7">
        <f t="shared" si="2"/>
        <v>-0.27989847758459119</v>
      </c>
      <c r="F12" s="7"/>
      <c r="G12" s="10">
        <v>4</v>
      </c>
      <c r="H12" s="7">
        <v>38</v>
      </c>
      <c r="I12">
        <f t="shared" si="5"/>
        <v>1.8863004210024681E-2</v>
      </c>
      <c r="J12">
        <f t="shared" si="6"/>
        <v>1.8861117909603677E-2</v>
      </c>
      <c r="K12">
        <f t="shared" si="3"/>
        <v>51.453129657398833</v>
      </c>
      <c r="L12">
        <f t="shared" si="4"/>
        <v>3.5175061028140702</v>
      </c>
    </row>
    <row r="13" spans="1:13" x14ac:dyDescent="0.15">
      <c r="A13" s="7">
        <v>6</v>
      </c>
      <c r="B13" s="7">
        <v>0</v>
      </c>
      <c r="C13" s="7">
        <f t="shared" si="0"/>
        <v>0.75583605794746755</v>
      </c>
      <c r="D13" s="7">
        <f t="shared" si="1"/>
        <v>0.75586047434167281</v>
      </c>
      <c r="E13" s="7">
        <f t="shared" si="2"/>
        <v>-0.27989847758459119</v>
      </c>
      <c r="F13" s="7"/>
      <c r="G13" s="10">
        <v>5</v>
      </c>
      <c r="H13" s="7">
        <v>30</v>
      </c>
      <c r="I13">
        <f t="shared" si="5"/>
        <v>1.3668262440629431E-2</v>
      </c>
      <c r="J13">
        <f t="shared" si="6"/>
        <v>1.3666895614385367E-2</v>
      </c>
      <c r="K13">
        <f t="shared" si="3"/>
        <v>37.283291236043283</v>
      </c>
      <c r="L13">
        <f t="shared" si="4"/>
        <v>1.4227910002146709</v>
      </c>
    </row>
    <row r="14" spans="1:13" x14ac:dyDescent="0.15">
      <c r="A14" s="7">
        <v>7</v>
      </c>
      <c r="B14" s="7">
        <v>0</v>
      </c>
      <c r="C14" s="7">
        <f t="shared" si="0"/>
        <v>0.75583605794746755</v>
      </c>
      <c r="D14" s="7">
        <f t="shared" si="1"/>
        <v>0.75586047434167281</v>
      </c>
      <c r="E14" s="7">
        <f t="shared" si="2"/>
        <v>-0.27989847758459119</v>
      </c>
      <c r="F14" s="7"/>
      <c r="G14" s="10">
        <v>6</v>
      </c>
      <c r="H14" s="7">
        <v>16</v>
      </c>
      <c r="I14">
        <f t="shared" si="5"/>
        <v>1.0249964283711296E-2</v>
      </c>
      <c r="J14">
        <f t="shared" si="6"/>
        <v>1.0248939287282925E-2</v>
      </c>
      <c r="K14">
        <f t="shared" si="3"/>
        <v>27.959106375707819</v>
      </c>
      <c r="L14">
        <f t="shared" si="4"/>
        <v>5.115336069172729</v>
      </c>
    </row>
    <row r="15" spans="1:13" x14ac:dyDescent="0.15">
      <c r="A15" s="7">
        <v>8</v>
      </c>
      <c r="B15" s="7">
        <v>1</v>
      </c>
      <c r="C15" s="7">
        <f t="shared" si="0"/>
        <v>8.8686757970141181E-2</v>
      </c>
      <c r="D15" s="7">
        <f t="shared" si="1"/>
        <v>8.867788929434417E-2</v>
      </c>
      <c r="E15" s="7">
        <f t="shared" si="2"/>
        <v>-2.4227446958891354</v>
      </c>
      <c r="F15" s="7"/>
      <c r="G15" s="10">
        <v>7</v>
      </c>
      <c r="H15" s="7">
        <v>11</v>
      </c>
      <c r="I15">
        <f t="shared" si="5"/>
        <v>7.8718020395525858E-3</v>
      </c>
      <c r="J15">
        <f t="shared" si="6"/>
        <v>7.8710148593486313E-3</v>
      </c>
      <c r="K15">
        <f t="shared" si="3"/>
        <v>21.472128536303067</v>
      </c>
      <c r="L15">
        <f t="shared" si="4"/>
        <v>5.1073407042734909</v>
      </c>
    </row>
    <row r="16" spans="1:13" x14ac:dyDescent="0.15">
      <c r="A16" s="7">
        <v>9</v>
      </c>
      <c r="B16" s="7">
        <v>0</v>
      </c>
      <c r="C16" s="7">
        <f t="shared" si="0"/>
        <v>0.75583605794746755</v>
      </c>
      <c r="D16" s="7">
        <f t="shared" si="1"/>
        <v>0.75586047434167281</v>
      </c>
      <c r="E16" s="7">
        <f t="shared" si="2"/>
        <v>-0.27989847758459119</v>
      </c>
      <c r="F16" s="7"/>
      <c r="G16" s="10">
        <v>8</v>
      </c>
      <c r="H16" s="7">
        <v>9</v>
      </c>
      <c r="I16">
        <f t="shared" si="5"/>
        <v>6.1521164907488157E-3</v>
      </c>
      <c r="J16">
        <f t="shared" si="6"/>
        <v>6.1515012790997409E-3</v>
      </c>
      <c r="K16">
        <f t="shared" si="3"/>
        <v>16.781295489384092</v>
      </c>
      <c r="L16">
        <f t="shared" si="4"/>
        <v>3.6080980476991455</v>
      </c>
    </row>
    <row r="17" spans="1:14" x14ac:dyDescent="0.15">
      <c r="A17" s="7">
        <v>10</v>
      </c>
      <c r="B17" s="7">
        <v>0</v>
      </c>
      <c r="C17" s="7">
        <f t="shared" si="0"/>
        <v>0.75583605794746755</v>
      </c>
      <c r="D17" s="7">
        <f t="shared" si="1"/>
        <v>0.75586047434167281</v>
      </c>
      <c r="E17" s="7">
        <f t="shared" si="2"/>
        <v>-0.27989847758459119</v>
      </c>
      <c r="F17" s="7"/>
      <c r="G17" s="10">
        <v>9</v>
      </c>
      <c r="H17" s="7">
        <v>10</v>
      </c>
      <c r="I17">
        <f t="shared" si="5"/>
        <v>4.8729771313975002E-3</v>
      </c>
      <c r="J17">
        <f t="shared" si="6"/>
        <v>4.8724898336843609E-3</v>
      </c>
      <c r="K17">
        <f t="shared" si="3"/>
        <v>13.292152266290937</v>
      </c>
      <c r="L17">
        <f t="shared" si="4"/>
        <v>0.81538838310862072</v>
      </c>
    </row>
    <row r="18" spans="1:14" x14ac:dyDescent="0.15">
      <c r="A18" s="7">
        <v>11</v>
      </c>
      <c r="B18" s="7">
        <v>1</v>
      </c>
      <c r="C18" s="7">
        <f t="shared" si="0"/>
        <v>8.8686757970141181E-2</v>
      </c>
      <c r="D18" s="7">
        <f t="shared" si="1"/>
        <v>8.867788929434417E-2</v>
      </c>
      <c r="E18" s="7">
        <f t="shared" si="2"/>
        <v>-2.4227446958891354</v>
      </c>
      <c r="F18" s="7"/>
      <c r="G18" s="10" t="s">
        <v>0</v>
      </c>
      <c r="H18" s="7">
        <f>2728-SUM(H8:H17)</f>
        <v>55</v>
      </c>
      <c r="I18">
        <f>1-SUM(I8:I17)</f>
        <v>2.2261392405993008E-2</v>
      </c>
      <c r="J18">
        <f t="shared" si="6"/>
        <v>2.2259166266752409E-2</v>
      </c>
      <c r="K18">
        <f t="shared" si="3"/>
        <v>60.723005575700569</v>
      </c>
      <c r="L18">
        <f t="shared" si="4"/>
        <v>0.53938029761501838</v>
      </c>
    </row>
    <row r="19" spans="1:14" x14ac:dyDescent="0.15">
      <c r="A19" s="7">
        <v>12</v>
      </c>
      <c r="B19" s="7">
        <v>0</v>
      </c>
      <c r="C19" s="7">
        <f t="shared" si="0"/>
        <v>0.75583605794746755</v>
      </c>
      <c r="D19" s="7">
        <f t="shared" si="1"/>
        <v>0.75586047434167281</v>
      </c>
      <c r="E19" s="7">
        <f t="shared" si="2"/>
        <v>-0.27989847758459119</v>
      </c>
      <c r="F19" s="7"/>
      <c r="G19" s="7"/>
      <c r="H19" s="7" t="s">
        <v>30</v>
      </c>
    </row>
    <row r="20" spans="1:14" x14ac:dyDescent="0.15">
      <c r="A20" s="7">
        <v>13</v>
      </c>
      <c r="B20" s="7">
        <v>3</v>
      </c>
      <c r="C20" s="7">
        <f t="shared" si="0"/>
        <v>2.7470963680778882E-2</v>
      </c>
      <c r="D20" s="7">
        <f t="shared" si="1"/>
        <v>2.7468216584410805E-2</v>
      </c>
      <c r="E20" s="7">
        <f t="shared" si="2"/>
        <v>-3.5947257032827968</v>
      </c>
      <c r="I20" s="7" t="s">
        <v>23</v>
      </c>
      <c r="J20" s="7">
        <f>SUM(L8:L18)</f>
        <v>45.889601779294928</v>
      </c>
    </row>
    <row r="21" spans="1:14" x14ac:dyDescent="0.15">
      <c r="A21" s="7">
        <v>14</v>
      </c>
      <c r="B21" s="7">
        <v>0</v>
      </c>
      <c r="C21" s="7">
        <f t="shared" si="0"/>
        <v>0.75583605794746755</v>
      </c>
      <c r="D21" s="7">
        <f t="shared" si="1"/>
        <v>0.75586047434167281</v>
      </c>
      <c r="E21" s="7">
        <f t="shared" si="2"/>
        <v>-0.27989847758459119</v>
      </c>
      <c r="I21" s="7" t="s">
        <v>21</v>
      </c>
      <c r="J21" s="7">
        <f>11 - 3 - 1</f>
        <v>7</v>
      </c>
    </row>
    <row r="22" spans="1:14" x14ac:dyDescent="0.15">
      <c r="A22" s="7">
        <v>15</v>
      </c>
      <c r="B22" s="7">
        <v>0</v>
      </c>
      <c r="C22" s="7">
        <f t="shared" si="0"/>
        <v>0.75583605794746755</v>
      </c>
      <c r="D22" s="7">
        <f t="shared" si="1"/>
        <v>0.75586047434167281</v>
      </c>
      <c r="E22" s="7">
        <f t="shared" si="2"/>
        <v>-0.27989847758459119</v>
      </c>
      <c r="I22" s="7" t="s">
        <v>24</v>
      </c>
      <c r="J22" s="7">
        <f>_xlfn.CHISQ.DIST.RT(J20,J21)</f>
        <v>9.1852006600355065E-8</v>
      </c>
    </row>
    <row r="23" spans="1:14" x14ac:dyDescent="0.15">
      <c r="A23" s="7">
        <v>16</v>
      </c>
      <c r="B23" s="7">
        <v>1</v>
      </c>
      <c r="C23" s="7">
        <f t="shared" si="0"/>
        <v>8.8686757970141181E-2</v>
      </c>
      <c r="D23" s="7">
        <f t="shared" si="1"/>
        <v>8.867788929434417E-2</v>
      </c>
      <c r="E23" s="7">
        <f t="shared" si="2"/>
        <v>-2.4227446958891354</v>
      </c>
      <c r="H23" s="7"/>
    </row>
    <row r="24" spans="1:14" x14ac:dyDescent="0.15">
      <c r="A24" s="7">
        <v>17</v>
      </c>
      <c r="B24" s="7">
        <v>2</v>
      </c>
      <c r="C24" s="7">
        <f t="shared" si="0"/>
        <v>4.4066701399555049E-2</v>
      </c>
      <c r="D24" s="7">
        <f t="shared" si="1"/>
        <v>4.4062294729415093E-2</v>
      </c>
      <c r="E24" s="7">
        <f t="shared" si="2"/>
        <v>-3.1221508570437044</v>
      </c>
      <c r="I24" s="7" t="s">
        <v>45</v>
      </c>
      <c r="J24">
        <f>2 * (B4- 'part a original'!B3)</f>
        <v>-4.2301008943468332E-3</v>
      </c>
    </row>
    <row r="25" spans="1:14" x14ac:dyDescent="0.15">
      <c r="A25" s="7">
        <v>18</v>
      </c>
      <c r="B25" s="7">
        <v>0</v>
      </c>
      <c r="C25" s="7">
        <f t="shared" si="0"/>
        <v>0.75583605794746755</v>
      </c>
      <c r="D25" s="7">
        <f t="shared" si="1"/>
        <v>0.75586047434167281</v>
      </c>
      <c r="E25" s="7">
        <f t="shared" si="2"/>
        <v>-0.27989847758459119</v>
      </c>
      <c r="I25" s="7" t="s">
        <v>31</v>
      </c>
      <c r="J25">
        <f xml:space="preserve"> 3 - 2</f>
        <v>1</v>
      </c>
      <c r="N25" s="7" t="s">
        <v>44</v>
      </c>
    </row>
    <row r="26" spans="1:14" x14ac:dyDescent="0.15">
      <c r="A26" s="7">
        <v>19</v>
      </c>
      <c r="B26" s="7">
        <v>6</v>
      </c>
      <c r="C26" s="7">
        <f t="shared" si="0"/>
        <v>1.0249964283711298E-2</v>
      </c>
      <c r="D26" s="7">
        <f t="shared" si="1"/>
        <v>1.0248939287282927E-2</v>
      </c>
      <c r="E26" s="7">
        <f t="shared" si="2"/>
        <v>-4.5805810629200954</v>
      </c>
      <c r="I26" s="7" t="s">
        <v>24</v>
      </c>
      <c r="J26" t="e">
        <f>_xlfn.CHISQ.DIST.RT(J24,J25)</f>
        <v>#NUM!</v>
      </c>
    </row>
    <row r="27" spans="1:14" x14ac:dyDescent="0.15">
      <c r="A27" s="7">
        <v>20</v>
      </c>
      <c r="B27" s="7">
        <v>0</v>
      </c>
      <c r="C27" s="7">
        <f t="shared" si="0"/>
        <v>0.75583605794746755</v>
      </c>
      <c r="D27" s="7">
        <f t="shared" si="1"/>
        <v>0.75586047434167281</v>
      </c>
      <c r="E27" s="7">
        <f t="shared" si="2"/>
        <v>-0.27989847758459119</v>
      </c>
    </row>
    <row r="28" spans="1:14" x14ac:dyDescent="0.15">
      <c r="A28" s="7">
        <v>21</v>
      </c>
      <c r="B28" s="7">
        <v>2</v>
      </c>
      <c r="C28" s="7">
        <f t="shared" si="0"/>
        <v>4.4066701399555049E-2</v>
      </c>
      <c r="D28" s="7">
        <f t="shared" si="1"/>
        <v>4.4062294729415093E-2</v>
      </c>
      <c r="E28" s="7">
        <f t="shared" si="2"/>
        <v>-3.1221508570437044</v>
      </c>
    </row>
    <row r="29" spans="1:14" x14ac:dyDescent="0.15">
      <c r="A29" s="7">
        <v>22</v>
      </c>
      <c r="B29" s="7">
        <v>0</v>
      </c>
      <c r="C29" s="7">
        <f t="shared" si="0"/>
        <v>0.75583605794746755</v>
      </c>
      <c r="D29" s="7">
        <f t="shared" si="1"/>
        <v>0.75586047434167281</v>
      </c>
      <c r="E29" s="7">
        <f t="shared" si="2"/>
        <v>-0.27989847758459119</v>
      </c>
    </row>
    <row r="30" spans="1:14" x14ac:dyDescent="0.15">
      <c r="A30" s="7">
        <v>23</v>
      </c>
      <c r="B30" s="7">
        <v>0</v>
      </c>
      <c r="C30" s="7">
        <f t="shared" si="0"/>
        <v>0.75583605794746755</v>
      </c>
      <c r="D30" s="7">
        <f t="shared" si="1"/>
        <v>0.75586047434167281</v>
      </c>
      <c r="E30" s="7">
        <f t="shared" si="2"/>
        <v>-0.27989847758459119</v>
      </c>
    </row>
    <row r="31" spans="1:14" x14ac:dyDescent="0.15">
      <c r="A31" s="7">
        <v>24</v>
      </c>
      <c r="B31" s="7">
        <v>2</v>
      </c>
      <c r="C31" s="7">
        <f t="shared" si="0"/>
        <v>4.4066701399555049E-2</v>
      </c>
      <c r="D31" s="7">
        <f t="shared" si="1"/>
        <v>4.4062294729415093E-2</v>
      </c>
      <c r="E31" s="7">
        <f t="shared" si="2"/>
        <v>-3.1221508570437044</v>
      </c>
    </row>
    <row r="32" spans="1:14" x14ac:dyDescent="0.15">
      <c r="A32" s="7">
        <v>25</v>
      </c>
      <c r="B32" s="7">
        <v>0</v>
      </c>
      <c r="C32" s="7">
        <f t="shared" si="0"/>
        <v>0.75583605794746755</v>
      </c>
      <c r="D32" s="7">
        <f t="shared" si="1"/>
        <v>0.75586047434167281</v>
      </c>
      <c r="E32" s="7">
        <f t="shared" si="2"/>
        <v>-0.27989847758459119</v>
      </c>
    </row>
    <row r="33" spans="1:5" x14ac:dyDescent="0.15">
      <c r="A33" s="7">
        <v>26</v>
      </c>
      <c r="B33" s="7">
        <v>0</v>
      </c>
      <c r="C33" s="7">
        <f t="shared" si="0"/>
        <v>0.75583605794746755</v>
      </c>
      <c r="D33" s="7">
        <f t="shared" si="1"/>
        <v>0.75586047434167281</v>
      </c>
      <c r="E33" s="7">
        <f t="shared" si="2"/>
        <v>-0.27989847758459119</v>
      </c>
    </row>
    <row r="34" spans="1:5" x14ac:dyDescent="0.15">
      <c r="A34" s="7">
        <v>27</v>
      </c>
      <c r="B34" s="7">
        <v>0</v>
      </c>
      <c r="C34" s="7">
        <f t="shared" si="0"/>
        <v>0.75583605794746755</v>
      </c>
      <c r="D34" s="7">
        <f t="shared" si="1"/>
        <v>0.75586047434167281</v>
      </c>
      <c r="E34" s="7">
        <f t="shared" si="2"/>
        <v>-0.27989847758459119</v>
      </c>
    </row>
    <row r="35" spans="1:5" x14ac:dyDescent="0.15">
      <c r="A35" s="7">
        <v>28</v>
      </c>
      <c r="B35" s="7">
        <v>0</v>
      </c>
      <c r="C35" s="7">
        <f t="shared" si="0"/>
        <v>0.75583605794746755</v>
      </c>
      <c r="D35" s="7">
        <f t="shared" si="1"/>
        <v>0.75586047434167281</v>
      </c>
      <c r="E35" s="7">
        <f t="shared" si="2"/>
        <v>-0.27989847758459119</v>
      </c>
    </row>
    <row r="36" spans="1:5" x14ac:dyDescent="0.15">
      <c r="A36" s="7">
        <v>29</v>
      </c>
      <c r="B36" s="7">
        <v>0</v>
      </c>
      <c r="C36" s="7">
        <f t="shared" si="0"/>
        <v>0.75583605794746755</v>
      </c>
      <c r="D36" s="7">
        <f t="shared" si="1"/>
        <v>0.75586047434167281</v>
      </c>
      <c r="E36" s="7">
        <f t="shared" si="2"/>
        <v>-0.27989847758459119</v>
      </c>
    </row>
    <row r="37" spans="1:5" x14ac:dyDescent="0.15">
      <c r="A37" s="7">
        <v>30</v>
      </c>
      <c r="B37" s="7">
        <v>0</v>
      </c>
      <c r="C37" s="7">
        <f t="shared" si="0"/>
        <v>0.75583605794746755</v>
      </c>
      <c r="D37" s="7">
        <f t="shared" si="1"/>
        <v>0.75586047434167281</v>
      </c>
      <c r="E37" s="7">
        <f t="shared" si="2"/>
        <v>-0.27989847758459119</v>
      </c>
    </row>
    <row r="38" spans="1:5" x14ac:dyDescent="0.15">
      <c r="A38" s="7">
        <v>31</v>
      </c>
      <c r="B38" s="7">
        <v>0</v>
      </c>
      <c r="C38" s="7">
        <f t="shared" si="0"/>
        <v>0.75583605794746755</v>
      </c>
      <c r="D38" s="7">
        <f t="shared" si="1"/>
        <v>0.75586047434167281</v>
      </c>
      <c r="E38" s="7">
        <f t="shared" si="2"/>
        <v>-0.27989847758459119</v>
      </c>
    </row>
    <row r="39" spans="1:5" x14ac:dyDescent="0.15">
      <c r="A39" s="7">
        <v>32</v>
      </c>
      <c r="B39" s="7">
        <v>0</v>
      </c>
      <c r="C39" s="7">
        <f t="shared" si="0"/>
        <v>0.75583605794746755</v>
      </c>
      <c r="D39" s="7">
        <f t="shared" si="1"/>
        <v>0.75586047434167281</v>
      </c>
      <c r="E39" s="7">
        <f t="shared" si="2"/>
        <v>-0.27989847758459119</v>
      </c>
    </row>
    <row r="40" spans="1:5" x14ac:dyDescent="0.15">
      <c r="A40" s="7">
        <v>33</v>
      </c>
      <c r="B40" s="7">
        <v>0</v>
      </c>
      <c r="C40" s="7">
        <f t="shared" si="0"/>
        <v>0.75583605794746755</v>
      </c>
      <c r="D40" s="7">
        <f t="shared" si="1"/>
        <v>0.75586047434167281</v>
      </c>
      <c r="E40" s="7">
        <f t="shared" si="2"/>
        <v>-0.27989847758459119</v>
      </c>
    </row>
    <row r="41" spans="1:5" x14ac:dyDescent="0.15">
      <c r="A41" s="7">
        <v>34</v>
      </c>
      <c r="B41" s="7">
        <v>0</v>
      </c>
      <c r="C41" s="7">
        <f t="shared" si="0"/>
        <v>0.75583605794746755</v>
      </c>
      <c r="D41" s="7">
        <f t="shared" si="1"/>
        <v>0.75586047434167281</v>
      </c>
      <c r="E41" s="7">
        <f t="shared" si="2"/>
        <v>-0.27989847758459119</v>
      </c>
    </row>
    <row r="42" spans="1:5" x14ac:dyDescent="0.15">
      <c r="A42" s="7">
        <v>35</v>
      </c>
      <c r="B42" s="7">
        <v>0</v>
      </c>
      <c r="C42" s="7">
        <f t="shared" si="0"/>
        <v>0.75583605794746755</v>
      </c>
      <c r="D42" s="7">
        <f t="shared" si="1"/>
        <v>0.75586047434167281</v>
      </c>
      <c r="E42" s="7">
        <f t="shared" si="2"/>
        <v>-0.27989847758459119</v>
      </c>
    </row>
    <row r="43" spans="1:5" x14ac:dyDescent="0.15">
      <c r="A43" s="7">
        <v>36</v>
      </c>
      <c r="B43" s="7">
        <v>0</v>
      </c>
      <c r="C43" s="7">
        <f t="shared" si="0"/>
        <v>0.75583605794746755</v>
      </c>
      <c r="D43" s="7">
        <f t="shared" si="1"/>
        <v>0.75586047434167281</v>
      </c>
      <c r="E43" s="7">
        <f t="shared" si="2"/>
        <v>-0.27989847758459119</v>
      </c>
    </row>
    <row r="44" spans="1:5" x14ac:dyDescent="0.15">
      <c r="A44" s="7">
        <v>37</v>
      </c>
      <c r="B44" s="7">
        <v>2</v>
      </c>
      <c r="C44" s="7">
        <f t="shared" si="0"/>
        <v>4.4066701399555049E-2</v>
      </c>
      <c r="D44" s="7">
        <f t="shared" si="1"/>
        <v>4.4062294729415093E-2</v>
      </c>
      <c r="E44" s="7">
        <f t="shared" si="2"/>
        <v>-3.1221508570437044</v>
      </c>
    </row>
    <row r="45" spans="1:5" x14ac:dyDescent="0.15">
      <c r="A45" s="7">
        <v>38</v>
      </c>
      <c r="B45" s="7">
        <v>2</v>
      </c>
      <c r="C45" s="7">
        <f t="shared" si="0"/>
        <v>4.4066701399555049E-2</v>
      </c>
      <c r="D45" s="7">
        <f t="shared" si="1"/>
        <v>4.4062294729415093E-2</v>
      </c>
      <c r="E45" s="7">
        <f t="shared" si="2"/>
        <v>-3.1221508570437044</v>
      </c>
    </row>
    <row r="46" spans="1:5" x14ac:dyDescent="0.15">
      <c r="A46" s="7">
        <v>39</v>
      </c>
      <c r="B46" s="7">
        <v>1</v>
      </c>
      <c r="C46" s="7">
        <f t="shared" si="0"/>
        <v>8.8686757970141181E-2</v>
      </c>
      <c r="D46" s="7">
        <f t="shared" si="1"/>
        <v>8.867788929434417E-2</v>
      </c>
      <c r="E46" s="7">
        <f t="shared" si="2"/>
        <v>-2.4227446958891354</v>
      </c>
    </row>
    <row r="47" spans="1:5" x14ac:dyDescent="0.15">
      <c r="A47" s="7">
        <v>40</v>
      </c>
      <c r="B47" s="7">
        <v>0</v>
      </c>
      <c r="C47" s="7">
        <f t="shared" si="0"/>
        <v>0.75583605794746755</v>
      </c>
      <c r="D47" s="7">
        <f t="shared" si="1"/>
        <v>0.75586047434167281</v>
      </c>
      <c r="E47" s="7">
        <f t="shared" si="2"/>
        <v>-0.27989847758459119</v>
      </c>
    </row>
    <row r="48" spans="1:5" x14ac:dyDescent="0.15">
      <c r="A48" s="7">
        <v>41</v>
      </c>
      <c r="B48" s="7">
        <v>0</v>
      </c>
      <c r="C48" s="7">
        <f t="shared" si="0"/>
        <v>0.75583605794746755</v>
      </c>
      <c r="D48" s="7">
        <f t="shared" si="1"/>
        <v>0.75586047434167281</v>
      </c>
      <c r="E48" s="7">
        <f t="shared" si="2"/>
        <v>-0.27989847758459119</v>
      </c>
    </row>
    <row r="49" spans="1:5" x14ac:dyDescent="0.15">
      <c r="A49" s="7">
        <v>42</v>
      </c>
      <c r="B49" s="7">
        <v>0</v>
      </c>
      <c r="C49" s="7">
        <f t="shared" si="0"/>
        <v>0.75583605794746755</v>
      </c>
      <c r="D49" s="7">
        <f t="shared" si="1"/>
        <v>0.75586047434167281</v>
      </c>
      <c r="E49" s="7">
        <f t="shared" si="2"/>
        <v>-0.27989847758459119</v>
      </c>
    </row>
    <row r="50" spans="1:5" x14ac:dyDescent="0.15">
      <c r="A50" s="7">
        <v>43</v>
      </c>
      <c r="B50" s="7">
        <v>0</v>
      </c>
      <c r="C50" s="7">
        <f t="shared" si="0"/>
        <v>0.75583605794746755</v>
      </c>
      <c r="D50" s="7">
        <f t="shared" si="1"/>
        <v>0.75586047434167281</v>
      </c>
      <c r="E50" s="7">
        <f t="shared" si="2"/>
        <v>-0.27989847758459119</v>
      </c>
    </row>
    <row r="51" spans="1:5" x14ac:dyDescent="0.15">
      <c r="A51" s="7">
        <v>44</v>
      </c>
      <c r="B51" s="7">
        <v>0</v>
      </c>
      <c r="C51" s="7">
        <f t="shared" si="0"/>
        <v>0.75583605794746755</v>
      </c>
      <c r="D51" s="7">
        <f t="shared" si="1"/>
        <v>0.75586047434167281</v>
      </c>
      <c r="E51" s="7">
        <f t="shared" si="2"/>
        <v>-0.27989847758459119</v>
      </c>
    </row>
    <row r="52" spans="1:5" x14ac:dyDescent="0.15">
      <c r="A52" s="7">
        <v>45</v>
      </c>
      <c r="B52" s="7">
        <v>0</v>
      </c>
      <c r="C52" s="7">
        <f t="shared" si="0"/>
        <v>0.75583605794746755</v>
      </c>
      <c r="D52" s="7">
        <f t="shared" si="1"/>
        <v>0.75586047434167281</v>
      </c>
      <c r="E52" s="7">
        <f t="shared" si="2"/>
        <v>-0.27989847758459119</v>
      </c>
    </row>
    <row r="53" spans="1:5" x14ac:dyDescent="0.15">
      <c r="A53" s="7">
        <v>46</v>
      </c>
      <c r="B53" s="7">
        <v>0</v>
      </c>
      <c r="C53" s="7">
        <f t="shared" si="0"/>
        <v>0.75583605794746755</v>
      </c>
      <c r="D53" s="7">
        <f t="shared" si="1"/>
        <v>0.75586047434167281</v>
      </c>
      <c r="E53" s="7">
        <f t="shared" si="2"/>
        <v>-0.27989847758459119</v>
      </c>
    </row>
    <row r="54" spans="1:5" x14ac:dyDescent="0.15">
      <c r="A54" s="7">
        <v>47</v>
      </c>
      <c r="B54" s="7">
        <v>0</v>
      </c>
      <c r="C54" s="7">
        <f t="shared" si="0"/>
        <v>0.75583605794746755</v>
      </c>
      <c r="D54" s="7">
        <f t="shared" si="1"/>
        <v>0.75586047434167281</v>
      </c>
      <c r="E54" s="7">
        <f t="shared" si="2"/>
        <v>-0.27989847758459119</v>
      </c>
    </row>
    <row r="55" spans="1:5" x14ac:dyDescent="0.15">
      <c r="A55" s="7">
        <v>48</v>
      </c>
      <c r="B55" s="7">
        <v>0</v>
      </c>
      <c r="C55" s="7">
        <f t="shared" si="0"/>
        <v>0.75583605794746755</v>
      </c>
      <c r="D55" s="7">
        <f t="shared" si="1"/>
        <v>0.75586047434167281</v>
      </c>
      <c r="E55" s="7">
        <f t="shared" si="2"/>
        <v>-0.27989847758459119</v>
      </c>
    </row>
    <row r="56" spans="1:5" x14ac:dyDescent="0.15">
      <c r="A56" s="7">
        <v>49</v>
      </c>
      <c r="B56" s="7">
        <v>0</v>
      </c>
      <c r="C56" s="7">
        <f t="shared" si="0"/>
        <v>0.75583605794746755</v>
      </c>
      <c r="D56" s="7">
        <f t="shared" si="1"/>
        <v>0.75586047434167281</v>
      </c>
      <c r="E56" s="7">
        <f t="shared" si="2"/>
        <v>-0.27989847758459119</v>
      </c>
    </row>
    <row r="57" spans="1:5" x14ac:dyDescent="0.15">
      <c r="A57" s="7">
        <v>50</v>
      </c>
      <c r="B57" s="7">
        <v>0</v>
      </c>
      <c r="C57" s="7">
        <f t="shared" si="0"/>
        <v>0.75583605794746755</v>
      </c>
      <c r="D57" s="7">
        <f t="shared" si="1"/>
        <v>0.75586047434167281</v>
      </c>
      <c r="E57" s="7">
        <f t="shared" si="2"/>
        <v>-0.27989847758459119</v>
      </c>
    </row>
    <row r="58" spans="1:5" x14ac:dyDescent="0.15">
      <c r="A58" s="7">
        <v>51</v>
      </c>
      <c r="B58" s="7">
        <v>0</v>
      </c>
      <c r="C58" s="7">
        <f t="shared" si="0"/>
        <v>0.75583605794746755</v>
      </c>
      <c r="D58" s="7">
        <f t="shared" si="1"/>
        <v>0.75586047434167281</v>
      </c>
      <c r="E58" s="7">
        <f t="shared" si="2"/>
        <v>-0.27989847758459119</v>
      </c>
    </row>
    <row r="59" spans="1:5" x14ac:dyDescent="0.15">
      <c r="A59" s="7">
        <v>52</v>
      </c>
      <c r="B59" s="7">
        <v>6</v>
      </c>
      <c r="C59" s="7">
        <f t="shared" si="0"/>
        <v>1.0249964283711298E-2</v>
      </c>
      <c r="D59" s="7">
        <f t="shared" si="1"/>
        <v>1.0248939287282927E-2</v>
      </c>
      <c r="E59" s="7">
        <f t="shared" si="2"/>
        <v>-4.5805810629200954</v>
      </c>
    </row>
    <row r="60" spans="1:5" x14ac:dyDescent="0.15">
      <c r="A60" s="7">
        <v>53</v>
      </c>
      <c r="B60" s="7">
        <v>16</v>
      </c>
      <c r="C60" s="7">
        <f t="shared" si="0"/>
        <v>1.1792932174368418E-3</v>
      </c>
      <c r="D60" s="7">
        <f t="shared" si="1"/>
        <v>1.1791752881150982E-3</v>
      </c>
      <c r="E60" s="7">
        <f t="shared" si="2"/>
        <v>-6.7429399932319178</v>
      </c>
    </row>
    <row r="61" spans="1:5" x14ac:dyDescent="0.15">
      <c r="A61" s="7">
        <v>54</v>
      </c>
      <c r="B61" s="7">
        <v>1</v>
      </c>
      <c r="C61" s="7">
        <f t="shared" si="0"/>
        <v>8.8686757970141181E-2</v>
      </c>
      <c r="D61" s="7">
        <f t="shared" si="1"/>
        <v>8.867788929434417E-2</v>
      </c>
      <c r="E61" s="7">
        <f t="shared" si="2"/>
        <v>-2.4227446958891354</v>
      </c>
    </row>
    <row r="62" spans="1:5" x14ac:dyDescent="0.15">
      <c r="A62" s="7">
        <v>55</v>
      </c>
      <c r="B62" s="7">
        <v>0</v>
      </c>
      <c r="C62" s="7">
        <f t="shared" si="0"/>
        <v>0.75583605794746755</v>
      </c>
      <c r="D62" s="7">
        <f t="shared" si="1"/>
        <v>0.75586047434167281</v>
      </c>
      <c r="E62" s="7">
        <f t="shared" si="2"/>
        <v>-0.27989847758459119</v>
      </c>
    </row>
    <row r="63" spans="1:5" x14ac:dyDescent="0.15">
      <c r="A63" s="7">
        <v>56</v>
      </c>
      <c r="B63" s="7">
        <v>0</v>
      </c>
      <c r="C63" s="7">
        <f t="shared" si="0"/>
        <v>0.75583605794746755</v>
      </c>
      <c r="D63" s="7">
        <f t="shared" si="1"/>
        <v>0.75586047434167281</v>
      </c>
      <c r="E63" s="7">
        <f t="shared" si="2"/>
        <v>-0.27989847758459119</v>
      </c>
    </row>
    <row r="64" spans="1:5" x14ac:dyDescent="0.15">
      <c r="A64" s="7">
        <v>57</v>
      </c>
      <c r="B64" s="7">
        <v>0</v>
      </c>
      <c r="C64" s="7">
        <f t="shared" si="0"/>
        <v>0.75583605794746755</v>
      </c>
      <c r="D64" s="7">
        <f t="shared" si="1"/>
        <v>0.75586047434167281</v>
      </c>
      <c r="E64" s="7">
        <f t="shared" si="2"/>
        <v>-0.27989847758459119</v>
      </c>
    </row>
    <row r="65" spans="1:5" x14ac:dyDescent="0.15">
      <c r="A65" s="7">
        <v>58</v>
      </c>
      <c r="B65" s="7">
        <v>1</v>
      </c>
      <c r="C65" s="7">
        <f t="shared" si="0"/>
        <v>8.8686757970141181E-2</v>
      </c>
      <c r="D65" s="7">
        <f t="shared" si="1"/>
        <v>8.867788929434417E-2</v>
      </c>
      <c r="E65" s="7">
        <f t="shared" si="2"/>
        <v>-2.4227446958891354</v>
      </c>
    </row>
    <row r="66" spans="1:5" x14ac:dyDescent="0.15">
      <c r="A66" s="7">
        <v>59</v>
      </c>
      <c r="B66" s="7">
        <v>0</v>
      </c>
      <c r="C66" s="7">
        <f t="shared" si="0"/>
        <v>0.75583605794746755</v>
      </c>
      <c r="D66" s="7">
        <f t="shared" si="1"/>
        <v>0.75586047434167281</v>
      </c>
      <c r="E66" s="7">
        <f t="shared" si="2"/>
        <v>-0.27989847758459119</v>
      </c>
    </row>
    <row r="67" spans="1:5" x14ac:dyDescent="0.15">
      <c r="A67" s="7">
        <v>60</v>
      </c>
      <c r="B67" s="7">
        <v>0</v>
      </c>
      <c r="C67" s="7">
        <f t="shared" si="0"/>
        <v>0.75583605794746755</v>
      </c>
      <c r="D67" s="7">
        <f t="shared" si="1"/>
        <v>0.75586047434167281</v>
      </c>
      <c r="E67" s="7">
        <f t="shared" si="2"/>
        <v>-0.27989847758459119</v>
      </c>
    </row>
    <row r="68" spans="1:5" x14ac:dyDescent="0.15">
      <c r="A68" s="7">
        <v>61</v>
      </c>
      <c r="B68" s="7">
        <v>0</v>
      </c>
      <c r="C68" s="7">
        <f t="shared" si="0"/>
        <v>0.75583605794746755</v>
      </c>
      <c r="D68" s="7">
        <f t="shared" si="1"/>
        <v>0.75586047434167281</v>
      </c>
      <c r="E68" s="7">
        <f t="shared" si="2"/>
        <v>-0.27989847758459119</v>
      </c>
    </row>
    <row r="69" spans="1:5" x14ac:dyDescent="0.15">
      <c r="A69" s="7">
        <v>62</v>
      </c>
      <c r="B69" s="7">
        <v>0</v>
      </c>
      <c r="C69" s="7">
        <f t="shared" si="0"/>
        <v>0.75583605794746755</v>
      </c>
      <c r="D69" s="7">
        <f t="shared" si="1"/>
        <v>0.75586047434167281</v>
      </c>
      <c r="E69" s="7">
        <f t="shared" si="2"/>
        <v>-0.27989847758459119</v>
      </c>
    </row>
    <row r="70" spans="1:5" x14ac:dyDescent="0.15">
      <c r="A70" s="7">
        <v>63</v>
      </c>
      <c r="B70" s="7">
        <v>0</v>
      </c>
      <c r="C70" s="7">
        <f t="shared" si="0"/>
        <v>0.75583605794746755</v>
      </c>
      <c r="D70" s="7">
        <f t="shared" si="1"/>
        <v>0.75586047434167281</v>
      </c>
      <c r="E70" s="7">
        <f t="shared" si="2"/>
        <v>-0.27989847758459119</v>
      </c>
    </row>
    <row r="71" spans="1:5" x14ac:dyDescent="0.15">
      <c r="A71" s="7">
        <v>64</v>
      </c>
      <c r="B71" s="7">
        <v>0</v>
      </c>
      <c r="C71" s="7">
        <f t="shared" si="0"/>
        <v>0.75583605794746755</v>
      </c>
      <c r="D71" s="7">
        <f t="shared" si="1"/>
        <v>0.75586047434167281</v>
      </c>
      <c r="E71" s="7">
        <f t="shared" si="2"/>
        <v>-0.27989847758459119</v>
      </c>
    </row>
    <row r="72" spans="1:5" x14ac:dyDescent="0.15">
      <c r="A72" s="7">
        <v>65</v>
      </c>
      <c r="B72" s="7">
        <v>0</v>
      </c>
      <c r="C72" s="7">
        <f t="shared" si="0"/>
        <v>0.75583605794746755</v>
      </c>
      <c r="D72" s="7">
        <f t="shared" si="1"/>
        <v>0.75586047434167281</v>
      </c>
      <c r="E72" s="7">
        <f t="shared" si="2"/>
        <v>-0.27989847758459119</v>
      </c>
    </row>
    <row r="73" spans="1:5" x14ac:dyDescent="0.15">
      <c r="A73" s="7">
        <v>66</v>
      </c>
      <c r="B73" s="7">
        <v>0</v>
      </c>
      <c r="C73" s="7">
        <f t="shared" ref="C73:C136" si="7">(_xlfn.GAMMA($B$1+B73)/(_xlfn.GAMMA($B$1)*FACT(B73))) * ($B$2/($B$2+$B$5))^$B$1 * (1/($B$2 +$B$5))^B73</f>
        <v>0.75583605794746755</v>
      </c>
      <c r="D73" s="7">
        <f t="shared" ref="D73:D136" si="8" xml:space="preserve"> IF(B73 = 0, $B$3 + (1-$B$3) * C73, (1-$B$3) *C73)</f>
        <v>0.75586047434167281</v>
      </c>
      <c r="E73" s="7">
        <f t="shared" ref="E73:E136" si="9">LN(D73)</f>
        <v>-0.27989847758459119</v>
      </c>
    </row>
    <row r="74" spans="1:5" x14ac:dyDescent="0.15">
      <c r="A74" s="7">
        <v>67</v>
      </c>
      <c r="B74" s="7">
        <v>0</v>
      </c>
      <c r="C74" s="7">
        <f t="shared" si="7"/>
        <v>0.75583605794746755</v>
      </c>
      <c r="D74" s="7">
        <f t="shared" si="8"/>
        <v>0.75586047434167281</v>
      </c>
      <c r="E74" s="7">
        <f t="shared" si="9"/>
        <v>-0.27989847758459119</v>
      </c>
    </row>
    <row r="75" spans="1:5" x14ac:dyDescent="0.15">
      <c r="A75" s="7">
        <v>68</v>
      </c>
      <c r="B75" s="7">
        <v>0</v>
      </c>
      <c r="C75" s="7">
        <f t="shared" si="7"/>
        <v>0.75583605794746755</v>
      </c>
      <c r="D75" s="7">
        <f t="shared" si="8"/>
        <v>0.75586047434167281</v>
      </c>
      <c r="E75" s="7">
        <f t="shared" si="9"/>
        <v>-0.27989847758459119</v>
      </c>
    </row>
    <row r="76" spans="1:5" x14ac:dyDescent="0.15">
      <c r="A76" s="7">
        <v>69</v>
      </c>
      <c r="B76" s="7">
        <v>1</v>
      </c>
      <c r="C76" s="7">
        <f t="shared" si="7"/>
        <v>8.8686757970141181E-2</v>
      </c>
      <c r="D76" s="7">
        <f t="shared" si="8"/>
        <v>8.867788929434417E-2</v>
      </c>
      <c r="E76" s="7">
        <f t="shared" si="9"/>
        <v>-2.4227446958891354</v>
      </c>
    </row>
    <row r="77" spans="1:5" x14ac:dyDescent="0.15">
      <c r="A77" s="7">
        <v>70</v>
      </c>
      <c r="B77" s="7">
        <v>2</v>
      </c>
      <c r="C77" s="7">
        <f t="shared" si="7"/>
        <v>4.4066701399555049E-2</v>
      </c>
      <c r="D77" s="7">
        <f t="shared" si="8"/>
        <v>4.4062294729415093E-2</v>
      </c>
      <c r="E77" s="7">
        <f t="shared" si="9"/>
        <v>-3.1221508570437044</v>
      </c>
    </row>
    <row r="78" spans="1:5" x14ac:dyDescent="0.15">
      <c r="A78" s="7">
        <v>71</v>
      </c>
      <c r="B78" s="7">
        <v>0</v>
      </c>
      <c r="C78" s="7">
        <f t="shared" si="7"/>
        <v>0.75583605794746755</v>
      </c>
      <c r="D78" s="7">
        <f t="shared" si="8"/>
        <v>0.75586047434167281</v>
      </c>
      <c r="E78" s="7">
        <f t="shared" si="9"/>
        <v>-0.27989847758459119</v>
      </c>
    </row>
    <row r="79" spans="1:5" x14ac:dyDescent="0.15">
      <c r="A79" s="7">
        <v>72</v>
      </c>
      <c r="B79" s="7">
        <v>0</v>
      </c>
      <c r="C79" s="7">
        <f t="shared" si="7"/>
        <v>0.75583605794746755</v>
      </c>
      <c r="D79" s="7">
        <f t="shared" si="8"/>
        <v>0.75586047434167281</v>
      </c>
      <c r="E79" s="7">
        <f t="shared" si="9"/>
        <v>-0.27989847758459119</v>
      </c>
    </row>
    <row r="80" spans="1:5" x14ac:dyDescent="0.15">
      <c r="A80" s="7">
        <v>73</v>
      </c>
      <c r="B80" s="7">
        <v>0</v>
      </c>
      <c r="C80" s="7">
        <f t="shared" si="7"/>
        <v>0.75583605794746755</v>
      </c>
      <c r="D80" s="7">
        <f t="shared" si="8"/>
        <v>0.75586047434167281</v>
      </c>
      <c r="E80" s="7">
        <f t="shared" si="9"/>
        <v>-0.27989847758459119</v>
      </c>
    </row>
    <row r="81" spans="1:5" x14ac:dyDescent="0.15">
      <c r="A81" s="7">
        <v>74</v>
      </c>
      <c r="B81" s="7">
        <v>1</v>
      </c>
      <c r="C81" s="7">
        <f t="shared" si="7"/>
        <v>8.8686757970141181E-2</v>
      </c>
      <c r="D81" s="7">
        <f t="shared" si="8"/>
        <v>8.867788929434417E-2</v>
      </c>
      <c r="E81" s="7">
        <f t="shared" si="9"/>
        <v>-2.4227446958891354</v>
      </c>
    </row>
    <row r="82" spans="1:5" x14ac:dyDescent="0.15">
      <c r="A82" s="7">
        <v>75</v>
      </c>
      <c r="B82" s="7">
        <v>0</v>
      </c>
      <c r="C82" s="7">
        <f t="shared" si="7"/>
        <v>0.75583605794746755</v>
      </c>
      <c r="D82" s="7">
        <f t="shared" si="8"/>
        <v>0.75586047434167281</v>
      </c>
      <c r="E82" s="7">
        <f t="shared" si="9"/>
        <v>-0.27989847758459119</v>
      </c>
    </row>
    <row r="83" spans="1:5" x14ac:dyDescent="0.15">
      <c r="A83" s="7">
        <v>76</v>
      </c>
      <c r="B83" s="7">
        <v>3</v>
      </c>
      <c r="C83" s="7">
        <f t="shared" si="7"/>
        <v>2.7470963680778882E-2</v>
      </c>
      <c r="D83" s="7">
        <f t="shared" si="8"/>
        <v>2.7468216584410805E-2</v>
      </c>
      <c r="E83" s="7">
        <f t="shared" si="9"/>
        <v>-3.5947257032827968</v>
      </c>
    </row>
    <row r="84" spans="1:5" x14ac:dyDescent="0.15">
      <c r="A84" s="7">
        <v>77</v>
      </c>
      <c r="B84" s="7">
        <v>0</v>
      </c>
      <c r="C84" s="7">
        <f t="shared" si="7"/>
        <v>0.75583605794746755</v>
      </c>
      <c r="D84" s="7">
        <f t="shared" si="8"/>
        <v>0.75586047434167281</v>
      </c>
      <c r="E84" s="7">
        <f t="shared" si="9"/>
        <v>-0.27989847758459119</v>
      </c>
    </row>
    <row r="85" spans="1:5" x14ac:dyDescent="0.15">
      <c r="A85" s="7">
        <v>78</v>
      </c>
      <c r="B85" s="7">
        <v>0</v>
      </c>
      <c r="C85" s="7">
        <f t="shared" si="7"/>
        <v>0.75583605794746755</v>
      </c>
      <c r="D85" s="7">
        <f t="shared" si="8"/>
        <v>0.75586047434167281</v>
      </c>
      <c r="E85" s="7">
        <f t="shared" si="9"/>
        <v>-0.27989847758459119</v>
      </c>
    </row>
    <row r="86" spans="1:5" x14ac:dyDescent="0.15">
      <c r="A86" s="7">
        <v>79</v>
      </c>
      <c r="B86" s="7">
        <v>0</v>
      </c>
      <c r="C86" s="7">
        <f t="shared" si="7"/>
        <v>0.75583605794746755</v>
      </c>
      <c r="D86" s="7">
        <f t="shared" si="8"/>
        <v>0.75586047434167281</v>
      </c>
      <c r="E86" s="7">
        <f t="shared" si="9"/>
        <v>-0.27989847758459119</v>
      </c>
    </row>
    <row r="87" spans="1:5" x14ac:dyDescent="0.15">
      <c r="A87" s="7">
        <v>80</v>
      </c>
      <c r="B87" s="7">
        <v>0</v>
      </c>
      <c r="C87" s="7">
        <f t="shared" si="7"/>
        <v>0.75583605794746755</v>
      </c>
      <c r="D87" s="7">
        <f t="shared" si="8"/>
        <v>0.75586047434167281</v>
      </c>
      <c r="E87" s="7">
        <f t="shared" si="9"/>
        <v>-0.27989847758459119</v>
      </c>
    </row>
    <row r="88" spans="1:5" x14ac:dyDescent="0.15">
      <c r="A88" s="7">
        <v>81</v>
      </c>
      <c r="B88" s="7">
        <v>0</v>
      </c>
      <c r="C88" s="7">
        <f t="shared" si="7"/>
        <v>0.75583605794746755</v>
      </c>
      <c r="D88" s="7">
        <f t="shared" si="8"/>
        <v>0.75586047434167281</v>
      </c>
      <c r="E88" s="7">
        <f t="shared" si="9"/>
        <v>-0.27989847758459119</v>
      </c>
    </row>
    <row r="89" spans="1:5" x14ac:dyDescent="0.15">
      <c r="A89" s="7">
        <v>82</v>
      </c>
      <c r="B89" s="7">
        <v>1</v>
      </c>
      <c r="C89" s="7">
        <f t="shared" si="7"/>
        <v>8.8686757970141181E-2</v>
      </c>
      <c r="D89" s="7">
        <f t="shared" si="8"/>
        <v>8.867788929434417E-2</v>
      </c>
      <c r="E89" s="7">
        <f t="shared" si="9"/>
        <v>-2.4227446958891354</v>
      </c>
    </row>
    <row r="90" spans="1:5" x14ac:dyDescent="0.15">
      <c r="A90" s="7">
        <v>83</v>
      </c>
      <c r="B90" s="7">
        <v>0</v>
      </c>
      <c r="C90" s="7">
        <f t="shared" si="7"/>
        <v>0.75583605794746755</v>
      </c>
      <c r="D90" s="7">
        <f t="shared" si="8"/>
        <v>0.75586047434167281</v>
      </c>
      <c r="E90" s="7">
        <f t="shared" si="9"/>
        <v>-0.27989847758459119</v>
      </c>
    </row>
    <row r="91" spans="1:5" x14ac:dyDescent="0.15">
      <c r="A91" s="7">
        <v>84</v>
      </c>
      <c r="B91" s="7">
        <v>0</v>
      </c>
      <c r="C91" s="7">
        <f t="shared" si="7"/>
        <v>0.75583605794746755</v>
      </c>
      <c r="D91" s="7">
        <f t="shared" si="8"/>
        <v>0.75586047434167281</v>
      </c>
      <c r="E91" s="7">
        <f t="shared" si="9"/>
        <v>-0.27989847758459119</v>
      </c>
    </row>
    <row r="92" spans="1:5" x14ac:dyDescent="0.15">
      <c r="A92" s="7">
        <v>85</v>
      </c>
      <c r="B92" s="7">
        <v>0</v>
      </c>
      <c r="C92" s="7">
        <f t="shared" si="7"/>
        <v>0.75583605794746755</v>
      </c>
      <c r="D92" s="7">
        <f t="shared" si="8"/>
        <v>0.75586047434167281</v>
      </c>
      <c r="E92" s="7">
        <f t="shared" si="9"/>
        <v>-0.27989847758459119</v>
      </c>
    </row>
    <row r="93" spans="1:5" x14ac:dyDescent="0.15">
      <c r="A93" s="7">
        <v>86</v>
      </c>
      <c r="B93" s="7">
        <v>0</v>
      </c>
      <c r="C93" s="7">
        <f t="shared" si="7"/>
        <v>0.75583605794746755</v>
      </c>
      <c r="D93" s="7">
        <f t="shared" si="8"/>
        <v>0.75586047434167281</v>
      </c>
      <c r="E93" s="7">
        <f t="shared" si="9"/>
        <v>-0.27989847758459119</v>
      </c>
    </row>
    <row r="94" spans="1:5" x14ac:dyDescent="0.15">
      <c r="A94" s="7">
        <v>87</v>
      </c>
      <c r="B94" s="7">
        <v>0</v>
      </c>
      <c r="C94" s="7">
        <f t="shared" si="7"/>
        <v>0.75583605794746755</v>
      </c>
      <c r="D94" s="7">
        <f t="shared" si="8"/>
        <v>0.75586047434167281</v>
      </c>
      <c r="E94" s="7">
        <f t="shared" si="9"/>
        <v>-0.27989847758459119</v>
      </c>
    </row>
    <row r="95" spans="1:5" x14ac:dyDescent="0.15">
      <c r="A95" s="7">
        <v>88</v>
      </c>
      <c r="B95" s="7">
        <v>0</v>
      </c>
      <c r="C95" s="7">
        <f t="shared" si="7"/>
        <v>0.75583605794746755</v>
      </c>
      <c r="D95" s="7">
        <f t="shared" si="8"/>
        <v>0.75586047434167281</v>
      </c>
      <c r="E95" s="7">
        <f t="shared" si="9"/>
        <v>-0.27989847758459119</v>
      </c>
    </row>
    <row r="96" spans="1:5" x14ac:dyDescent="0.15">
      <c r="A96" s="7">
        <v>89</v>
      </c>
      <c r="B96" s="7">
        <v>0</v>
      </c>
      <c r="C96" s="7">
        <f t="shared" si="7"/>
        <v>0.75583605794746755</v>
      </c>
      <c r="D96" s="7">
        <f t="shared" si="8"/>
        <v>0.75586047434167281</v>
      </c>
      <c r="E96" s="7">
        <f t="shared" si="9"/>
        <v>-0.27989847758459119</v>
      </c>
    </row>
    <row r="97" spans="1:5" x14ac:dyDescent="0.15">
      <c r="A97" s="7">
        <v>90</v>
      </c>
      <c r="B97" s="7">
        <v>1</v>
      </c>
      <c r="C97" s="7">
        <f t="shared" si="7"/>
        <v>8.8686757970141181E-2</v>
      </c>
      <c r="D97" s="7">
        <f t="shared" si="8"/>
        <v>8.867788929434417E-2</v>
      </c>
      <c r="E97" s="7">
        <f t="shared" si="9"/>
        <v>-2.4227446958891354</v>
      </c>
    </row>
    <row r="98" spans="1:5" x14ac:dyDescent="0.15">
      <c r="A98" s="7">
        <v>91</v>
      </c>
      <c r="B98" s="7">
        <v>0</v>
      </c>
      <c r="C98" s="7">
        <f t="shared" si="7"/>
        <v>0.75583605794746755</v>
      </c>
      <c r="D98" s="7">
        <f t="shared" si="8"/>
        <v>0.75586047434167281</v>
      </c>
      <c r="E98" s="7">
        <f t="shared" si="9"/>
        <v>-0.27989847758459119</v>
      </c>
    </row>
    <row r="99" spans="1:5" x14ac:dyDescent="0.15">
      <c r="A99" s="7">
        <v>92</v>
      </c>
      <c r="B99" s="7">
        <v>0</v>
      </c>
      <c r="C99" s="7">
        <f t="shared" si="7"/>
        <v>0.75583605794746755</v>
      </c>
      <c r="D99" s="7">
        <f t="shared" si="8"/>
        <v>0.75586047434167281</v>
      </c>
      <c r="E99" s="7">
        <f t="shared" si="9"/>
        <v>-0.27989847758459119</v>
      </c>
    </row>
    <row r="100" spans="1:5" x14ac:dyDescent="0.15">
      <c r="A100" s="7">
        <v>93</v>
      </c>
      <c r="B100" s="7">
        <v>4</v>
      </c>
      <c r="C100" s="7">
        <f t="shared" si="7"/>
        <v>1.8863004210024691E-2</v>
      </c>
      <c r="D100" s="7">
        <f t="shared" si="8"/>
        <v>1.8861117909603688E-2</v>
      </c>
      <c r="E100" s="7">
        <f t="shared" si="9"/>
        <v>-3.9706527294293466</v>
      </c>
    </row>
    <row r="101" spans="1:5" x14ac:dyDescent="0.15">
      <c r="A101" s="7">
        <v>94</v>
      </c>
      <c r="B101" s="7">
        <v>0</v>
      </c>
      <c r="C101" s="7">
        <f t="shared" si="7"/>
        <v>0.75583605794746755</v>
      </c>
      <c r="D101" s="7">
        <f t="shared" si="8"/>
        <v>0.75586047434167281</v>
      </c>
      <c r="E101" s="7">
        <f t="shared" si="9"/>
        <v>-0.27989847758459119</v>
      </c>
    </row>
    <row r="102" spans="1:5" x14ac:dyDescent="0.15">
      <c r="A102" s="7">
        <v>95</v>
      </c>
      <c r="B102" s="7">
        <v>0</v>
      </c>
      <c r="C102" s="7">
        <f t="shared" si="7"/>
        <v>0.75583605794746755</v>
      </c>
      <c r="D102" s="7">
        <f t="shared" si="8"/>
        <v>0.75586047434167281</v>
      </c>
      <c r="E102" s="7">
        <f t="shared" si="9"/>
        <v>-0.27989847758459119</v>
      </c>
    </row>
    <row r="103" spans="1:5" x14ac:dyDescent="0.15">
      <c r="A103" s="7">
        <v>96</v>
      </c>
      <c r="B103" s="7">
        <v>0</v>
      </c>
      <c r="C103" s="7">
        <f t="shared" si="7"/>
        <v>0.75583605794746755</v>
      </c>
      <c r="D103" s="7">
        <f t="shared" si="8"/>
        <v>0.75586047434167281</v>
      </c>
      <c r="E103" s="7">
        <f t="shared" si="9"/>
        <v>-0.27989847758459119</v>
      </c>
    </row>
    <row r="104" spans="1:5" x14ac:dyDescent="0.15">
      <c r="A104" s="7">
        <v>97</v>
      </c>
      <c r="B104" s="7">
        <v>0</v>
      </c>
      <c r="C104" s="7">
        <f t="shared" si="7"/>
        <v>0.75583605794746755</v>
      </c>
      <c r="D104" s="7">
        <f t="shared" si="8"/>
        <v>0.75586047434167281</v>
      </c>
      <c r="E104" s="7">
        <f t="shared" si="9"/>
        <v>-0.27989847758459119</v>
      </c>
    </row>
    <row r="105" spans="1:5" x14ac:dyDescent="0.15">
      <c r="A105" s="7">
        <v>98</v>
      </c>
      <c r="B105" s="7">
        <v>0</v>
      </c>
      <c r="C105" s="7">
        <f t="shared" si="7"/>
        <v>0.75583605794746755</v>
      </c>
      <c r="D105" s="7">
        <f t="shared" si="8"/>
        <v>0.75586047434167281</v>
      </c>
      <c r="E105" s="7">
        <f t="shared" si="9"/>
        <v>-0.27989847758459119</v>
      </c>
    </row>
    <row r="106" spans="1:5" x14ac:dyDescent="0.15">
      <c r="A106" s="7">
        <v>99</v>
      </c>
      <c r="B106" s="7">
        <v>0</v>
      </c>
      <c r="C106" s="7">
        <f t="shared" si="7"/>
        <v>0.75583605794746755</v>
      </c>
      <c r="D106" s="7">
        <f t="shared" si="8"/>
        <v>0.75586047434167281</v>
      </c>
      <c r="E106" s="7">
        <f t="shared" si="9"/>
        <v>-0.27989847758459119</v>
      </c>
    </row>
    <row r="107" spans="1:5" x14ac:dyDescent="0.15">
      <c r="A107" s="7">
        <v>100</v>
      </c>
      <c r="B107" s="7">
        <v>9</v>
      </c>
      <c r="C107" s="7">
        <f t="shared" si="7"/>
        <v>4.8729771313975011E-3</v>
      </c>
      <c r="D107" s="7">
        <f t="shared" si="8"/>
        <v>4.8724898336843618E-3</v>
      </c>
      <c r="E107" s="7">
        <f t="shared" si="9"/>
        <v>-5.324150213052798</v>
      </c>
    </row>
    <row r="108" spans="1:5" x14ac:dyDescent="0.15">
      <c r="A108" s="7">
        <v>101</v>
      </c>
      <c r="B108" s="7">
        <v>0</v>
      </c>
      <c r="C108" s="7">
        <f t="shared" si="7"/>
        <v>0.75583605794746755</v>
      </c>
      <c r="D108" s="7">
        <f t="shared" si="8"/>
        <v>0.75586047434167281</v>
      </c>
      <c r="E108" s="7">
        <f t="shared" si="9"/>
        <v>-0.27989847758459119</v>
      </c>
    </row>
    <row r="109" spans="1:5" x14ac:dyDescent="0.15">
      <c r="A109" s="7">
        <v>102</v>
      </c>
      <c r="B109" s="7">
        <v>0</v>
      </c>
      <c r="C109" s="7">
        <f t="shared" si="7"/>
        <v>0.75583605794746755</v>
      </c>
      <c r="D109" s="7">
        <f t="shared" si="8"/>
        <v>0.75586047434167281</v>
      </c>
      <c r="E109" s="7">
        <f t="shared" si="9"/>
        <v>-0.27989847758459119</v>
      </c>
    </row>
    <row r="110" spans="1:5" x14ac:dyDescent="0.15">
      <c r="A110" s="7">
        <v>103</v>
      </c>
      <c r="B110" s="7">
        <v>1</v>
      </c>
      <c r="C110" s="7">
        <f t="shared" si="7"/>
        <v>8.8686757970141181E-2</v>
      </c>
      <c r="D110" s="7">
        <f t="shared" si="8"/>
        <v>8.867788929434417E-2</v>
      </c>
      <c r="E110" s="7">
        <f t="shared" si="9"/>
        <v>-2.4227446958891354</v>
      </c>
    </row>
    <row r="111" spans="1:5" x14ac:dyDescent="0.15">
      <c r="A111" s="7">
        <v>104</v>
      </c>
      <c r="B111" s="7">
        <v>0</v>
      </c>
      <c r="C111" s="7">
        <f t="shared" si="7"/>
        <v>0.75583605794746755</v>
      </c>
      <c r="D111" s="7">
        <f t="shared" si="8"/>
        <v>0.75586047434167281</v>
      </c>
      <c r="E111" s="7">
        <f t="shared" si="9"/>
        <v>-0.27989847758459119</v>
      </c>
    </row>
    <row r="112" spans="1:5" x14ac:dyDescent="0.15">
      <c r="A112" s="7">
        <v>105</v>
      </c>
      <c r="B112" s="7">
        <v>0</v>
      </c>
      <c r="C112" s="7">
        <f t="shared" si="7"/>
        <v>0.75583605794746755</v>
      </c>
      <c r="D112" s="7">
        <f t="shared" si="8"/>
        <v>0.75586047434167281</v>
      </c>
      <c r="E112" s="7">
        <f t="shared" si="9"/>
        <v>-0.27989847758459119</v>
      </c>
    </row>
    <row r="113" spans="1:5" x14ac:dyDescent="0.15">
      <c r="A113" s="7">
        <v>106</v>
      </c>
      <c r="B113" s="7">
        <v>0</v>
      </c>
      <c r="C113" s="7">
        <f t="shared" si="7"/>
        <v>0.75583605794746755</v>
      </c>
      <c r="D113" s="7">
        <f t="shared" si="8"/>
        <v>0.75586047434167281</v>
      </c>
      <c r="E113" s="7">
        <f t="shared" si="9"/>
        <v>-0.27989847758459119</v>
      </c>
    </row>
    <row r="114" spans="1:5" x14ac:dyDescent="0.15">
      <c r="A114" s="7">
        <v>107</v>
      </c>
      <c r="B114" s="7">
        <v>0</v>
      </c>
      <c r="C114" s="7">
        <f t="shared" si="7"/>
        <v>0.75583605794746755</v>
      </c>
      <c r="D114" s="7">
        <f t="shared" si="8"/>
        <v>0.75586047434167281</v>
      </c>
      <c r="E114" s="7">
        <f t="shared" si="9"/>
        <v>-0.27989847758459119</v>
      </c>
    </row>
    <row r="115" spans="1:5" x14ac:dyDescent="0.15">
      <c r="A115" s="7">
        <v>108</v>
      </c>
      <c r="B115" s="7">
        <v>0</v>
      </c>
      <c r="C115" s="7">
        <f t="shared" si="7"/>
        <v>0.75583605794746755</v>
      </c>
      <c r="D115" s="7">
        <f t="shared" si="8"/>
        <v>0.75586047434167281</v>
      </c>
      <c r="E115" s="7">
        <f t="shared" si="9"/>
        <v>-0.27989847758459119</v>
      </c>
    </row>
    <row r="116" spans="1:5" x14ac:dyDescent="0.15">
      <c r="A116" s="7">
        <v>109</v>
      </c>
      <c r="B116" s="7">
        <v>5</v>
      </c>
      <c r="C116" s="7">
        <f t="shared" si="7"/>
        <v>1.366826244062944E-2</v>
      </c>
      <c r="D116" s="7">
        <f t="shared" si="8"/>
        <v>1.3666895614385376E-2</v>
      </c>
      <c r="E116" s="7">
        <f t="shared" si="9"/>
        <v>-4.2927787488141558</v>
      </c>
    </row>
    <row r="117" spans="1:5" x14ac:dyDescent="0.15">
      <c r="A117" s="7">
        <v>110</v>
      </c>
      <c r="B117" s="7">
        <v>0</v>
      </c>
      <c r="C117" s="7">
        <f t="shared" si="7"/>
        <v>0.75583605794746755</v>
      </c>
      <c r="D117" s="7">
        <f t="shared" si="8"/>
        <v>0.75586047434167281</v>
      </c>
      <c r="E117" s="7">
        <f t="shared" si="9"/>
        <v>-0.27989847758459119</v>
      </c>
    </row>
    <row r="118" spans="1:5" x14ac:dyDescent="0.15">
      <c r="A118" s="7">
        <v>111</v>
      </c>
      <c r="B118" s="7">
        <v>0</v>
      </c>
      <c r="C118" s="7">
        <f t="shared" si="7"/>
        <v>0.75583605794746755</v>
      </c>
      <c r="D118" s="7">
        <f t="shared" si="8"/>
        <v>0.75586047434167281</v>
      </c>
      <c r="E118" s="7">
        <f t="shared" si="9"/>
        <v>-0.27989847758459119</v>
      </c>
    </row>
    <row r="119" spans="1:5" x14ac:dyDescent="0.15">
      <c r="A119" s="7">
        <v>112</v>
      </c>
      <c r="B119" s="7">
        <v>3</v>
      </c>
      <c r="C119" s="7">
        <f t="shared" si="7"/>
        <v>2.7470963680778882E-2</v>
      </c>
      <c r="D119" s="7">
        <f t="shared" si="8"/>
        <v>2.7468216584410805E-2</v>
      </c>
      <c r="E119" s="7">
        <f t="shared" si="9"/>
        <v>-3.5947257032827968</v>
      </c>
    </row>
    <row r="120" spans="1:5" x14ac:dyDescent="0.15">
      <c r="A120" s="7">
        <v>113</v>
      </c>
      <c r="B120" s="7">
        <v>1</v>
      </c>
      <c r="C120" s="7">
        <f t="shared" si="7"/>
        <v>8.8686757970141181E-2</v>
      </c>
      <c r="D120" s="7">
        <f t="shared" si="8"/>
        <v>8.867788929434417E-2</v>
      </c>
      <c r="E120" s="7">
        <f t="shared" si="9"/>
        <v>-2.4227446958891354</v>
      </c>
    </row>
    <row r="121" spans="1:5" x14ac:dyDescent="0.15">
      <c r="A121" s="7">
        <v>114</v>
      </c>
      <c r="B121" s="7">
        <v>0</v>
      </c>
      <c r="C121" s="7">
        <f t="shared" si="7"/>
        <v>0.75583605794746755</v>
      </c>
      <c r="D121" s="7">
        <f t="shared" si="8"/>
        <v>0.75586047434167281</v>
      </c>
      <c r="E121" s="7">
        <f t="shared" si="9"/>
        <v>-0.27989847758459119</v>
      </c>
    </row>
    <row r="122" spans="1:5" x14ac:dyDescent="0.15">
      <c r="A122" s="7">
        <v>115</v>
      </c>
      <c r="B122" s="7">
        <v>0</v>
      </c>
      <c r="C122" s="7">
        <f t="shared" si="7"/>
        <v>0.75583605794746755</v>
      </c>
      <c r="D122" s="7">
        <f t="shared" si="8"/>
        <v>0.75586047434167281</v>
      </c>
      <c r="E122" s="7">
        <f t="shared" si="9"/>
        <v>-0.27989847758459119</v>
      </c>
    </row>
    <row r="123" spans="1:5" x14ac:dyDescent="0.15">
      <c r="A123" s="7">
        <v>116</v>
      </c>
      <c r="B123" s="7">
        <v>0</v>
      </c>
      <c r="C123" s="7">
        <f t="shared" si="7"/>
        <v>0.75583605794746755</v>
      </c>
      <c r="D123" s="7">
        <f t="shared" si="8"/>
        <v>0.75586047434167281</v>
      </c>
      <c r="E123" s="7">
        <f t="shared" si="9"/>
        <v>-0.27989847758459119</v>
      </c>
    </row>
    <row r="124" spans="1:5" x14ac:dyDescent="0.15">
      <c r="A124" s="7">
        <v>117</v>
      </c>
      <c r="B124" s="7">
        <v>0</v>
      </c>
      <c r="C124" s="7">
        <f t="shared" si="7"/>
        <v>0.75583605794746755</v>
      </c>
      <c r="D124" s="7">
        <f t="shared" si="8"/>
        <v>0.75586047434167281</v>
      </c>
      <c r="E124" s="7">
        <f t="shared" si="9"/>
        <v>-0.27989847758459119</v>
      </c>
    </row>
    <row r="125" spans="1:5" x14ac:dyDescent="0.15">
      <c r="A125" s="7">
        <v>118</v>
      </c>
      <c r="B125" s="7">
        <v>1</v>
      </c>
      <c r="C125" s="7">
        <f t="shared" si="7"/>
        <v>8.8686757970141181E-2</v>
      </c>
      <c r="D125" s="7">
        <f t="shared" si="8"/>
        <v>8.867788929434417E-2</v>
      </c>
      <c r="E125" s="7">
        <f t="shared" si="9"/>
        <v>-2.4227446958891354</v>
      </c>
    </row>
    <row r="126" spans="1:5" x14ac:dyDescent="0.15">
      <c r="A126" s="7">
        <v>119</v>
      </c>
      <c r="B126" s="7">
        <v>0</v>
      </c>
      <c r="C126" s="7">
        <f t="shared" si="7"/>
        <v>0.75583605794746755</v>
      </c>
      <c r="D126" s="7">
        <f t="shared" si="8"/>
        <v>0.75586047434167281</v>
      </c>
      <c r="E126" s="7">
        <f t="shared" si="9"/>
        <v>-0.27989847758459119</v>
      </c>
    </row>
    <row r="127" spans="1:5" x14ac:dyDescent="0.15">
      <c r="A127" s="7">
        <v>120</v>
      </c>
      <c r="B127" s="7">
        <v>0</v>
      </c>
      <c r="C127" s="7">
        <f t="shared" si="7"/>
        <v>0.75583605794746755</v>
      </c>
      <c r="D127" s="7">
        <f t="shared" si="8"/>
        <v>0.75586047434167281</v>
      </c>
      <c r="E127" s="7">
        <f t="shared" si="9"/>
        <v>-0.27989847758459119</v>
      </c>
    </row>
    <row r="128" spans="1:5" x14ac:dyDescent="0.15">
      <c r="A128" s="7">
        <v>121</v>
      </c>
      <c r="B128" s="7">
        <v>1</v>
      </c>
      <c r="C128" s="7">
        <f t="shared" si="7"/>
        <v>8.8686757970141181E-2</v>
      </c>
      <c r="D128" s="7">
        <f t="shared" si="8"/>
        <v>8.867788929434417E-2</v>
      </c>
      <c r="E128" s="7">
        <f t="shared" si="9"/>
        <v>-2.4227446958891354</v>
      </c>
    </row>
    <row r="129" spans="1:5" x14ac:dyDescent="0.15">
      <c r="A129" s="7">
        <v>122</v>
      </c>
      <c r="B129" s="7">
        <v>0</v>
      </c>
      <c r="C129" s="7">
        <f t="shared" si="7"/>
        <v>0.75583605794746755</v>
      </c>
      <c r="D129" s="7">
        <f t="shared" si="8"/>
        <v>0.75586047434167281</v>
      </c>
      <c r="E129" s="7">
        <f t="shared" si="9"/>
        <v>-0.27989847758459119</v>
      </c>
    </row>
    <row r="130" spans="1:5" x14ac:dyDescent="0.15">
      <c r="A130" s="7">
        <v>123</v>
      </c>
      <c r="B130" s="7">
        <v>0</v>
      </c>
      <c r="C130" s="7">
        <f t="shared" si="7"/>
        <v>0.75583605794746755</v>
      </c>
      <c r="D130" s="7">
        <f t="shared" si="8"/>
        <v>0.75586047434167281</v>
      </c>
      <c r="E130" s="7">
        <f t="shared" si="9"/>
        <v>-0.27989847758459119</v>
      </c>
    </row>
    <row r="131" spans="1:5" x14ac:dyDescent="0.15">
      <c r="A131" s="7">
        <v>124</v>
      </c>
      <c r="B131" s="7">
        <v>0</v>
      </c>
      <c r="C131" s="7">
        <f t="shared" si="7"/>
        <v>0.75583605794746755</v>
      </c>
      <c r="D131" s="7">
        <f t="shared" si="8"/>
        <v>0.75586047434167281</v>
      </c>
      <c r="E131" s="7">
        <f t="shared" si="9"/>
        <v>-0.27989847758459119</v>
      </c>
    </row>
    <row r="132" spans="1:5" x14ac:dyDescent="0.15">
      <c r="A132" s="7">
        <v>125</v>
      </c>
      <c r="B132" s="7">
        <v>0</v>
      </c>
      <c r="C132" s="7">
        <f t="shared" si="7"/>
        <v>0.75583605794746755</v>
      </c>
      <c r="D132" s="7">
        <f t="shared" si="8"/>
        <v>0.75586047434167281</v>
      </c>
      <c r="E132" s="7">
        <f t="shared" si="9"/>
        <v>-0.27989847758459119</v>
      </c>
    </row>
    <row r="133" spans="1:5" x14ac:dyDescent="0.15">
      <c r="A133" s="7">
        <v>126</v>
      </c>
      <c r="B133" s="7">
        <v>0</v>
      </c>
      <c r="C133" s="7">
        <f t="shared" si="7"/>
        <v>0.75583605794746755</v>
      </c>
      <c r="D133" s="7">
        <f t="shared" si="8"/>
        <v>0.75586047434167281</v>
      </c>
      <c r="E133" s="7">
        <f t="shared" si="9"/>
        <v>-0.27989847758459119</v>
      </c>
    </row>
    <row r="134" spans="1:5" x14ac:dyDescent="0.15">
      <c r="A134" s="7">
        <v>127</v>
      </c>
      <c r="B134" s="7">
        <v>0</v>
      </c>
      <c r="C134" s="7">
        <f t="shared" si="7"/>
        <v>0.75583605794746755</v>
      </c>
      <c r="D134" s="7">
        <f t="shared" si="8"/>
        <v>0.75586047434167281</v>
      </c>
      <c r="E134" s="7">
        <f t="shared" si="9"/>
        <v>-0.27989847758459119</v>
      </c>
    </row>
    <row r="135" spans="1:5" x14ac:dyDescent="0.15">
      <c r="A135" s="7">
        <v>128</v>
      </c>
      <c r="B135" s="7">
        <v>0</v>
      </c>
      <c r="C135" s="7">
        <f t="shared" si="7"/>
        <v>0.75583605794746755</v>
      </c>
      <c r="D135" s="7">
        <f t="shared" si="8"/>
        <v>0.75586047434167281</v>
      </c>
      <c r="E135" s="7">
        <f t="shared" si="9"/>
        <v>-0.27989847758459119</v>
      </c>
    </row>
    <row r="136" spans="1:5" x14ac:dyDescent="0.15">
      <c r="A136" s="7">
        <v>129</v>
      </c>
      <c r="B136" s="7">
        <v>0</v>
      </c>
      <c r="C136" s="7">
        <f t="shared" si="7"/>
        <v>0.75583605794746755</v>
      </c>
      <c r="D136" s="7">
        <f t="shared" si="8"/>
        <v>0.75586047434167281</v>
      </c>
      <c r="E136" s="7">
        <f t="shared" si="9"/>
        <v>-0.27989847758459119</v>
      </c>
    </row>
    <row r="137" spans="1:5" x14ac:dyDescent="0.15">
      <c r="A137" s="7">
        <v>130</v>
      </c>
      <c r="B137" s="7">
        <v>0</v>
      </c>
      <c r="C137" s="7">
        <f t="shared" ref="C137:C200" si="10">(_xlfn.GAMMA($B$1+B137)/(_xlfn.GAMMA($B$1)*FACT(B137))) * ($B$2/($B$2+$B$5))^$B$1 * (1/($B$2 +$B$5))^B137</f>
        <v>0.75583605794746755</v>
      </c>
      <c r="D137" s="7">
        <f t="shared" ref="D137:D200" si="11" xml:space="preserve"> IF(B137 = 0, $B$3 + (1-$B$3) * C137, (1-$B$3) *C137)</f>
        <v>0.75586047434167281</v>
      </c>
      <c r="E137" s="7">
        <f t="shared" ref="E137:E200" si="12">LN(D137)</f>
        <v>-0.27989847758459119</v>
      </c>
    </row>
    <row r="138" spans="1:5" x14ac:dyDescent="0.15">
      <c r="A138" s="7">
        <v>131</v>
      </c>
      <c r="B138" s="7">
        <v>0</v>
      </c>
      <c r="C138" s="7">
        <f t="shared" si="10"/>
        <v>0.75583605794746755</v>
      </c>
      <c r="D138" s="7">
        <f t="shared" si="11"/>
        <v>0.75586047434167281</v>
      </c>
      <c r="E138" s="7">
        <f t="shared" si="12"/>
        <v>-0.27989847758459119</v>
      </c>
    </row>
    <row r="139" spans="1:5" x14ac:dyDescent="0.15">
      <c r="A139" s="7">
        <v>132</v>
      </c>
      <c r="B139" s="7">
        <v>0</v>
      </c>
      <c r="C139" s="7">
        <f t="shared" si="10"/>
        <v>0.75583605794746755</v>
      </c>
      <c r="D139" s="7">
        <f t="shared" si="11"/>
        <v>0.75586047434167281</v>
      </c>
      <c r="E139" s="7">
        <f t="shared" si="12"/>
        <v>-0.27989847758459119</v>
      </c>
    </row>
    <row r="140" spans="1:5" x14ac:dyDescent="0.15">
      <c r="A140" s="7">
        <v>133</v>
      </c>
      <c r="B140" s="7">
        <v>0</v>
      </c>
      <c r="C140" s="7">
        <f t="shared" si="10"/>
        <v>0.75583605794746755</v>
      </c>
      <c r="D140" s="7">
        <f t="shared" si="11"/>
        <v>0.75586047434167281</v>
      </c>
      <c r="E140" s="7">
        <f t="shared" si="12"/>
        <v>-0.27989847758459119</v>
      </c>
    </row>
    <row r="141" spans="1:5" x14ac:dyDescent="0.15">
      <c r="A141" s="7">
        <v>134</v>
      </c>
      <c r="B141" s="7">
        <v>0</v>
      </c>
      <c r="C141" s="7">
        <f t="shared" si="10"/>
        <v>0.75583605794746755</v>
      </c>
      <c r="D141" s="7">
        <f t="shared" si="11"/>
        <v>0.75586047434167281</v>
      </c>
      <c r="E141" s="7">
        <f t="shared" si="12"/>
        <v>-0.27989847758459119</v>
      </c>
    </row>
    <row r="142" spans="1:5" x14ac:dyDescent="0.15">
      <c r="A142" s="7">
        <v>135</v>
      </c>
      <c r="B142" s="7">
        <v>0</v>
      </c>
      <c r="C142" s="7">
        <f t="shared" si="10"/>
        <v>0.75583605794746755</v>
      </c>
      <c r="D142" s="7">
        <f t="shared" si="11"/>
        <v>0.75586047434167281</v>
      </c>
      <c r="E142" s="7">
        <f t="shared" si="12"/>
        <v>-0.27989847758459119</v>
      </c>
    </row>
    <row r="143" spans="1:5" x14ac:dyDescent="0.15">
      <c r="A143" s="7">
        <v>136</v>
      </c>
      <c r="B143" s="7">
        <v>8</v>
      </c>
      <c r="C143" s="7">
        <f t="shared" si="10"/>
        <v>6.1521164907488192E-3</v>
      </c>
      <c r="D143" s="7">
        <f t="shared" si="11"/>
        <v>6.1515012790997444E-3</v>
      </c>
      <c r="E143" s="7">
        <f t="shared" si="12"/>
        <v>-5.0910591165310892</v>
      </c>
    </row>
    <row r="144" spans="1:5" x14ac:dyDescent="0.15">
      <c r="A144" s="7">
        <v>137</v>
      </c>
      <c r="B144" s="7">
        <v>2</v>
      </c>
      <c r="C144" s="7">
        <f t="shared" si="10"/>
        <v>4.4066701399555049E-2</v>
      </c>
      <c r="D144" s="7">
        <f t="shared" si="11"/>
        <v>4.4062294729415093E-2</v>
      </c>
      <c r="E144" s="7">
        <f t="shared" si="12"/>
        <v>-3.1221508570437044</v>
      </c>
    </row>
    <row r="145" spans="1:5" x14ac:dyDescent="0.15">
      <c r="A145" s="7">
        <v>138</v>
      </c>
      <c r="B145" s="7">
        <v>0</v>
      </c>
      <c r="C145" s="7">
        <f t="shared" si="10"/>
        <v>0.75583605794746755</v>
      </c>
      <c r="D145" s="7">
        <f t="shared" si="11"/>
        <v>0.75586047434167281</v>
      </c>
      <c r="E145" s="7">
        <f t="shared" si="12"/>
        <v>-0.27989847758459119</v>
      </c>
    </row>
    <row r="146" spans="1:5" x14ac:dyDescent="0.15">
      <c r="A146" s="7">
        <v>139</v>
      </c>
      <c r="B146" s="7">
        <v>0</v>
      </c>
      <c r="C146" s="7">
        <f t="shared" si="10"/>
        <v>0.75583605794746755</v>
      </c>
      <c r="D146" s="7">
        <f t="shared" si="11"/>
        <v>0.75586047434167281</v>
      </c>
      <c r="E146" s="7">
        <f t="shared" si="12"/>
        <v>-0.27989847758459119</v>
      </c>
    </row>
    <row r="147" spans="1:5" x14ac:dyDescent="0.15">
      <c r="A147" s="7">
        <v>140</v>
      </c>
      <c r="B147" s="7">
        <v>0</v>
      </c>
      <c r="C147" s="7">
        <f t="shared" si="10"/>
        <v>0.75583605794746755</v>
      </c>
      <c r="D147" s="7">
        <f t="shared" si="11"/>
        <v>0.75586047434167281</v>
      </c>
      <c r="E147" s="7">
        <f t="shared" si="12"/>
        <v>-0.27989847758459119</v>
      </c>
    </row>
    <row r="148" spans="1:5" x14ac:dyDescent="0.15">
      <c r="A148" s="7">
        <v>141</v>
      </c>
      <c r="B148" s="7">
        <v>1</v>
      </c>
      <c r="C148" s="7">
        <f t="shared" si="10"/>
        <v>8.8686757970141181E-2</v>
      </c>
      <c r="D148" s="7">
        <f t="shared" si="11"/>
        <v>8.867788929434417E-2</v>
      </c>
      <c r="E148" s="7">
        <f t="shared" si="12"/>
        <v>-2.4227446958891354</v>
      </c>
    </row>
    <row r="149" spans="1:5" x14ac:dyDescent="0.15">
      <c r="A149" s="7">
        <v>142</v>
      </c>
      <c r="B149" s="7">
        <v>2</v>
      </c>
      <c r="C149" s="7">
        <f t="shared" si="10"/>
        <v>4.4066701399555049E-2</v>
      </c>
      <c r="D149" s="7">
        <f t="shared" si="11"/>
        <v>4.4062294729415093E-2</v>
      </c>
      <c r="E149" s="7">
        <f t="shared" si="12"/>
        <v>-3.1221508570437044</v>
      </c>
    </row>
    <row r="150" spans="1:5" x14ac:dyDescent="0.15">
      <c r="A150" s="7">
        <v>143</v>
      </c>
      <c r="B150" s="7">
        <v>0</v>
      </c>
      <c r="C150" s="7">
        <f t="shared" si="10"/>
        <v>0.75583605794746755</v>
      </c>
      <c r="D150" s="7">
        <f t="shared" si="11"/>
        <v>0.75586047434167281</v>
      </c>
      <c r="E150" s="7">
        <f t="shared" si="12"/>
        <v>-0.27989847758459119</v>
      </c>
    </row>
    <row r="151" spans="1:5" x14ac:dyDescent="0.15">
      <c r="A151" s="7">
        <v>144</v>
      </c>
      <c r="B151" s="7">
        <v>6</v>
      </c>
      <c r="C151" s="7">
        <f t="shared" si="10"/>
        <v>1.0249964283711298E-2</v>
      </c>
      <c r="D151" s="7">
        <f t="shared" si="11"/>
        <v>1.0248939287282927E-2</v>
      </c>
      <c r="E151" s="7">
        <f t="shared" si="12"/>
        <v>-4.5805810629200954</v>
      </c>
    </row>
    <row r="152" spans="1:5" x14ac:dyDescent="0.15">
      <c r="A152" s="7">
        <v>145</v>
      </c>
      <c r="B152" s="7">
        <v>0</v>
      </c>
      <c r="C152" s="7">
        <f t="shared" si="10"/>
        <v>0.75583605794746755</v>
      </c>
      <c r="D152" s="7">
        <f t="shared" si="11"/>
        <v>0.75586047434167281</v>
      </c>
      <c r="E152" s="7">
        <f t="shared" si="12"/>
        <v>-0.27989847758459119</v>
      </c>
    </row>
    <row r="153" spans="1:5" x14ac:dyDescent="0.15">
      <c r="A153" s="7">
        <v>146</v>
      </c>
      <c r="B153" s="7">
        <v>1</v>
      </c>
      <c r="C153" s="7">
        <f t="shared" si="10"/>
        <v>8.8686757970141181E-2</v>
      </c>
      <c r="D153" s="7">
        <f t="shared" si="11"/>
        <v>8.867788929434417E-2</v>
      </c>
      <c r="E153" s="7">
        <f t="shared" si="12"/>
        <v>-2.4227446958891354</v>
      </c>
    </row>
    <row r="154" spans="1:5" x14ac:dyDescent="0.15">
      <c r="A154" s="7">
        <v>147</v>
      </c>
      <c r="B154" s="7">
        <v>0</v>
      </c>
      <c r="C154" s="7">
        <f t="shared" si="10"/>
        <v>0.75583605794746755</v>
      </c>
      <c r="D154" s="7">
        <f t="shared" si="11"/>
        <v>0.75586047434167281</v>
      </c>
      <c r="E154" s="7">
        <f t="shared" si="12"/>
        <v>-0.27989847758459119</v>
      </c>
    </row>
    <row r="155" spans="1:5" x14ac:dyDescent="0.15">
      <c r="A155" s="7">
        <v>148</v>
      </c>
      <c r="B155" s="7">
        <v>0</v>
      </c>
      <c r="C155" s="7">
        <f t="shared" si="10"/>
        <v>0.75583605794746755</v>
      </c>
      <c r="D155" s="7">
        <f t="shared" si="11"/>
        <v>0.75586047434167281</v>
      </c>
      <c r="E155" s="7">
        <f t="shared" si="12"/>
        <v>-0.27989847758459119</v>
      </c>
    </row>
    <row r="156" spans="1:5" x14ac:dyDescent="0.15">
      <c r="A156" s="7">
        <v>149</v>
      </c>
      <c r="B156" s="7">
        <v>0</v>
      </c>
      <c r="C156" s="7">
        <f t="shared" si="10"/>
        <v>0.75583605794746755</v>
      </c>
      <c r="D156" s="7">
        <f t="shared" si="11"/>
        <v>0.75586047434167281</v>
      </c>
      <c r="E156" s="7">
        <f t="shared" si="12"/>
        <v>-0.27989847758459119</v>
      </c>
    </row>
    <row r="157" spans="1:5" x14ac:dyDescent="0.15">
      <c r="A157" s="7">
        <v>150</v>
      </c>
      <c r="B157" s="7">
        <v>0</v>
      </c>
      <c r="C157" s="7">
        <f t="shared" si="10"/>
        <v>0.75583605794746755</v>
      </c>
      <c r="D157" s="7">
        <f t="shared" si="11"/>
        <v>0.75586047434167281</v>
      </c>
      <c r="E157" s="7">
        <f t="shared" si="12"/>
        <v>-0.27989847758459119</v>
      </c>
    </row>
    <row r="158" spans="1:5" x14ac:dyDescent="0.15">
      <c r="A158" s="7">
        <v>151</v>
      </c>
      <c r="B158" s="7">
        <v>0</v>
      </c>
      <c r="C158" s="7">
        <f t="shared" si="10"/>
        <v>0.75583605794746755</v>
      </c>
      <c r="D158" s="7">
        <f t="shared" si="11"/>
        <v>0.75586047434167281</v>
      </c>
      <c r="E158" s="7">
        <f t="shared" si="12"/>
        <v>-0.27989847758459119</v>
      </c>
    </row>
    <row r="159" spans="1:5" x14ac:dyDescent="0.15">
      <c r="A159" s="7">
        <v>152</v>
      </c>
      <c r="B159" s="7">
        <v>0</v>
      </c>
      <c r="C159" s="7">
        <f t="shared" si="10"/>
        <v>0.75583605794746755</v>
      </c>
      <c r="D159" s="7">
        <f t="shared" si="11"/>
        <v>0.75586047434167281</v>
      </c>
      <c r="E159" s="7">
        <f t="shared" si="12"/>
        <v>-0.27989847758459119</v>
      </c>
    </row>
    <row r="160" spans="1:5" x14ac:dyDescent="0.15">
      <c r="A160" s="7">
        <v>153</v>
      </c>
      <c r="B160" s="7">
        <v>0</v>
      </c>
      <c r="C160" s="7">
        <f t="shared" si="10"/>
        <v>0.75583605794746755</v>
      </c>
      <c r="D160" s="7">
        <f t="shared" si="11"/>
        <v>0.75586047434167281</v>
      </c>
      <c r="E160" s="7">
        <f t="shared" si="12"/>
        <v>-0.27989847758459119</v>
      </c>
    </row>
    <row r="161" spans="1:5" x14ac:dyDescent="0.15">
      <c r="A161" s="7">
        <v>154</v>
      </c>
      <c r="B161" s="7">
        <v>0</v>
      </c>
      <c r="C161" s="7">
        <f t="shared" si="10"/>
        <v>0.75583605794746755</v>
      </c>
      <c r="D161" s="7">
        <f t="shared" si="11"/>
        <v>0.75586047434167281</v>
      </c>
      <c r="E161" s="7">
        <f t="shared" si="12"/>
        <v>-0.27989847758459119</v>
      </c>
    </row>
    <row r="162" spans="1:5" x14ac:dyDescent="0.15">
      <c r="A162" s="7">
        <v>155</v>
      </c>
      <c r="B162" s="7">
        <v>0</v>
      </c>
      <c r="C162" s="7">
        <f t="shared" si="10"/>
        <v>0.75583605794746755</v>
      </c>
      <c r="D162" s="7">
        <f t="shared" si="11"/>
        <v>0.75586047434167281</v>
      </c>
      <c r="E162" s="7">
        <f t="shared" si="12"/>
        <v>-0.27989847758459119</v>
      </c>
    </row>
    <row r="163" spans="1:5" x14ac:dyDescent="0.15">
      <c r="A163" s="7">
        <v>156</v>
      </c>
      <c r="B163" s="7">
        <v>0</v>
      </c>
      <c r="C163" s="7">
        <f t="shared" si="10"/>
        <v>0.75583605794746755</v>
      </c>
      <c r="D163" s="7">
        <f t="shared" si="11"/>
        <v>0.75586047434167281</v>
      </c>
      <c r="E163" s="7">
        <f t="shared" si="12"/>
        <v>-0.27989847758459119</v>
      </c>
    </row>
    <row r="164" spans="1:5" x14ac:dyDescent="0.15">
      <c r="A164" s="7">
        <v>157</v>
      </c>
      <c r="B164" s="7">
        <v>0</v>
      </c>
      <c r="C164" s="7">
        <f t="shared" si="10"/>
        <v>0.75583605794746755</v>
      </c>
      <c r="D164" s="7">
        <f t="shared" si="11"/>
        <v>0.75586047434167281</v>
      </c>
      <c r="E164" s="7">
        <f t="shared" si="12"/>
        <v>-0.27989847758459119</v>
      </c>
    </row>
    <row r="165" spans="1:5" x14ac:dyDescent="0.15">
      <c r="A165" s="7">
        <v>158</v>
      </c>
      <c r="B165" s="7">
        <v>0</v>
      </c>
      <c r="C165" s="7">
        <f t="shared" si="10"/>
        <v>0.75583605794746755</v>
      </c>
      <c r="D165" s="7">
        <f t="shared" si="11"/>
        <v>0.75586047434167281</v>
      </c>
      <c r="E165" s="7">
        <f t="shared" si="12"/>
        <v>-0.27989847758459119</v>
      </c>
    </row>
    <row r="166" spans="1:5" x14ac:dyDescent="0.15">
      <c r="A166" s="7">
        <v>159</v>
      </c>
      <c r="B166" s="7">
        <v>0</v>
      </c>
      <c r="C166" s="7">
        <f t="shared" si="10"/>
        <v>0.75583605794746755</v>
      </c>
      <c r="D166" s="7">
        <f t="shared" si="11"/>
        <v>0.75586047434167281</v>
      </c>
      <c r="E166" s="7">
        <f t="shared" si="12"/>
        <v>-0.27989847758459119</v>
      </c>
    </row>
    <row r="167" spans="1:5" x14ac:dyDescent="0.15">
      <c r="A167" s="7">
        <v>160</v>
      </c>
      <c r="B167" s="7">
        <v>0</v>
      </c>
      <c r="C167" s="7">
        <f t="shared" si="10"/>
        <v>0.75583605794746755</v>
      </c>
      <c r="D167" s="7">
        <f t="shared" si="11"/>
        <v>0.75586047434167281</v>
      </c>
      <c r="E167" s="7">
        <f t="shared" si="12"/>
        <v>-0.27989847758459119</v>
      </c>
    </row>
    <row r="168" spans="1:5" x14ac:dyDescent="0.15">
      <c r="A168" s="7">
        <v>161</v>
      </c>
      <c r="B168" s="7">
        <v>0</v>
      </c>
      <c r="C168" s="7">
        <f t="shared" si="10"/>
        <v>0.75583605794746755</v>
      </c>
      <c r="D168" s="7">
        <f t="shared" si="11"/>
        <v>0.75586047434167281</v>
      </c>
      <c r="E168" s="7">
        <f t="shared" si="12"/>
        <v>-0.27989847758459119</v>
      </c>
    </row>
    <row r="169" spans="1:5" x14ac:dyDescent="0.15">
      <c r="A169" s="7">
        <v>162</v>
      </c>
      <c r="B169" s="7">
        <v>16</v>
      </c>
      <c r="C169" s="7">
        <f t="shared" si="10"/>
        <v>1.1792932174368418E-3</v>
      </c>
      <c r="D169" s="7">
        <f t="shared" si="11"/>
        <v>1.1791752881150982E-3</v>
      </c>
      <c r="E169" s="7">
        <f t="shared" si="12"/>
        <v>-6.7429399932319178</v>
      </c>
    </row>
    <row r="170" spans="1:5" x14ac:dyDescent="0.15">
      <c r="A170" s="7">
        <v>163</v>
      </c>
      <c r="B170" s="7">
        <v>0</v>
      </c>
      <c r="C170" s="7">
        <f t="shared" si="10"/>
        <v>0.75583605794746755</v>
      </c>
      <c r="D170" s="7">
        <f t="shared" si="11"/>
        <v>0.75586047434167281</v>
      </c>
      <c r="E170" s="7">
        <f t="shared" si="12"/>
        <v>-0.27989847758459119</v>
      </c>
    </row>
    <row r="171" spans="1:5" x14ac:dyDescent="0.15">
      <c r="A171" s="7">
        <v>164</v>
      </c>
      <c r="B171" s="7">
        <v>0</v>
      </c>
      <c r="C171" s="7">
        <f t="shared" si="10"/>
        <v>0.75583605794746755</v>
      </c>
      <c r="D171" s="7">
        <f t="shared" si="11"/>
        <v>0.75586047434167281</v>
      </c>
      <c r="E171" s="7">
        <f t="shared" si="12"/>
        <v>-0.27989847758459119</v>
      </c>
    </row>
    <row r="172" spans="1:5" x14ac:dyDescent="0.15">
      <c r="A172" s="7">
        <v>165</v>
      </c>
      <c r="B172" s="7">
        <v>0</v>
      </c>
      <c r="C172" s="7">
        <f t="shared" si="10"/>
        <v>0.75583605794746755</v>
      </c>
      <c r="D172" s="7">
        <f t="shared" si="11"/>
        <v>0.75586047434167281</v>
      </c>
      <c r="E172" s="7">
        <f t="shared" si="12"/>
        <v>-0.27989847758459119</v>
      </c>
    </row>
    <row r="173" spans="1:5" x14ac:dyDescent="0.15">
      <c r="A173" s="7">
        <v>166</v>
      </c>
      <c r="B173" s="7">
        <v>0</v>
      </c>
      <c r="C173" s="7">
        <f t="shared" si="10"/>
        <v>0.75583605794746755</v>
      </c>
      <c r="D173" s="7">
        <f t="shared" si="11"/>
        <v>0.75586047434167281</v>
      </c>
      <c r="E173" s="7">
        <f t="shared" si="12"/>
        <v>-0.27989847758459119</v>
      </c>
    </row>
    <row r="174" spans="1:5" x14ac:dyDescent="0.15">
      <c r="A174" s="7">
        <v>167</v>
      </c>
      <c r="B174" s="7">
        <v>0</v>
      </c>
      <c r="C174" s="7">
        <f t="shared" si="10"/>
        <v>0.75583605794746755</v>
      </c>
      <c r="D174" s="7">
        <f t="shared" si="11"/>
        <v>0.75586047434167281</v>
      </c>
      <c r="E174" s="7">
        <f t="shared" si="12"/>
        <v>-0.27989847758459119</v>
      </c>
    </row>
    <row r="175" spans="1:5" x14ac:dyDescent="0.15">
      <c r="A175" s="7">
        <v>168</v>
      </c>
      <c r="B175" s="7">
        <v>0</v>
      </c>
      <c r="C175" s="7">
        <f t="shared" si="10"/>
        <v>0.75583605794746755</v>
      </c>
      <c r="D175" s="7">
        <f t="shared" si="11"/>
        <v>0.75586047434167281</v>
      </c>
      <c r="E175" s="7">
        <f t="shared" si="12"/>
        <v>-0.27989847758459119</v>
      </c>
    </row>
    <row r="176" spans="1:5" x14ac:dyDescent="0.15">
      <c r="A176" s="7">
        <v>169</v>
      </c>
      <c r="B176" s="7">
        <v>1</v>
      </c>
      <c r="C176" s="7">
        <f t="shared" si="10"/>
        <v>8.8686757970141181E-2</v>
      </c>
      <c r="D176" s="7">
        <f t="shared" si="11"/>
        <v>8.867788929434417E-2</v>
      </c>
      <c r="E176" s="7">
        <f t="shared" si="12"/>
        <v>-2.4227446958891354</v>
      </c>
    </row>
    <row r="177" spans="1:5" x14ac:dyDescent="0.15">
      <c r="A177" s="7">
        <v>170</v>
      </c>
      <c r="B177" s="7">
        <v>0</v>
      </c>
      <c r="C177" s="7">
        <f t="shared" si="10"/>
        <v>0.75583605794746755</v>
      </c>
      <c r="D177" s="7">
        <f t="shared" si="11"/>
        <v>0.75586047434167281</v>
      </c>
      <c r="E177" s="7">
        <f t="shared" si="12"/>
        <v>-0.27989847758459119</v>
      </c>
    </row>
    <row r="178" spans="1:5" x14ac:dyDescent="0.15">
      <c r="A178" s="7">
        <v>171</v>
      </c>
      <c r="B178" s="7">
        <v>1</v>
      </c>
      <c r="C178" s="7">
        <f t="shared" si="10"/>
        <v>8.8686757970141181E-2</v>
      </c>
      <c r="D178" s="7">
        <f t="shared" si="11"/>
        <v>8.867788929434417E-2</v>
      </c>
      <c r="E178" s="7">
        <f t="shared" si="12"/>
        <v>-2.4227446958891354</v>
      </c>
    </row>
    <row r="179" spans="1:5" x14ac:dyDescent="0.15">
      <c r="A179" s="7">
        <v>172</v>
      </c>
      <c r="B179" s="7">
        <v>0</v>
      </c>
      <c r="C179" s="7">
        <f t="shared" si="10"/>
        <v>0.75583605794746755</v>
      </c>
      <c r="D179" s="7">
        <f t="shared" si="11"/>
        <v>0.75586047434167281</v>
      </c>
      <c r="E179" s="7">
        <f t="shared" si="12"/>
        <v>-0.27989847758459119</v>
      </c>
    </row>
    <row r="180" spans="1:5" x14ac:dyDescent="0.15">
      <c r="A180" s="7">
        <v>173</v>
      </c>
      <c r="B180" s="7">
        <v>0</v>
      </c>
      <c r="C180" s="7">
        <f t="shared" si="10"/>
        <v>0.75583605794746755</v>
      </c>
      <c r="D180" s="7">
        <f t="shared" si="11"/>
        <v>0.75586047434167281</v>
      </c>
      <c r="E180" s="7">
        <f t="shared" si="12"/>
        <v>-0.27989847758459119</v>
      </c>
    </row>
    <row r="181" spans="1:5" x14ac:dyDescent="0.15">
      <c r="A181" s="7">
        <v>174</v>
      </c>
      <c r="B181" s="7">
        <v>0</v>
      </c>
      <c r="C181" s="7">
        <f t="shared" si="10"/>
        <v>0.75583605794746755</v>
      </c>
      <c r="D181" s="7">
        <f t="shared" si="11"/>
        <v>0.75586047434167281</v>
      </c>
      <c r="E181" s="7">
        <f t="shared" si="12"/>
        <v>-0.27989847758459119</v>
      </c>
    </row>
    <row r="182" spans="1:5" x14ac:dyDescent="0.15">
      <c r="A182" s="7">
        <v>175</v>
      </c>
      <c r="B182" s="7">
        <v>0</v>
      </c>
      <c r="C182" s="7">
        <f t="shared" si="10"/>
        <v>0.75583605794746755</v>
      </c>
      <c r="D182" s="7">
        <f t="shared" si="11"/>
        <v>0.75586047434167281</v>
      </c>
      <c r="E182" s="7">
        <f t="shared" si="12"/>
        <v>-0.27989847758459119</v>
      </c>
    </row>
    <row r="183" spans="1:5" x14ac:dyDescent="0.15">
      <c r="A183" s="7">
        <v>176</v>
      </c>
      <c r="B183" s="7">
        <v>0</v>
      </c>
      <c r="C183" s="7">
        <f t="shared" si="10"/>
        <v>0.75583605794746755</v>
      </c>
      <c r="D183" s="7">
        <f t="shared" si="11"/>
        <v>0.75586047434167281</v>
      </c>
      <c r="E183" s="7">
        <f t="shared" si="12"/>
        <v>-0.27989847758459119</v>
      </c>
    </row>
    <row r="184" spans="1:5" x14ac:dyDescent="0.15">
      <c r="A184" s="7">
        <v>177</v>
      </c>
      <c r="B184" s="7">
        <v>1</v>
      </c>
      <c r="C184" s="7">
        <f t="shared" si="10"/>
        <v>8.8686757970141181E-2</v>
      </c>
      <c r="D184" s="7">
        <f t="shared" si="11"/>
        <v>8.867788929434417E-2</v>
      </c>
      <c r="E184" s="7">
        <f t="shared" si="12"/>
        <v>-2.4227446958891354</v>
      </c>
    </row>
    <row r="185" spans="1:5" x14ac:dyDescent="0.15">
      <c r="A185" s="7">
        <v>178</v>
      </c>
      <c r="B185" s="7">
        <v>0</v>
      </c>
      <c r="C185" s="7">
        <f t="shared" si="10"/>
        <v>0.75583605794746755</v>
      </c>
      <c r="D185" s="7">
        <f t="shared" si="11"/>
        <v>0.75586047434167281</v>
      </c>
      <c r="E185" s="7">
        <f t="shared" si="12"/>
        <v>-0.27989847758459119</v>
      </c>
    </row>
    <row r="186" spans="1:5" x14ac:dyDescent="0.15">
      <c r="A186" s="7">
        <v>179</v>
      </c>
      <c r="B186" s="7">
        <v>0</v>
      </c>
      <c r="C186" s="7">
        <f t="shared" si="10"/>
        <v>0.75583605794746755</v>
      </c>
      <c r="D186" s="7">
        <f t="shared" si="11"/>
        <v>0.75586047434167281</v>
      </c>
      <c r="E186" s="7">
        <f t="shared" si="12"/>
        <v>-0.27989847758459119</v>
      </c>
    </row>
    <row r="187" spans="1:5" x14ac:dyDescent="0.15">
      <c r="A187" s="7">
        <v>180</v>
      </c>
      <c r="B187" s="7">
        <v>0</v>
      </c>
      <c r="C187" s="7">
        <f t="shared" si="10"/>
        <v>0.75583605794746755</v>
      </c>
      <c r="D187" s="7">
        <f t="shared" si="11"/>
        <v>0.75586047434167281</v>
      </c>
      <c r="E187" s="7">
        <f t="shared" si="12"/>
        <v>-0.27989847758459119</v>
      </c>
    </row>
    <row r="188" spans="1:5" x14ac:dyDescent="0.15">
      <c r="A188" s="7">
        <v>181</v>
      </c>
      <c r="B188" s="7">
        <v>0</v>
      </c>
      <c r="C188" s="7">
        <f t="shared" si="10"/>
        <v>0.75583605794746755</v>
      </c>
      <c r="D188" s="7">
        <f t="shared" si="11"/>
        <v>0.75586047434167281</v>
      </c>
      <c r="E188" s="7">
        <f t="shared" si="12"/>
        <v>-0.27989847758459119</v>
      </c>
    </row>
    <row r="189" spans="1:5" x14ac:dyDescent="0.15">
      <c r="A189" s="7">
        <v>182</v>
      </c>
      <c r="B189" s="7">
        <v>0</v>
      </c>
      <c r="C189" s="7">
        <f t="shared" si="10"/>
        <v>0.75583605794746755</v>
      </c>
      <c r="D189" s="7">
        <f t="shared" si="11"/>
        <v>0.75586047434167281</v>
      </c>
      <c r="E189" s="7">
        <f t="shared" si="12"/>
        <v>-0.27989847758459119</v>
      </c>
    </row>
    <row r="190" spans="1:5" x14ac:dyDescent="0.15">
      <c r="A190" s="7">
        <v>183</v>
      </c>
      <c r="B190" s="7">
        <v>1</v>
      </c>
      <c r="C190" s="7">
        <f t="shared" si="10"/>
        <v>8.8686757970141181E-2</v>
      </c>
      <c r="D190" s="7">
        <f t="shared" si="11"/>
        <v>8.867788929434417E-2</v>
      </c>
      <c r="E190" s="7">
        <f t="shared" si="12"/>
        <v>-2.4227446958891354</v>
      </c>
    </row>
    <row r="191" spans="1:5" x14ac:dyDescent="0.15">
      <c r="A191" s="7">
        <v>184</v>
      </c>
      <c r="B191" s="7">
        <v>0</v>
      </c>
      <c r="C191" s="7">
        <f t="shared" si="10"/>
        <v>0.75583605794746755</v>
      </c>
      <c r="D191" s="7">
        <f t="shared" si="11"/>
        <v>0.75586047434167281</v>
      </c>
      <c r="E191" s="7">
        <f t="shared" si="12"/>
        <v>-0.27989847758459119</v>
      </c>
    </row>
    <row r="192" spans="1:5" x14ac:dyDescent="0.15">
      <c r="A192" s="7">
        <v>185</v>
      </c>
      <c r="B192" s="7">
        <v>0</v>
      </c>
      <c r="C192" s="7">
        <f t="shared" si="10"/>
        <v>0.75583605794746755</v>
      </c>
      <c r="D192" s="7">
        <f t="shared" si="11"/>
        <v>0.75586047434167281</v>
      </c>
      <c r="E192" s="7">
        <f t="shared" si="12"/>
        <v>-0.27989847758459119</v>
      </c>
    </row>
    <row r="193" spans="1:5" x14ac:dyDescent="0.15">
      <c r="A193" s="7">
        <v>186</v>
      </c>
      <c r="B193" s="7">
        <v>0</v>
      </c>
      <c r="C193" s="7">
        <f t="shared" si="10"/>
        <v>0.75583605794746755</v>
      </c>
      <c r="D193" s="7">
        <f t="shared" si="11"/>
        <v>0.75586047434167281</v>
      </c>
      <c r="E193" s="7">
        <f t="shared" si="12"/>
        <v>-0.27989847758459119</v>
      </c>
    </row>
    <row r="194" spans="1:5" x14ac:dyDescent="0.15">
      <c r="A194" s="7">
        <v>187</v>
      </c>
      <c r="B194" s="7">
        <v>0</v>
      </c>
      <c r="C194" s="7">
        <f t="shared" si="10"/>
        <v>0.75583605794746755</v>
      </c>
      <c r="D194" s="7">
        <f t="shared" si="11"/>
        <v>0.75586047434167281</v>
      </c>
      <c r="E194" s="7">
        <f t="shared" si="12"/>
        <v>-0.27989847758459119</v>
      </c>
    </row>
    <row r="195" spans="1:5" x14ac:dyDescent="0.15">
      <c r="A195" s="7">
        <v>188</v>
      </c>
      <c r="B195" s="7">
        <v>0</v>
      </c>
      <c r="C195" s="7">
        <f t="shared" si="10"/>
        <v>0.75583605794746755</v>
      </c>
      <c r="D195" s="7">
        <f t="shared" si="11"/>
        <v>0.75586047434167281</v>
      </c>
      <c r="E195" s="7">
        <f t="shared" si="12"/>
        <v>-0.27989847758459119</v>
      </c>
    </row>
    <row r="196" spans="1:5" x14ac:dyDescent="0.15">
      <c r="A196" s="7">
        <v>189</v>
      </c>
      <c r="B196" s="7">
        <v>0</v>
      </c>
      <c r="C196" s="7">
        <f t="shared" si="10"/>
        <v>0.75583605794746755</v>
      </c>
      <c r="D196" s="7">
        <f t="shared" si="11"/>
        <v>0.75586047434167281</v>
      </c>
      <c r="E196" s="7">
        <f t="shared" si="12"/>
        <v>-0.27989847758459119</v>
      </c>
    </row>
    <row r="197" spans="1:5" x14ac:dyDescent="0.15">
      <c r="A197" s="7">
        <v>190</v>
      </c>
      <c r="B197" s="7">
        <v>0</v>
      </c>
      <c r="C197" s="7">
        <f t="shared" si="10"/>
        <v>0.75583605794746755</v>
      </c>
      <c r="D197" s="7">
        <f t="shared" si="11"/>
        <v>0.75586047434167281</v>
      </c>
      <c r="E197" s="7">
        <f t="shared" si="12"/>
        <v>-0.27989847758459119</v>
      </c>
    </row>
    <row r="198" spans="1:5" x14ac:dyDescent="0.15">
      <c r="A198" s="7">
        <v>191</v>
      </c>
      <c r="B198" s="7">
        <v>0</v>
      </c>
      <c r="C198" s="7">
        <f t="shared" si="10"/>
        <v>0.75583605794746755</v>
      </c>
      <c r="D198" s="7">
        <f t="shared" si="11"/>
        <v>0.75586047434167281</v>
      </c>
      <c r="E198" s="7">
        <f t="shared" si="12"/>
        <v>-0.27989847758459119</v>
      </c>
    </row>
    <row r="199" spans="1:5" x14ac:dyDescent="0.15">
      <c r="A199" s="7">
        <v>192</v>
      </c>
      <c r="B199" s="7">
        <v>0</v>
      </c>
      <c r="C199" s="7">
        <f t="shared" si="10"/>
        <v>0.75583605794746755</v>
      </c>
      <c r="D199" s="7">
        <f t="shared" si="11"/>
        <v>0.75586047434167281</v>
      </c>
      <c r="E199" s="7">
        <f t="shared" si="12"/>
        <v>-0.27989847758459119</v>
      </c>
    </row>
    <row r="200" spans="1:5" x14ac:dyDescent="0.15">
      <c r="A200" s="7">
        <v>193</v>
      </c>
      <c r="B200" s="7">
        <v>9</v>
      </c>
      <c r="C200" s="7">
        <f t="shared" si="10"/>
        <v>4.8729771313975011E-3</v>
      </c>
      <c r="D200" s="7">
        <f t="shared" si="11"/>
        <v>4.8724898336843618E-3</v>
      </c>
      <c r="E200" s="7">
        <f t="shared" si="12"/>
        <v>-5.324150213052798</v>
      </c>
    </row>
    <row r="201" spans="1:5" x14ac:dyDescent="0.15">
      <c r="A201" s="7">
        <v>194</v>
      </c>
      <c r="B201" s="7">
        <v>0</v>
      </c>
      <c r="C201" s="7">
        <f t="shared" ref="C201:C264" si="13">(_xlfn.GAMMA($B$1+B201)/(_xlfn.GAMMA($B$1)*FACT(B201))) * ($B$2/($B$2+$B$5))^$B$1 * (1/($B$2 +$B$5))^B201</f>
        <v>0.75583605794746755</v>
      </c>
      <c r="D201" s="7">
        <f t="shared" ref="D201:D264" si="14" xml:space="preserve"> IF(B201 = 0, $B$3 + (1-$B$3) * C201, (1-$B$3) *C201)</f>
        <v>0.75586047434167281</v>
      </c>
      <c r="E201" s="7">
        <f t="shared" ref="E201:E264" si="15">LN(D201)</f>
        <v>-0.27989847758459119</v>
      </c>
    </row>
    <row r="202" spans="1:5" x14ac:dyDescent="0.15">
      <c r="A202" s="7">
        <v>195</v>
      </c>
      <c r="B202" s="7">
        <v>0</v>
      </c>
      <c r="C202" s="7">
        <f t="shared" si="13"/>
        <v>0.75583605794746755</v>
      </c>
      <c r="D202" s="7">
        <f t="shared" si="14"/>
        <v>0.75586047434167281</v>
      </c>
      <c r="E202" s="7">
        <f t="shared" si="15"/>
        <v>-0.27989847758459119</v>
      </c>
    </row>
    <row r="203" spans="1:5" x14ac:dyDescent="0.15">
      <c r="A203" s="7">
        <v>196</v>
      </c>
      <c r="B203" s="7">
        <v>0</v>
      </c>
      <c r="C203" s="7">
        <f t="shared" si="13"/>
        <v>0.75583605794746755</v>
      </c>
      <c r="D203" s="7">
        <f t="shared" si="14"/>
        <v>0.75586047434167281</v>
      </c>
      <c r="E203" s="7">
        <f t="shared" si="15"/>
        <v>-0.27989847758459119</v>
      </c>
    </row>
    <row r="204" spans="1:5" x14ac:dyDescent="0.15">
      <c r="A204" s="7">
        <v>197</v>
      </c>
      <c r="B204" s="7">
        <v>0</v>
      </c>
      <c r="C204" s="7">
        <f t="shared" si="13"/>
        <v>0.75583605794746755</v>
      </c>
      <c r="D204" s="7">
        <f t="shared" si="14"/>
        <v>0.75586047434167281</v>
      </c>
      <c r="E204" s="7">
        <f t="shared" si="15"/>
        <v>-0.27989847758459119</v>
      </c>
    </row>
    <row r="205" spans="1:5" x14ac:dyDescent="0.15">
      <c r="A205" s="7">
        <v>198</v>
      </c>
      <c r="B205" s="7">
        <v>0</v>
      </c>
      <c r="C205" s="7">
        <f t="shared" si="13"/>
        <v>0.75583605794746755</v>
      </c>
      <c r="D205" s="7">
        <f t="shared" si="14"/>
        <v>0.75586047434167281</v>
      </c>
      <c r="E205" s="7">
        <f t="shared" si="15"/>
        <v>-0.27989847758459119</v>
      </c>
    </row>
    <row r="206" spans="1:5" x14ac:dyDescent="0.15">
      <c r="A206" s="7">
        <v>199</v>
      </c>
      <c r="B206" s="7">
        <v>0</v>
      </c>
      <c r="C206" s="7">
        <f t="shared" si="13"/>
        <v>0.75583605794746755</v>
      </c>
      <c r="D206" s="7">
        <f t="shared" si="14"/>
        <v>0.75586047434167281</v>
      </c>
      <c r="E206" s="7">
        <f t="shared" si="15"/>
        <v>-0.27989847758459119</v>
      </c>
    </row>
    <row r="207" spans="1:5" x14ac:dyDescent="0.15">
      <c r="A207" s="7">
        <v>200</v>
      </c>
      <c r="B207" s="7">
        <v>4</v>
      </c>
      <c r="C207" s="7">
        <f t="shared" si="13"/>
        <v>1.8863004210024691E-2</v>
      </c>
      <c r="D207" s="7">
        <f t="shared" si="14"/>
        <v>1.8861117909603688E-2</v>
      </c>
      <c r="E207" s="7">
        <f t="shared" si="15"/>
        <v>-3.9706527294293466</v>
      </c>
    </row>
    <row r="208" spans="1:5" x14ac:dyDescent="0.15">
      <c r="A208" s="7">
        <v>201</v>
      </c>
      <c r="B208" s="7">
        <v>0</v>
      </c>
      <c r="C208" s="7">
        <f t="shared" si="13"/>
        <v>0.75583605794746755</v>
      </c>
      <c r="D208" s="7">
        <f t="shared" si="14"/>
        <v>0.75586047434167281</v>
      </c>
      <c r="E208" s="7">
        <f t="shared" si="15"/>
        <v>-0.27989847758459119</v>
      </c>
    </row>
    <row r="209" spans="1:5" x14ac:dyDescent="0.15">
      <c r="A209" s="7">
        <v>202</v>
      </c>
      <c r="B209" s="7">
        <v>0</v>
      </c>
      <c r="C209" s="7">
        <f t="shared" si="13"/>
        <v>0.75583605794746755</v>
      </c>
      <c r="D209" s="7">
        <f t="shared" si="14"/>
        <v>0.75586047434167281</v>
      </c>
      <c r="E209" s="7">
        <f t="shared" si="15"/>
        <v>-0.27989847758459119</v>
      </c>
    </row>
    <row r="210" spans="1:5" x14ac:dyDescent="0.15">
      <c r="A210" s="7">
        <v>203</v>
      </c>
      <c r="B210" s="7">
        <v>6</v>
      </c>
      <c r="C210" s="7">
        <f t="shared" si="13"/>
        <v>1.0249964283711298E-2</v>
      </c>
      <c r="D210" s="7">
        <f t="shared" si="14"/>
        <v>1.0248939287282927E-2</v>
      </c>
      <c r="E210" s="7">
        <f t="shared" si="15"/>
        <v>-4.5805810629200954</v>
      </c>
    </row>
    <row r="211" spans="1:5" x14ac:dyDescent="0.15">
      <c r="A211" s="7">
        <v>204</v>
      </c>
      <c r="B211" s="7">
        <v>2</v>
      </c>
      <c r="C211" s="7">
        <f t="shared" si="13"/>
        <v>4.4066701399555049E-2</v>
      </c>
      <c r="D211" s="7">
        <f t="shared" si="14"/>
        <v>4.4062294729415093E-2</v>
      </c>
      <c r="E211" s="7">
        <f t="shared" si="15"/>
        <v>-3.1221508570437044</v>
      </c>
    </row>
    <row r="212" spans="1:5" x14ac:dyDescent="0.15">
      <c r="A212" s="7">
        <v>205</v>
      </c>
      <c r="B212" s="7">
        <v>1</v>
      </c>
      <c r="C212" s="7">
        <f t="shared" si="13"/>
        <v>8.8686757970141181E-2</v>
      </c>
      <c r="D212" s="7">
        <f t="shared" si="14"/>
        <v>8.867788929434417E-2</v>
      </c>
      <c r="E212" s="7">
        <f t="shared" si="15"/>
        <v>-2.4227446958891354</v>
      </c>
    </row>
    <row r="213" spans="1:5" x14ac:dyDescent="0.15">
      <c r="A213" s="7">
        <v>206</v>
      </c>
      <c r="B213" s="7">
        <v>0</v>
      </c>
      <c r="C213" s="7">
        <f t="shared" si="13"/>
        <v>0.75583605794746755</v>
      </c>
      <c r="D213" s="7">
        <f t="shared" si="14"/>
        <v>0.75586047434167281</v>
      </c>
      <c r="E213" s="7">
        <f t="shared" si="15"/>
        <v>-0.27989847758459119</v>
      </c>
    </row>
    <row r="214" spans="1:5" x14ac:dyDescent="0.15">
      <c r="A214" s="7">
        <v>207</v>
      </c>
      <c r="B214" s="7">
        <v>1</v>
      </c>
      <c r="C214" s="7">
        <f t="shared" si="13"/>
        <v>8.8686757970141181E-2</v>
      </c>
      <c r="D214" s="7">
        <f t="shared" si="14"/>
        <v>8.867788929434417E-2</v>
      </c>
      <c r="E214" s="7">
        <f t="shared" si="15"/>
        <v>-2.4227446958891354</v>
      </c>
    </row>
    <row r="215" spans="1:5" x14ac:dyDescent="0.15">
      <c r="A215" s="7">
        <v>208</v>
      </c>
      <c r="B215" s="7">
        <v>1</v>
      </c>
      <c r="C215" s="7">
        <f t="shared" si="13"/>
        <v>8.8686757970141181E-2</v>
      </c>
      <c r="D215" s="7">
        <f t="shared" si="14"/>
        <v>8.867788929434417E-2</v>
      </c>
      <c r="E215" s="7">
        <f t="shared" si="15"/>
        <v>-2.4227446958891354</v>
      </c>
    </row>
    <row r="216" spans="1:5" x14ac:dyDescent="0.15">
      <c r="A216" s="7">
        <v>209</v>
      </c>
      <c r="B216" s="7">
        <v>0</v>
      </c>
      <c r="C216" s="7">
        <f t="shared" si="13"/>
        <v>0.75583605794746755</v>
      </c>
      <c r="D216" s="7">
        <f t="shared" si="14"/>
        <v>0.75586047434167281</v>
      </c>
      <c r="E216" s="7">
        <f t="shared" si="15"/>
        <v>-0.27989847758459119</v>
      </c>
    </row>
    <row r="217" spans="1:5" x14ac:dyDescent="0.15">
      <c r="A217" s="7">
        <v>210</v>
      </c>
      <c r="B217" s="7">
        <v>0</v>
      </c>
      <c r="C217" s="7">
        <f t="shared" si="13"/>
        <v>0.75583605794746755</v>
      </c>
      <c r="D217" s="7">
        <f t="shared" si="14"/>
        <v>0.75586047434167281</v>
      </c>
      <c r="E217" s="7">
        <f t="shared" si="15"/>
        <v>-0.27989847758459119</v>
      </c>
    </row>
    <row r="218" spans="1:5" x14ac:dyDescent="0.15">
      <c r="A218" s="7">
        <v>211</v>
      </c>
      <c r="B218" s="7">
        <v>0</v>
      </c>
      <c r="C218" s="7">
        <f t="shared" si="13"/>
        <v>0.75583605794746755</v>
      </c>
      <c r="D218" s="7">
        <f t="shared" si="14"/>
        <v>0.75586047434167281</v>
      </c>
      <c r="E218" s="7">
        <f t="shared" si="15"/>
        <v>-0.27989847758459119</v>
      </c>
    </row>
    <row r="219" spans="1:5" x14ac:dyDescent="0.15">
      <c r="A219" s="7">
        <v>212</v>
      </c>
      <c r="B219" s="7">
        <v>0</v>
      </c>
      <c r="C219" s="7">
        <f t="shared" si="13"/>
        <v>0.75583605794746755</v>
      </c>
      <c r="D219" s="7">
        <f t="shared" si="14"/>
        <v>0.75586047434167281</v>
      </c>
      <c r="E219" s="7">
        <f t="shared" si="15"/>
        <v>-0.27989847758459119</v>
      </c>
    </row>
    <row r="220" spans="1:5" x14ac:dyDescent="0.15">
      <c r="A220" s="7">
        <v>213</v>
      </c>
      <c r="B220" s="7">
        <v>0</v>
      </c>
      <c r="C220" s="7">
        <f t="shared" si="13"/>
        <v>0.75583605794746755</v>
      </c>
      <c r="D220" s="7">
        <f t="shared" si="14"/>
        <v>0.75586047434167281</v>
      </c>
      <c r="E220" s="7">
        <f t="shared" si="15"/>
        <v>-0.27989847758459119</v>
      </c>
    </row>
    <row r="221" spans="1:5" x14ac:dyDescent="0.15">
      <c r="A221" s="7">
        <v>214</v>
      </c>
      <c r="B221" s="7">
        <v>0</v>
      </c>
      <c r="C221" s="7">
        <f t="shared" si="13"/>
        <v>0.75583605794746755</v>
      </c>
      <c r="D221" s="7">
        <f t="shared" si="14"/>
        <v>0.75586047434167281</v>
      </c>
      <c r="E221" s="7">
        <f t="shared" si="15"/>
        <v>-0.27989847758459119</v>
      </c>
    </row>
    <row r="222" spans="1:5" x14ac:dyDescent="0.15">
      <c r="A222" s="7">
        <v>215</v>
      </c>
      <c r="B222" s="7">
        <v>0</v>
      </c>
      <c r="C222" s="7">
        <f t="shared" si="13"/>
        <v>0.75583605794746755</v>
      </c>
      <c r="D222" s="7">
        <f t="shared" si="14"/>
        <v>0.75586047434167281</v>
      </c>
      <c r="E222" s="7">
        <f t="shared" si="15"/>
        <v>-0.27989847758459119</v>
      </c>
    </row>
    <row r="223" spans="1:5" x14ac:dyDescent="0.15">
      <c r="A223" s="7">
        <v>216</v>
      </c>
      <c r="B223" s="7">
        <v>0</v>
      </c>
      <c r="C223" s="7">
        <f t="shared" si="13"/>
        <v>0.75583605794746755</v>
      </c>
      <c r="D223" s="7">
        <f t="shared" si="14"/>
        <v>0.75586047434167281</v>
      </c>
      <c r="E223" s="7">
        <f t="shared" si="15"/>
        <v>-0.27989847758459119</v>
      </c>
    </row>
    <row r="224" spans="1:5" x14ac:dyDescent="0.15">
      <c r="A224" s="7">
        <v>217</v>
      </c>
      <c r="B224" s="7">
        <v>0</v>
      </c>
      <c r="C224" s="7">
        <f t="shared" si="13"/>
        <v>0.75583605794746755</v>
      </c>
      <c r="D224" s="7">
        <f t="shared" si="14"/>
        <v>0.75586047434167281</v>
      </c>
      <c r="E224" s="7">
        <f t="shared" si="15"/>
        <v>-0.27989847758459119</v>
      </c>
    </row>
    <row r="225" spans="1:5" x14ac:dyDescent="0.15">
      <c r="A225" s="7">
        <v>218</v>
      </c>
      <c r="B225" s="7">
        <v>0</v>
      </c>
      <c r="C225" s="7">
        <f t="shared" si="13"/>
        <v>0.75583605794746755</v>
      </c>
      <c r="D225" s="7">
        <f t="shared" si="14"/>
        <v>0.75586047434167281</v>
      </c>
      <c r="E225" s="7">
        <f t="shared" si="15"/>
        <v>-0.27989847758459119</v>
      </c>
    </row>
    <row r="226" spans="1:5" x14ac:dyDescent="0.15">
      <c r="A226" s="7">
        <v>219</v>
      </c>
      <c r="B226" s="7">
        <v>62</v>
      </c>
      <c r="C226" s="7">
        <f t="shared" si="13"/>
        <v>8.4753249462232026E-7</v>
      </c>
      <c r="D226" s="7">
        <f t="shared" si="14"/>
        <v>8.4744774137285807E-7</v>
      </c>
      <c r="E226" s="7">
        <f t="shared" si="15"/>
        <v>-13.981036661689913</v>
      </c>
    </row>
    <row r="227" spans="1:5" x14ac:dyDescent="0.15">
      <c r="A227" s="7">
        <v>220</v>
      </c>
      <c r="B227" s="7">
        <v>0</v>
      </c>
      <c r="C227" s="7">
        <f t="shared" si="13"/>
        <v>0.75583605794746755</v>
      </c>
      <c r="D227" s="7">
        <f t="shared" si="14"/>
        <v>0.75586047434167281</v>
      </c>
      <c r="E227" s="7">
        <f t="shared" si="15"/>
        <v>-0.27989847758459119</v>
      </c>
    </row>
    <row r="228" spans="1:5" x14ac:dyDescent="0.15">
      <c r="A228" s="7">
        <v>221</v>
      </c>
      <c r="B228" s="7">
        <v>0</v>
      </c>
      <c r="C228" s="7">
        <f t="shared" si="13"/>
        <v>0.75583605794746755</v>
      </c>
      <c r="D228" s="7">
        <f t="shared" si="14"/>
        <v>0.75586047434167281</v>
      </c>
      <c r="E228" s="7">
        <f t="shared" si="15"/>
        <v>-0.27989847758459119</v>
      </c>
    </row>
    <row r="229" spans="1:5" x14ac:dyDescent="0.15">
      <c r="A229" s="7">
        <v>222</v>
      </c>
      <c r="B229" s="7">
        <v>2</v>
      </c>
      <c r="C229" s="7">
        <f t="shared" si="13"/>
        <v>4.4066701399555049E-2</v>
      </c>
      <c r="D229" s="7">
        <f t="shared" si="14"/>
        <v>4.4062294729415093E-2</v>
      </c>
      <c r="E229" s="7">
        <f t="shared" si="15"/>
        <v>-3.1221508570437044</v>
      </c>
    </row>
    <row r="230" spans="1:5" x14ac:dyDescent="0.15">
      <c r="A230" s="7">
        <v>223</v>
      </c>
      <c r="B230" s="7">
        <v>0</v>
      </c>
      <c r="C230" s="7">
        <f t="shared" si="13"/>
        <v>0.75583605794746755</v>
      </c>
      <c r="D230" s="7">
        <f t="shared" si="14"/>
        <v>0.75586047434167281</v>
      </c>
      <c r="E230" s="7">
        <f t="shared" si="15"/>
        <v>-0.27989847758459119</v>
      </c>
    </row>
    <row r="231" spans="1:5" x14ac:dyDescent="0.15">
      <c r="A231" s="7">
        <v>224</v>
      </c>
      <c r="B231" s="7">
        <v>0</v>
      </c>
      <c r="C231" s="7">
        <f t="shared" si="13"/>
        <v>0.75583605794746755</v>
      </c>
      <c r="D231" s="7">
        <f t="shared" si="14"/>
        <v>0.75586047434167281</v>
      </c>
      <c r="E231" s="7">
        <f t="shared" si="15"/>
        <v>-0.27989847758459119</v>
      </c>
    </row>
    <row r="232" spans="1:5" x14ac:dyDescent="0.15">
      <c r="A232" s="7">
        <v>225</v>
      </c>
      <c r="B232" s="7">
        <v>0</v>
      </c>
      <c r="C232" s="7">
        <f t="shared" si="13"/>
        <v>0.75583605794746755</v>
      </c>
      <c r="D232" s="7">
        <f t="shared" si="14"/>
        <v>0.75586047434167281</v>
      </c>
      <c r="E232" s="7">
        <f t="shared" si="15"/>
        <v>-0.27989847758459119</v>
      </c>
    </row>
    <row r="233" spans="1:5" x14ac:dyDescent="0.15">
      <c r="A233" s="7">
        <v>226</v>
      </c>
      <c r="B233" s="7">
        <v>0</v>
      </c>
      <c r="C233" s="7">
        <f t="shared" si="13"/>
        <v>0.75583605794746755</v>
      </c>
      <c r="D233" s="7">
        <f t="shared" si="14"/>
        <v>0.75586047434167281</v>
      </c>
      <c r="E233" s="7">
        <f t="shared" si="15"/>
        <v>-0.27989847758459119</v>
      </c>
    </row>
    <row r="234" spans="1:5" x14ac:dyDescent="0.15">
      <c r="A234" s="7">
        <v>227</v>
      </c>
      <c r="B234" s="7">
        <v>0</v>
      </c>
      <c r="C234" s="7">
        <f t="shared" si="13"/>
        <v>0.75583605794746755</v>
      </c>
      <c r="D234" s="7">
        <f t="shared" si="14"/>
        <v>0.75586047434167281</v>
      </c>
      <c r="E234" s="7">
        <f t="shared" si="15"/>
        <v>-0.27989847758459119</v>
      </c>
    </row>
    <row r="235" spans="1:5" x14ac:dyDescent="0.15">
      <c r="A235" s="7">
        <v>228</v>
      </c>
      <c r="B235" s="7">
        <v>3</v>
      </c>
      <c r="C235" s="7">
        <f t="shared" si="13"/>
        <v>2.7470963680778882E-2</v>
      </c>
      <c r="D235" s="7">
        <f t="shared" si="14"/>
        <v>2.7468216584410805E-2</v>
      </c>
      <c r="E235" s="7">
        <f t="shared" si="15"/>
        <v>-3.5947257032827968</v>
      </c>
    </row>
    <row r="236" spans="1:5" x14ac:dyDescent="0.15">
      <c r="A236" s="7">
        <v>229</v>
      </c>
      <c r="B236" s="7">
        <v>0</v>
      </c>
      <c r="C236" s="7">
        <f t="shared" si="13"/>
        <v>0.75583605794746755</v>
      </c>
      <c r="D236" s="7">
        <f t="shared" si="14"/>
        <v>0.75586047434167281</v>
      </c>
      <c r="E236" s="7">
        <f t="shared" si="15"/>
        <v>-0.27989847758459119</v>
      </c>
    </row>
    <row r="237" spans="1:5" x14ac:dyDescent="0.15">
      <c r="A237" s="7">
        <v>230</v>
      </c>
      <c r="B237" s="7">
        <v>0</v>
      </c>
      <c r="C237" s="7">
        <f t="shared" si="13"/>
        <v>0.75583605794746755</v>
      </c>
      <c r="D237" s="7">
        <f t="shared" si="14"/>
        <v>0.75586047434167281</v>
      </c>
      <c r="E237" s="7">
        <f t="shared" si="15"/>
        <v>-0.27989847758459119</v>
      </c>
    </row>
    <row r="238" spans="1:5" x14ac:dyDescent="0.15">
      <c r="A238" s="7">
        <v>231</v>
      </c>
      <c r="B238" s="7">
        <v>0</v>
      </c>
      <c r="C238" s="7">
        <f t="shared" si="13"/>
        <v>0.75583605794746755</v>
      </c>
      <c r="D238" s="7">
        <f t="shared" si="14"/>
        <v>0.75586047434167281</v>
      </c>
      <c r="E238" s="7">
        <f t="shared" si="15"/>
        <v>-0.27989847758459119</v>
      </c>
    </row>
    <row r="239" spans="1:5" x14ac:dyDescent="0.15">
      <c r="A239" s="7">
        <v>232</v>
      </c>
      <c r="B239" s="7">
        <v>0</v>
      </c>
      <c r="C239" s="7">
        <f t="shared" si="13"/>
        <v>0.75583605794746755</v>
      </c>
      <c r="D239" s="7">
        <f t="shared" si="14"/>
        <v>0.75586047434167281</v>
      </c>
      <c r="E239" s="7">
        <f t="shared" si="15"/>
        <v>-0.27989847758459119</v>
      </c>
    </row>
    <row r="240" spans="1:5" x14ac:dyDescent="0.15">
      <c r="A240" s="7">
        <v>233</v>
      </c>
      <c r="B240" s="7">
        <v>0</v>
      </c>
      <c r="C240" s="7">
        <f t="shared" si="13"/>
        <v>0.75583605794746755</v>
      </c>
      <c r="D240" s="7">
        <f t="shared" si="14"/>
        <v>0.75586047434167281</v>
      </c>
      <c r="E240" s="7">
        <f t="shared" si="15"/>
        <v>-0.27989847758459119</v>
      </c>
    </row>
    <row r="241" spans="1:5" x14ac:dyDescent="0.15">
      <c r="A241" s="7">
        <v>234</v>
      </c>
      <c r="B241" s="7">
        <v>0</v>
      </c>
      <c r="C241" s="7">
        <f t="shared" si="13"/>
        <v>0.75583605794746755</v>
      </c>
      <c r="D241" s="7">
        <f t="shared" si="14"/>
        <v>0.75586047434167281</v>
      </c>
      <c r="E241" s="7">
        <f t="shared" si="15"/>
        <v>-0.27989847758459119</v>
      </c>
    </row>
    <row r="242" spans="1:5" x14ac:dyDescent="0.15">
      <c r="A242" s="7">
        <v>235</v>
      </c>
      <c r="B242" s="7">
        <v>0</v>
      </c>
      <c r="C242" s="7">
        <f t="shared" si="13"/>
        <v>0.75583605794746755</v>
      </c>
      <c r="D242" s="7">
        <f t="shared" si="14"/>
        <v>0.75586047434167281</v>
      </c>
      <c r="E242" s="7">
        <f t="shared" si="15"/>
        <v>-0.27989847758459119</v>
      </c>
    </row>
    <row r="243" spans="1:5" x14ac:dyDescent="0.15">
      <c r="A243" s="7">
        <v>236</v>
      </c>
      <c r="B243" s="7">
        <v>0</v>
      </c>
      <c r="C243" s="7">
        <f t="shared" si="13"/>
        <v>0.75583605794746755</v>
      </c>
      <c r="D243" s="7">
        <f t="shared" si="14"/>
        <v>0.75586047434167281</v>
      </c>
      <c r="E243" s="7">
        <f t="shared" si="15"/>
        <v>-0.27989847758459119</v>
      </c>
    </row>
    <row r="244" spans="1:5" x14ac:dyDescent="0.15">
      <c r="A244" s="7">
        <v>237</v>
      </c>
      <c r="B244" s="7">
        <v>0</v>
      </c>
      <c r="C244" s="7">
        <f t="shared" si="13"/>
        <v>0.75583605794746755</v>
      </c>
      <c r="D244" s="7">
        <f t="shared" si="14"/>
        <v>0.75586047434167281</v>
      </c>
      <c r="E244" s="7">
        <f t="shared" si="15"/>
        <v>-0.27989847758459119</v>
      </c>
    </row>
    <row r="245" spans="1:5" x14ac:dyDescent="0.15">
      <c r="A245" s="7">
        <v>238</v>
      </c>
      <c r="B245" s="7">
        <v>3</v>
      </c>
      <c r="C245" s="7">
        <f t="shared" si="13"/>
        <v>2.7470963680778882E-2</v>
      </c>
      <c r="D245" s="7">
        <f t="shared" si="14"/>
        <v>2.7468216584410805E-2</v>
      </c>
      <c r="E245" s="7">
        <f t="shared" si="15"/>
        <v>-3.5947257032827968</v>
      </c>
    </row>
    <row r="246" spans="1:5" x14ac:dyDescent="0.15">
      <c r="A246" s="7">
        <v>239</v>
      </c>
      <c r="B246" s="7">
        <v>0</v>
      </c>
      <c r="C246" s="7">
        <f t="shared" si="13"/>
        <v>0.75583605794746755</v>
      </c>
      <c r="D246" s="7">
        <f t="shared" si="14"/>
        <v>0.75586047434167281</v>
      </c>
      <c r="E246" s="7">
        <f t="shared" si="15"/>
        <v>-0.27989847758459119</v>
      </c>
    </row>
    <row r="247" spans="1:5" x14ac:dyDescent="0.15">
      <c r="A247" s="7">
        <v>240</v>
      </c>
      <c r="B247" s="7">
        <v>2</v>
      </c>
      <c r="C247" s="7">
        <f t="shared" si="13"/>
        <v>4.4066701399555049E-2</v>
      </c>
      <c r="D247" s="7">
        <f t="shared" si="14"/>
        <v>4.4062294729415093E-2</v>
      </c>
      <c r="E247" s="7">
        <f t="shared" si="15"/>
        <v>-3.1221508570437044</v>
      </c>
    </row>
    <row r="248" spans="1:5" x14ac:dyDescent="0.15">
      <c r="A248" s="7">
        <v>241</v>
      </c>
      <c r="B248" s="7">
        <v>0</v>
      </c>
      <c r="C248" s="7">
        <f t="shared" si="13"/>
        <v>0.75583605794746755</v>
      </c>
      <c r="D248" s="7">
        <f t="shared" si="14"/>
        <v>0.75586047434167281</v>
      </c>
      <c r="E248" s="7">
        <f t="shared" si="15"/>
        <v>-0.27989847758459119</v>
      </c>
    </row>
    <row r="249" spans="1:5" x14ac:dyDescent="0.15">
      <c r="A249" s="7">
        <v>242</v>
      </c>
      <c r="B249" s="7">
        <v>0</v>
      </c>
      <c r="C249" s="7">
        <f t="shared" si="13"/>
        <v>0.75583605794746755</v>
      </c>
      <c r="D249" s="7">
        <f t="shared" si="14"/>
        <v>0.75586047434167281</v>
      </c>
      <c r="E249" s="7">
        <f t="shared" si="15"/>
        <v>-0.27989847758459119</v>
      </c>
    </row>
    <row r="250" spans="1:5" x14ac:dyDescent="0.15">
      <c r="A250" s="7">
        <v>243</v>
      </c>
      <c r="B250" s="7">
        <v>0</v>
      </c>
      <c r="C250" s="7">
        <f t="shared" si="13"/>
        <v>0.75583605794746755</v>
      </c>
      <c r="D250" s="7">
        <f t="shared" si="14"/>
        <v>0.75586047434167281</v>
      </c>
      <c r="E250" s="7">
        <f t="shared" si="15"/>
        <v>-0.27989847758459119</v>
      </c>
    </row>
    <row r="251" spans="1:5" x14ac:dyDescent="0.15">
      <c r="A251" s="7">
        <v>244</v>
      </c>
      <c r="B251" s="7">
        <v>2</v>
      </c>
      <c r="C251" s="7">
        <f t="shared" si="13"/>
        <v>4.4066701399555049E-2</v>
      </c>
      <c r="D251" s="7">
        <f t="shared" si="14"/>
        <v>4.4062294729415093E-2</v>
      </c>
      <c r="E251" s="7">
        <f t="shared" si="15"/>
        <v>-3.1221508570437044</v>
      </c>
    </row>
    <row r="252" spans="1:5" x14ac:dyDescent="0.15">
      <c r="A252" s="7">
        <v>245</v>
      </c>
      <c r="B252" s="7">
        <v>2</v>
      </c>
      <c r="C252" s="7">
        <f t="shared" si="13"/>
        <v>4.4066701399555049E-2</v>
      </c>
      <c r="D252" s="7">
        <f t="shared" si="14"/>
        <v>4.4062294729415093E-2</v>
      </c>
      <c r="E252" s="7">
        <f t="shared" si="15"/>
        <v>-3.1221508570437044</v>
      </c>
    </row>
    <row r="253" spans="1:5" x14ac:dyDescent="0.15">
      <c r="A253" s="7">
        <v>246</v>
      </c>
      <c r="B253" s="7">
        <v>3</v>
      </c>
      <c r="C253" s="7">
        <f t="shared" si="13"/>
        <v>2.7470963680778882E-2</v>
      </c>
      <c r="D253" s="7">
        <f t="shared" si="14"/>
        <v>2.7468216584410805E-2</v>
      </c>
      <c r="E253" s="7">
        <f t="shared" si="15"/>
        <v>-3.5947257032827968</v>
      </c>
    </row>
    <row r="254" spans="1:5" x14ac:dyDescent="0.15">
      <c r="A254" s="7">
        <v>247</v>
      </c>
      <c r="B254" s="7">
        <v>0</v>
      </c>
      <c r="C254" s="7">
        <f t="shared" si="13"/>
        <v>0.75583605794746755</v>
      </c>
      <c r="D254" s="7">
        <f t="shared" si="14"/>
        <v>0.75586047434167281</v>
      </c>
      <c r="E254" s="7">
        <f t="shared" si="15"/>
        <v>-0.27989847758459119</v>
      </c>
    </row>
    <row r="255" spans="1:5" x14ac:dyDescent="0.15">
      <c r="A255" s="7">
        <v>248</v>
      </c>
      <c r="B255" s="7">
        <v>3</v>
      </c>
      <c r="C255" s="7">
        <f t="shared" si="13"/>
        <v>2.7470963680778882E-2</v>
      </c>
      <c r="D255" s="7">
        <f t="shared" si="14"/>
        <v>2.7468216584410805E-2</v>
      </c>
      <c r="E255" s="7">
        <f t="shared" si="15"/>
        <v>-3.5947257032827968</v>
      </c>
    </row>
    <row r="256" spans="1:5" x14ac:dyDescent="0.15">
      <c r="A256" s="7">
        <v>249</v>
      </c>
      <c r="B256" s="7">
        <v>0</v>
      </c>
      <c r="C256" s="7">
        <f t="shared" si="13"/>
        <v>0.75583605794746755</v>
      </c>
      <c r="D256" s="7">
        <f t="shared" si="14"/>
        <v>0.75586047434167281</v>
      </c>
      <c r="E256" s="7">
        <f t="shared" si="15"/>
        <v>-0.27989847758459119</v>
      </c>
    </row>
    <row r="257" spans="1:5" x14ac:dyDescent="0.15">
      <c r="A257" s="7">
        <v>250</v>
      </c>
      <c r="B257" s="7">
        <v>0</v>
      </c>
      <c r="C257" s="7">
        <f t="shared" si="13"/>
        <v>0.75583605794746755</v>
      </c>
      <c r="D257" s="7">
        <f t="shared" si="14"/>
        <v>0.75586047434167281</v>
      </c>
      <c r="E257" s="7">
        <f t="shared" si="15"/>
        <v>-0.27989847758459119</v>
      </c>
    </row>
    <row r="258" spans="1:5" x14ac:dyDescent="0.15">
      <c r="A258" s="7">
        <v>251</v>
      </c>
      <c r="B258" s="7">
        <v>0</v>
      </c>
      <c r="C258" s="7">
        <f t="shared" si="13"/>
        <v>0.75583605794746755</v>
      </c>
      <c r="D258" s="7">
        <f t="shared" si="14"/>
        <v>0.75586047434167281</v>
      </c>
      <c r="E258" s="7">
        <f t="shared" si="15"/>
        <v>-0.27989847758459119</v>
      </c>
    </row>
    <row r="259" spans="1:5" x14ac:dyDescent="0.15">
      <c r="A259" s="7">
        <v>252</v>
      </c>
      <c r="B259" s="7">
        <v>1</v>
      </c>
      <c r="C259" s="7">
        <f t="shared" si="13"/>
        <v>8.8686757970141181E-2</v>
      </c>
      <c r="D259" s="7">
        <f t="shared" si="14"/>
        <v>8.867788929434417E-2</v>
      </c>
      <c r="E259" s="7">
        <f t="shared" si="15"/>
        <v>-2.4227446958891354</v>
      </c>
    </row>
    <row r="260" spans="1:5" x14ac:dyDescent="0.15">
      <c r="A260" s="7">
        <v>253</v>
      </c>
      <c r="B260" s="7">
        <v>0</v>
      </c>
      <c r="C260" s="7">
        <f t="shared" si="13"/>
        <v>0.75583605794746755</v>
      </c>
      <c r="D260" s="7">
        <f t="shared" si="14"/>
        <v>0.75586047434167281</v>
      </c>
      <c r="E260" s="7">
        <f t="shared" si="15"/>
        <v>-0.27989847758459119</v>
      </c>
    </row>
    <row r="261" spans="1:5" x14ac:dyDescent="0.15">
      <c r="A261" s="7">
        <v>254</v>
      </c>
      <c r="B261" s="7">
        <v>0</v>
      </c>
      <c r="C261" s="7">
        <f t="shared" si="13"/>
        <v>0.75583605794746755</v>
      </c>
      <c r="D261" s="7">
        <f t="shared" si="14"/>
        <v>0.75586047434167281</v>
      </c>
      <c r="E261" s="7">
        <f t="shared" si="15"/>
        <v>-0.27989847758459119</v>
      </c>
    </row>
    <row r="262" spans="1:5" x14ac:dyDescent="0.15">
      <c r="A262" s="7">
        <v>255</v>
      </c>
      <c r="B262" s="7">
        <v>0</v>
      </c>
      <c r="C262" s="7">
        <f t="shared" si="13"/>
        <v>0.75583605794746755</v>
      </c>
      <c r="D262" s="7">
        <f t="shared" si="14"/>
        <v>0.75586047434167281</v>
      </c>
      <c r="E262" s="7">
        <f t="shared" si="15"/>
        <v>-0.27989847758459119</v>
      </c>
    </row>
    <row r="263" spans="1:5" x14ac:dyDescent="0.15">
      <c r="A263" s="7">
        <v>256</v>
      </c>
      <c r="B263" s="7">
        <v>12</v>
      </c>
      <c r="C263" s="7">
        <f t="shared" si="13"/>
        <v>2.5611896790335791E-3</v>
      </c>
      <c r="D263" s="7">
        <f t="shared" si="14"/>
        <v>2.5609335600656757E-3</v>
      </c>
      <c r="E263" s="7">
        <f t="shared" si="15"/>
        <v>-5.9673834150666476</v>
      </c>
    </row>
    <row r="264" spans="1:5" x14ac:dyDescent="0.15">
      <c r="A264" s="7">
        <v>257</v>
      </c>
      <c r="B264" s="7">
        <v>0</v>
      </c>
      <c r="C264" s="7">
        <f t="shared" si="13"/>
        <v>0.75583605794746755</v>
      </c>
      <c r="D264" s="7">
        <f t="shared" si="14"/>
        <v>0.75586047434167281</v>
      </c>
      <c r="E264" s="7">
        <f t="shared" si="15"/>
        <v>-0.27989847758459119</v>
      </c>
    </row>
    <row r="265" spans="1:5" x14ac:dyDescent="0.15">
      <c r="A265" s="7">
        <v>258</v>
      </c>
      <c r="B265" s="7">
        <v>0</v>
      </c>
      <c r="C265" s="7">
        <f t="shared" ref="C265:C328" si="16">(_xlfn.GAMMA($B$1+B265)/(_xlfn.GAMMA($B$1)*FACT(B265))) * ($B$2/($B$2+$B$5))^$B$1 * (1/($B$2 +$B$5))^B265</f>
        <v>0.75583605794746755</v>
      </c>
      <c r="D265" s="7">
        <f t="shared" ref="D265:D328" si="17" xml:space="preserve"> IF(B265 = 0, $B$3 + (1-$B$3) * C265, (1-$B$3) *C265)</f>
        <v>0.75586047434167281</v>
      </c>
      <c r="E265" s="7">
        <f t="shared" ref="E265:E328" si="18">LN(D265)</f>
        <v>-0.27989847758459119</v>
      </c>
    </row>
    <row r="266" spans="1:5" x14ac:dyDescent="0.15">
      <c r="A266" s="7">
        <v>259</v>
      </c>
      <c r="B266" s="7">
        <v>6</v>
      </c>
      <c r="C266" s="7">
        <f t="shared" si="16"/>
        <v>1.0249964283711298E-2</v>
      </c>
      <c r="D266" s="7">
        <f t="shared" si="17"/>
        <v>1.0248939287282927E-2</v>
      </c>
      <c r="E266" s="7">
        <f t="shared" si="18"/>
        <v>-4.5805810629200954</v>
      </c>
    </row>
    <row r="267" spans="1:5" x14ac:dyDescent="0.15">
      <c r="A267" s="7">
        <v>260</v>
      </c>
      <c r="B267" s="7">
        <v>0</v>
      </c>
      <c r="C267" s="7">
        <f t="shared" si="16"/>
        <v>0.75583605794746755</v>
      </c>
      <c r="D267" s="7">
        <f t="shared" si="17"/>
        <v>0.75586047434167281</v>
      </c>
      <c r="E267" s="7">
        <f t="shared" si="18"/>
        <v>-0.27989847758459119</v>
      </c>
    </row>
    <row r="268" spans="1:5" x14ac:dyDescent="0.15">
      <c r="A268" s="7">
        <v>261</v>
      </c>
      <c r="B268" s="7">
        <v>0</v>
      </c>
      <c r="C268" s="7">
        <f t="shared" si="16"/>
        <v>0.75583605794746755</v>
      </c>
      <c r="D268" s="7">
        <f t="shared" si="17"/>
        <v>0.75586047434167281</v>
      </c>
      <c r="E268" s="7">
        <f t="shared" si="18"/>
        <v>-0.27989847758459119</v>
      </c>
    </row>
    <row r="269" spans="1:5" x14ac:dyDescent="0.15">
      <c r="A269" s="7">
        <v>262</v>
      </c>
      <c r="B269" s="7">
        <v>0</v>
      </c>
      <c r="C269" s="7">
        <f t="shared" si="16"/>
        <v>0.75583605794746755</v>
      </c>
      <c r="D269" s="7">
        <f t="shared" si="17"/>
        <v>0.75586047434167281</v>
      </c>
      <c r="E269" s="7">
        <f t="shared" si="18"/>
        <v>-0.27989847758459119</v>
      </c>
    </row>
    <row r="270" spans="1:5" x14ac:dyDescent="0.15">
      <c r="A270" s="7">
        <v>263</v>
      </c>
      <c r="B270" s="7">
        <v>2</v>
      </c>
      <c r="C270" s="7">
        <f t="shared" si="16"/>
        <v>4.4066701399555049E-2</v>
      </c>
      <c r="D270" s="7">
        <f t="shared" si="17"/>
        <v>4.4062294729415093E-2</v>
      </c>
      <c r="E270" s="7">
        <f t="shared" si="18"/>
        <v>-3.1221508570437044</v>
      </c>
    </row>
    <row r="271" spans="1:5" x14ac:dyDescent="0.15">
      <c r="A271" s="7">
        <v>264</v>
      </c>
      <c r="B271" s="7">
        <v>0</v>
      </c>
      <c r="C271" s="7">
        <f t="shared" si="16"/>
        <v>0.75583605794746755</v>
      </c>
      <c r="D271" s="7">
        <f t="shared" si="17"/>
        <v>0.75586047434167281</v>
      </c>
      <c r="E271" s="7">
        <f t="shared" si="18"/>
        <v>-0.27989847758459119</v>
      </c>
    </row>
    <row r="272" spans="1:5" x14ac:dyDescent="0.15">
      <c r="A272" s="7">
        <v>265</v>
      </c>
      <c r="B272" s="7">
        <v>0</v>
      </c>
      <c r="C272" s="7">
        <f t="shared" si="16"/>
        <v>0.75583605794746755</v>
      </c>
      <c r="D272" s="7">
        <f t="shared" si="17"/>
        <v>0.75586047434167281</v>
      </c>
      <c r="E272" s="7">
        <f t="shared" si="18"/>
        <v>-0.27989847758459119</v>
      </c>
    </row>
    <row r="273" spans="1:5" x14ac:dyDescent="0.15">
      <c r="A273" s="7">
        <v>266</v>
      </c>
      <c r="B273" s="7">
        <v>1</v>
      </c>
      <c r="C273" s="7">
        <f t="shared" si="16"/>
        <v>8.8686757970141181E-2</v>
      </c>
      <c r="D273" s="7">
        <f t="shared" si="17"/>
        <v>8.867788929434417E-2</v>
      </c>
      <c r="E273" s="7">
        <f t="shared" si="18"/>
        <v>-2.4227446958891354</v>
      </c>
    </row>
    <row r="274" spans="1:5" x14ac:dyDescent="0.15">
      <c r="A274" s="7">
        <v>267</v>
      </c>
      <c r="B274" s="7">
        <v>16</v>
      </c>
      <c r="C274" s="7">
        <f t="shared" si="16"/>
        <v>1.1792932174368418E-3</v>
      </c>
      <c r="D274" s="7">
        <f t="shared" si="17"/>
        <v>1.1791752881150982E-3</v>
      </c>
      <c r="E274" s="7">
        <f t="shared" si="18"/>
        <v>-6.7429399932319178</v>
      </c>
    </row>
    <row r="275" spans="1:5" x14ac:dyDescent="0.15">
      <c r="A275" s="7">
        <v>268</v>
      </c>
      <c r="B275" s="7">
        <v>0</v>
      </c>
      <c r="C275" s="7">
        <f t="shared" si="16"/>
        <v>0.75583605794746755</v>
      </c>
      <c r="D275" s="7">
        <f t="shared" si="17"/>
        <v>0.75586047434167281</v>
      </c>
      <c r="E275" s="7">
        <f t="shared" si="18"/>
        <v>-0.27989847758459119</v>
      </c>
    </row>
    <row r="276" spans="1:5" x14ac:dyDescent="0.15">
      <c r="A276" s="7">
        <v>269</v>
      </c>
      <c r="B276" s="7">
        <v>1</v>
      </c>
      <c r="C276" s="7">
        <f t="shared" si="16"/>
        <v>8.8686757970141181E-2</v>
      </c>
      <c r="D276" s="7">
        <f t="shared" si="17"/>
        <v>8.867788929434417E-2</v>
      </c>
      <c r="E276" s="7">
        <f t="shared" si="18"/>
        <v>-2.4227446958891354</v>
      </c>
    </row>
    <row r="277" spans="1:5" x14ac:dyDescent="0.15">
      <c r="A277" s="7">
        <v>270</v>
      </c>
      <c r="B277" s="7">
        <v>0</v>
      </c>
      <c r="C277" s="7">
        <f t="shared" si="16"/>
        <v>0.75583605794746755</v>
      </c>
      <c r="D277" s="7">
        <f t="shared" si="17"/>
        <v>0.75586047434167281</v>
      </c>
      <c r="E277" s="7">
        <f t="shared" si="18"/>
        <v>-0.27989847758459119</v>
      </c>
    </row>
    <row r="278" spans="1:5" x14ac:dyDescent="0.15">
      <c r="A278" s="7">
        <v>271</v>
      </c>
      <c r="B278" s="7">
        <v>1</v>
      </c>
      <c r="C278" s="7">
        <f t="shared" si="16"/>
        <v>8.8686757970141181E-2</v>
      </c>
      <c r="D278" s="7">
        <f t="shared" si="17"/>
        <v>8.867788929434417E-2</v>
      </c>
      <c r="E278" s="7">
        <f t="shared" si="18"/>
        <v>-2.4227446958891354</v>
      </c>
    </row>
    <row r="279" spans="1:5" x14ac:dyDescent="0.15">
      <c r="A279" s="7">
        <v>272</v>
      </c>
      <c r="B279" s="7">
        <v>1</v>
      </c>
      <c r="C279" s="7">
        <f t="shared" si="16"/>
        <v>8.8686757970141181E-2</v>
      </c>
      <c r="D279" s="7">
        <f t="shared" si="17"/>
        <v>8.867788929434417E-2</v>
      </c>
      <c r="E279" s="7">
        <f t="shared" si="18"/>
        <v>-2.4227446958891354</v>
      </c>
    </row>
    <row r="280" spans="1:5" x14ac:dyDescent="0.15">
      <c r="A280" s="7">
        <v>273</v>
      </c>
      <c r="B280" s="7">
        <v>0</v>
      </c>
      <c r="C280" s="7">
        <f t="shared" si="16"/>
        <v>0.75583605794746755</v>
      </c>
      <c r="D280" s="7">
        <f t="shared" si="17"/>
        <v>0.75586047434167281</v>
      </c>
      <c r="E280" s="7">
        <f t="shared" si="18"/>
        <v>-0.27989847758459119</v>
      </c>
    </row>
    <row r="281" spans="1:5" x14ac:dyDescent="0.15">
      <c r="A281" s="7">
        <v>274</v>
      </c>
      <c r="B281" s="7">
        <v>0</v>
      </c>
      <c r="C281" s="7">
        <f t="shared" si="16"/>
        <v>0.75583605794746755</v>
      </c>
      <c r="D281" s="7">
        <f t="shared" si="17"/>
        <v>0.75586047434167281</v>
      </c>
      <c r="E281" s="7">
        <f t="shared" si="18"/>
        <v>-0.27989847758459119</v>
      </c>
    </row>
    <row r="282" spans="1:5" x14ac:dyDescent="0.15">
      <c r="A282" s="7">
        <v>275</v>
      </c>
      <c r="B282" s="7">
        <v>0</v>
      </c>
      <c r="C282" s="7">
        <f t="shared" si="16"/>
        <v>0.75583605794746755</v>
      </c>
      <c r="D282" s="7">
        <f t="shared" si="17"/>
        <v>0.75586047434167281</v>
      </c>
      <c r="E282" s="7">
        <f t="shared" si="18"/>
        <v>-0.27989847758459119</v>
      </c>
    </row>
    <row r="283" spans="1:5" x14ac:dyDescent="0.15">
      <c r="A283" s="7">
        <v>276</v>
      </c>
      <c r="B283" s="7">
        <v>1</v>
      </c>
      <c r="C283" s="7">
        <f t="shared" si="16"/>
        <v>8.8686757970141181E-2</v>
      </c>
      <c r="D283" s="7">
        <f t="shared" si="17"/>
        <v>8.867788929434417E-2</v>
      </c>
      <c r="E283" s="7">
        <f t="shared" si="18"/>
        <v>-2.4227446958891354</v>
      </c>
    </row>
    <row r="284" spans="1:5" x14ac:dyDescent="0.15">
      <c r="A284" s="7">
        <v>277</v>
      </c>
      <c r="B284" s="7">
        <v>0</v>
      </c>
      <c r="C284" s="7">
        <f t="shared" si="16"/>
        <v>0.75583605794746755</v>
      </c>
      <c r="D284" s="7">
        <f t="shared" si="17"/>
        <v>0.75586047434167281</v>
      </c>
      <c r="E284" s="7">
        <f t="shared" si="18"/>
        <v>-0.27989847758459119</v>
      </c>
    </row>
    <row r="285" spans="1:5" x14ac:dyDescent="0.15">
      <c r="A285" s="7">
        <v>278</v>
      </c>
      <c r="B285" s="7">
        <v>0</v>
      </c>
      <c r="C285" s="7">
        <f t="shared" si="16"/>
        <v>0.75583605794746755</v>
      </c>
      <c r="D285" s="7">
        <f t="shared" si="17"/>
        <v>0.75586047434167281</v>
      </c>
      <c r="E285" s="7">
        <f t="shared" si="18"/>
        <v>-0.27989847758459119</v>
      </c>
    </row>
    <row r="286" spans="1:5" x14ac:dyDescent="0.15">
      <c r="A286" s="7">
        <v>279</v>
      </c>
      <c r="B286" s="7">
        <v>0</v>
      </c>
      <c r="C286" s="7">
        <f t="shared" si="16"/>
        <v>0.75583605794746755</v>
      </c>
      <c r="D286" s="7">
        <f t="shared" si="17"/>
        <v>0.75586047434167281</v>
      </c>
      <c r="E286" s="7">
        <f t="shared" si="18"/>
        <v>-0.27989847758459119</v>
      </c>
    </row>
    <row r="287" spans="1:5" x14ac:dyDescent="0.15">
      <c r="A287" s="7">
        <v>280</v>
      </c>
      <c r="B287" s="7">
        <v>0</v>
      </c>
      <c r="C287" s="7">
        <f t="shared" si="16"/>
        <v>0.75583605794746755</v>
      </c>
      <c r="D287" s="7">
        <f t="shared" si="17"/>
        <v>0.75586047434167281</v>
      </c>
      <c r="E287" s="7">
        <f t="shared" si="18"/>
        <v>-0.27989847758459119</v>
      </c>
    </row>
    <row r="288" spans="1:5" x14ac:dyDescent="0.15">
      <c r="A288" s="7">
        <v>281</v>
      </c>
      <c r="B288" s="7">
        <v>0</v>
      </c>
      <c r="C288" s="7">
        <f t="shared" si="16"/>
        <v>0.75583605794746755</v>
      </c>
      <c r="D288" s="7">
        <f t="shared" si="17"/>
        <v>0.75586047434167281</v>
      </c>
      <c r="E288" s="7">
        <f t="shared" si="18"/>
        <v>-0.27989847758459119</v>
      </c>
    </row>
    <row r="289" spans="1:5" x14ac:dyDescent="0.15">
      <c r="A289" s="7">
        <v>282</v>
      </c>
      <c r="B289" s="7">
        <v>0</v>
      </c>
      <c r="C289" s="7">
        <f t="shared" si="16"/>
        <v>0.75583605794746755</v>
      </c>
      <c r="D289" s="7">
        <f t="shared" si="17"/>
        <v>0.75586047434167281</v>
      </c>
      <c r="E289" s="7">
        <f t="shared" si="18"/>
        <v>-0.27989847758459119</v>
      </c>
    </row>
    <row r="290" spans="1:5" x14ac:dyDescent="0.15">
      <c r="A290" s="7">
        <v>283</v>
      </c>
      <c r="B290" s="7">
        <v>21</v>
      </c>
      <c r="C290" s="7">
        <f t="shared" si="16"/>
        <v>4.8226539689365938E-4</v>
      </c>
      <c r="D290" s="7">
        <f t="shared" si="17"/>
        <v>4.8221717035397003E-4</v>
      </c>
      <c r="E290" s="7">
        <f t="shared" si="18"/>
        <v>-7.6371159844854049</v>
      </c>
    </row>
    <row r="291" spans="1:5" x14ac:dyDescent="0.15">
      <c r="A291" s="7">
        <v>284</v>
      </c>
      <c r="B291" s="7">
        <v>0</v>
      </c>
      <c r="C291" s="7">
        <f t="shared" si="16"/>
        <v>0.75583605794746755</v>
      </c>
      <c r="D291" s="7">
        <f t="shared" si="17"/>
        <v>0.75586047434167281</v>
      </c>
      <c r="E291" s="7">
        <f t="shared" si="18"/>
        <v>-0.27989847758459119</v>
      </c>
    </row>
    <row r="292" spans="1:5" x14ac:dyDescent="0.15">
      <c r="A292" s="7">
        <v>285</v>
      </c>
      <c r="B292" s="7">
        <v>0</v>
      </c>
      <c r="C292" s="7">
        <f t="shared" si="16"/>
        <v>0.75583605794746755</v>
      </c>
      <c r="D292" s="7">
        <f t="shared" si="17"/>
        <v>0.75586047434167281</v>
      </c>
      <c r="E292" s="7">
        <f t="shared" si="18"/>
        <v>-0.27989847758459119</v>
      </c>
    </row>
    <row r="293" spans="1:5" x14ac:dyDescent="0.15">
      <c r="A293" s="7">
        <v>286</v>
      </c>
      <c r="B293" s="7">
        <v>0</v>
      </c>
      <c r="C293" s="7">
        <f t="shared" si="16"/>
        <v>0.75583605794746755</v>
      </c>
      <c r="D293" s="7">
        <f t="shared" si="17"/>
        <v>0.75586047434167281</v>
      </c>
      <c r="E293" s="7">
        <f t="shared" si="18"/>
        <v>-0.27989847758459119</v>
      </c>
    </row>
    <row r="294" spans="1:5" x14ac:dyDescent="0.15">
      <c r="A294" s="7">
        <v>287</v>
      </c>
      <c r="B294" s="7">
        <v>0</v>
      </c>
      <c r="C294" s="7">
        <f t="shared" si="16"/>
        <v>0.75583605794746755</v>
      </c>
      <c r="D294" s="7">
        <f t="shared" si="17"/>
        <v>0.75586047434167281</v>
      </c>
      <c r="E294" s="7">
        <f t="shared" si="18"/>
        <v>-0.27989847758459119</v>
      </c>
    </row>
    <row r="295" spans="1:5" x14ac:dyDescent="0.15">
      <c r="A295" s="7">
        <v>288</v>
      </c>
      <c r="B295" s="7">
        <v>0</v>
      </c>
      <c r="C295" s="7">
        <f t="shared" si="16"/>
        <v>0.75583605794746755</v>
      </c>
      <c r="D295" s="7">
        <f t="shared" si="17"/>
        <v>0.75586047434167281</v>
      </c>
      <c r="E295" s="7">
        <f t="shared" si="18"/>
        <v>-0.27989847758459119</v>
      </c>
    </row>
    <row r="296" spans="1:5" x14ac:dyDescent="0.15">
      <c r="A296" s="7">
        <v>289</v>
      </c>
      <c r="B296" s="7">
        <v>0</v>
      </c>
      <c r="C296" s="7">
        <f t="shared" si="16"/>
        <v>0.75583605794746755</v>
      </c>
      <c r="D296" s="7">
        <f t="shared" si="17"/>
        <v>0.75586047434167281</v>
      </c>
      <c r="E296" s="7">
        <f t="shared" si="18"/>
        <v>-0.27989847758459119</v>
      </c>
    </row>
    <row r="297" spans="1:5" x14ac:dyDescent="0.15">
      <c r="A297" s="7">
        <v>290</v>
      </c>
      <c r="B297" s="7">
        <v>0</v>
      </c>
      <c r="C297" s="7">
        <f t="shared" si="16"/>
        <v>0.75583605794746755</v>
      </c>
      <c r="D297" s="7">
        <f t="shared" si="17"/>
        <v>0.75586047434167281</v>
      </c>
      <c r="E297" s="7">
        <f t="shared" si="18"/>
        <v>-0.27989847758459119</v>
      </c>
    </row>
    <row r="298" spans="1:5" x14ac:dyDescent="0.15">
      <c r="A298" s="7">
        <v>291</v>
      </c>
      <c r="B298" s="7">
        <v>0</v>
      </c>
      <c r="C298" s="7">
        <f t="shared" si="16"/>
        <v>0.75583605794746755</v>
      </c>
      <c r="D298" s="7">
        <f t="shared" si="17"/>
        <v>0.75586047434167281</v>
      </c>
      <c r="E298" s="7">
        <f t="shared" si="18"/>
        <v>-0.27989847758459119</v>
      </c>
    </row>
    <row r="299" spans="1:5" x14ac:dyDescent="0.15">
      <c r="A299" s="7">
        <v>292</v>
      </c>
      <c r="B299" s="7">
        <v>1</v>
      </c>
      <c r="C299" s="7">
        <f t="shared" si="16"/>
        <v>8.8686757970141181E-2</v>
      </c>
      <c r="D299" s="7">
        <f t="shared" si="17"/>
        <v>8.867788929434417E-2</v>
      </c>
      <c r="E299" s="7">
        <f t="shared" si="18"/>
        <v>-2.4227446958891354</v>
      </c>
    </row>
    <row r="300" spans="1:5" x14ac:dyDescent="0.15">
      <c r="A300" s="7">
        <v>293</v>
      </c>
      <c r="B300" s="7">
        <v>0</v>
      </c>
      <c r="C300" s="7">
        <f t="shared" si="16"/>
        <v>0.75583605794746755</v>
      </c>
      <c r="D300" s="7">
        <f t="shared" si="17"/>
        <v>0.75586047434167281</v>
      </c>
      <c r="E300" s="7">
        <f t="shared" si="18"/>
        <v>-0.27989847758459119</v>
      </c>
    </row>
    <row r="301" spans="1:5" x14ac:dyDescent="0.15">
      <c r="A301" s="7">
        <v>294</v>
      </c>
      <c r="B301" s="7">
        <v>0</v>
      </c>
      <c r="C301" s="7">
        <f t="shared" si="16"/>
        <v>0.75583605794746755</v>
      </c>
      <c r="D301" s="7">
        <f t="shared" si="17"/>
        <v>0.75586047434167281</v>
      </c>
      <c r="E301" s="7">
        <f t="shared" si="18"/>
        <v>-0.27989847758459119</v>
      </c>
    </row>
    <row r="302" spans="1:5" x14ac:dyDescent="0.15">
      <c r="A302" s="7">
        <v>295</v>
      </c>
      <c r="B302" s="7">
        <v>2</v>
      </c>
      <c r="C302" s="7">
        <f t="shared" si="16"/>
        <v>4.4066701399555049E-2</v>
      </c>
      <c r="D302" s="7">
        <f t="shared" si="17"/>
        <v>4.4062294729415093E-2</v>
      </c>
      <c r="E302" s="7">
        <f t="shared" si="18"/>
        <v>-3.1221508570437044</v>
      </c>
    </row>
    <row r="303" spans="1:5" x14ac:dyDescent="0.15">
      <c r="A303" s="7">
        <v>296</v>
      </c>
      <c r="B303" s="7">
        <v>0</v>
      </c>
      <c r="C303" s="7">
        <f t="shared" si="16"/>
        <v>0.75583605794746755</v>
      </c>
      <c r="D303" s="7">
        <f t="shared" si="17"/>
        <v>0.75586047434167281</v>
      </c>
      <c r="E303" s="7">
        <f t="shared" si="18"/>
        <v>-0.27989847758459119</v>
      </c>
    </row>
    <row r="304" spans="1:5" x14ac:dyDescent="0.15">
      <c r="A304" s="7">
        <v>297</v>
      </c>
      <c r="B304" s="7">
        <v>0</v>
      </c>
      <c r="C304" s="7">
        <f t="shared" si="16"/>
        <v>0.75583605794746755</v>
      </c>
      <c r="D304" s="7">
        <f t="shared" si="17"/>
        <v>0.75586047434167281</v>
      </c>
      <c r="E304" s="7">
        <f t="shared" si="18"/>
        <v>-0.27989847758459119</v>
      </c>
    </row>
    <row r="305" spans="1:5" x14ac:dyDescent="0.15">
      <c r="A305" s="7">
        <v>298</v>
      </c>
      <c r="B305" s="7">
        <v>0</v>
      </c>
      <c r="C305" s="7">
        <f t="shared" si="16"/>
        <v>0.75583605794746755</v>
      </c>
      <c r="D305" s="7">
        <f t="shared" si="17"/>
        <v>0.75586047434167281</v>
      </c>
      <c r="E305" s="7">
        <f t="shared" si="18"/>
        <v>-0.27989847758459119</v>
      </c>
    </row>
    <row r="306" spans="1:5" x14ac:dyDescent="0.15">
      <c r="A306" s="7">
        <v>299</v>
      </c>
      <c r="B306" s="7">
        <v>0</v>
      </c>
      <c r="C306" s="7">
        <f t="shared" si="16"/>
        <v>0.75583605794746755</v>
      </c>
      <c r="D306" s="7">
        <f t="shared" si="17"/>
        <v>0.75586047434167281</v>
      </c>
      <c r="E306" s="7">
        <f t="shared" si="18"/>
        <v>-0.27989847758459119</v>
      </c>
    </row>
    <row r="307" spans="1:5" x14ac:dyDescent="0.15">
      <c r="A307" s="7">
        <v>300</v>
      </c>
      <c r="B307" s="7">
        <v>0</v>
      </c>
      <c r="C307" s="7">
        <f t="shared" si="16"/>
        <v>0.75583605794746755</v>
      </c>
      <c r="D307" s="7">
        <f t="shared" si="17"/>
        <v>0.75586047434167281</v>
      </c>
      <c r="E307" s="7">
        <f t="shared" si="18"/>
        <v>-0.27989847758459119</v>
      </c>
    </row>
    <row r="308" spans="1:5" x14ac:dyDescent="0.15">
      <c r="A308" s="7">
        <v>301</v>
      </c>
      <c r="B308" s="7">
        <v>0</v>
      </c>
      <c r="C308" s="7">
        <f t="shared" si="16"/>
        <v>0.75583605794746755</v>
      </c>
      <c r="D308" s="7">
        <f t="shared" si="17"/>
        <v>0.75586047434167281</v>
      </c>
      <c r="E308" s="7">
        <f t="shared" si="18"/>
        <v>-0.27989847758459119</v>
      </c>
    </row>
    <row r="309" spans="1:5" x14ac:dyDescent="0.15">
      <c r="A309" s="7">
        <v>302</v>
      </c>
      <c r="B309" s="7">
        <v>0</v>
      </c>
      <c r="C309" s="7">
        <f t="shared" si="16"/>
        <v>0.75583605794746755</v>
      </c>
      <c r="D309" s="7">
        <f t="shared" si="17"/>
        <v>0.75586047434167281</v>
      </c>
      <c r="E309" s="7">
        <f t="shared" si="18"/>
        <v>-0.27989847758459119</v>
      </c>
    </row>
    <row r="310" spans="1:5" x14ac:dyDescent="0.15">
      <c r="A310" s="7">
        <v>303</v>
      </c>
      <c r="B310" s="7">
        <v>0</v>
      </c>
      <c r="C310" s="7">
        <f t="shared" si="16"/>
        <v>0.75583605794746755</v>
      </c>
      <c r="D310" s="7">
        <f t="shared" si="17"/>
        <v>0.75586047434167281</v>
      </c>
      <c r="E310" s="7">
        <f t="shared" si="18"/>
        <v>-0.27989847758459119</v>
      </c>
    </row>
    <row r="311" spans="1:5" x14ac:dyDescent="0.15">
      <c r="A311" s="7">
        <v>304</v>
      </c>
      <c r="B311" s="7">
        <v>0</v>
      </c>
      <c r="C311" s="7">
        <f t="shared" si="16"/>
        <v>0.75583605794746755</v>
      </c>
      <c r="D311" s="7">
        <f t="shared" si="17"/>
        <v>0.75586047434167281</v>
      </c>
      <c r="E311" s="7">
        <f t="shared" si="18"/>
        <v>-0.27989847758459119</v>
      </c>
    </row>
    <row r="312" spans="1:5" x14ac:dyDescent="0.15">
      <c r="A312" s="7">
        <v>305</v>
      </c>
      <c r="B312" s="7">
        <v>3</v>
      </c>
      <c r="C312" s="7">
        <f t="shared" si="16"/>
        <v>2.7470963680778882E-2</v>
      </c>
      <c r="D312" s="7">
        <f t="shared" si="17"/>
        <v>2.7468216584410805E-2</v>
      </c>
      <c r="E312" s="7">
        <f t="shared" si="18"/>
        <v>-3.5947257032827968</v>
      </c>
    </row>
    <row r="313" spans="1:5" x14ac:dyDescent="0.15">
      <c r="A313" s="7">
        <v>306</v>
      </c>
      <c r="B313" s="7">
        <v>0</v>
      </c>
      <c r="C313" s="7">
        <f t="shared" si="16"/>
        <v>0.75583605794746755</v>
      </c>
      <c r="D313" s="7">
        <f t="shared" si="17"/>
        <v>0.75586047434167281</v>
      </c>
      <c r="E313" s="7">
        <f t="shared" si="18"/>
        <v>-0.27989847758459119</v>
      </c>
    </row>
    <row r="314" spans="1:5" x14ac:dyDescent="0.15">
      <c r="A314" s="7">
        <v>307</v>
      </c>
      <c r="B314" s="7">
        <v>0</v>
      </c>
      <c r="C314" s="7">
        <f t="shared" si="16"/>
        <v>0.75583605794746755</v>
      </c>
      <c r="D314" s="7">
        <f t="shared" si="17"/>
        <v>0.75586047434167281</v>
      </c>
      <c r="E314" s="7">
        <f t="shared" si="18"/>
        <v>-0.27989847758459119</v>
      </c>
    </row>
    <row r="315" spans="1:5" x14ac:dyDescent="0.15">
      <c r="A315" s="7">
        <v>308</v>
      </c>
      <c r="B315" s="7">
        <v>3</v>
      </c>
      <c r="C315" s="7">
        <f t="shared" si="16"/>
        <v>2.7470963680778882E-2</v>
      </c>
      <c r="D315" s="7">
        <f t="shared" si="17"/>
        <v>2.7468216584410805E-2</v>
      </c>
      <c r="E315" s="7">
        <f t="shared" si="18"/>
        <v>-3.5947257032827968</v>
      </c>
    </row>
    <row r="316" spans="1:5" x14ac:dyDescent="0.15">
      <c r="A316" s="7">
        <v>309</v>
      </c>
      <c r="B316" s="7">
        <v>1</v>
      </c>
      <c r="C316" s="7">
        <f t="shared" si="16"/>
        <v>8.8686757970141181E-2</v>
      </c>
      <c r="D316" s="7">
        <f t="shared" si="17"/>
        <v>8.867788929434417E-2</v>
      </c>
      <c r="E316" s="7">
        <f t="shared" si="18"/>
        <v>-2.4227446958891354</v>
      </c>
    </row>
    <row r="317" spans="1:5" x14ac:dyDescent="0.15">
      <c r="A317" s="7">
        <v>310</v>
      </c>
      <c r="B317" s="7">
        <v>0</v>
      </c>
      <c r="C317" s="7">
        <f t="shared" si="16"/>
        <v>0.75583605794746755</v>
      </c>
      <c r="D317" s="7">
        <f t="shared" si="17"/>
        <v>0.75586047434167281</v>
      </c>
      <c r="E317" s="7">
        <f t="shared" si="18"/>
        <v>-0.27989847758459119</v>
      </c>
    </row>
    <row r="318" spans="1:5" x14ac:dyDescent="0.15">
      <c r="A318" s="7">
        <v>311</v>
      </c>
      <c r="B318" s="7">
        <v>3</v>
      </c>
      <c r="C318" s="7">
        <f t="shared" si="16"/>
        <v>2.7470963680778882E-2</v>
      </c>
      <c r="D318" s="7">
        <f t="shared" si="17"/>
        <v>2.7468216584410805E-2</v>
      </c>
      <c r="E318" s="7">
        <f t="shared" si="18"/>
        <v>-3.5947257032827968</v>
      </c>
    </row>
    <row r="319" spans="1:5" x14ac:dyDescent="0.15">
      <c r="A319" s="7">
        <v>312</v>
      </c>
      <c r="B319" s="7">
        <v>0</v>
      </c>
      <c r="C319" s="7">
        <f t="shared" si="16"/>
        <v>0.75583605794746755</v>
      </c>
      <c r="D319" s="7">
        <f t="shared" si="17"/>
        <v>0.75586047434167281</v>
      </c>
      <c r="E319" s="7">
        <f t="shared" si="18"/>
        <v>-0.27989847758459119</v>
      </c>
    </row>
    <row r="320" spans="1:5" x14ac:dyDescent="0.15">
      <c r="A320" s="7">
        <v>313</v>
      </c>
      <c r="B320" s="7">
        <v>0</v>
      </c>
      <c r="C320" s="7">
        <f t="shared" si="16"/>
        <v>0.75583605794746755</v>
      </c>
      <c r="D320" s="7">
        <f t="shared" si="17"/>
        <v>0.75586047434167281</v>
      </c>
      <c r="E320" s="7">
        <f t="shared" si="18"/>
        <v>-0.27989847758459119</v>
      </c>
    </row>
    <row r="321" spans="1:5" x14ac:dyDescent="0.15">
      <c r="A321" s="7">
        <v>314</v>
      </c>
      <c r="B321" s="7">
        <v>0</v>
      </c>
      <c r="C321" s="7">
        <f t="shared" si="16"/>
        <v>0.75583605794746755</v>
      </c>
      <c r="D321" s="7">
        <f t="shared" si="17"/>
        <v>0.75586047434167281</v>
      </c>
      <c r="E321" s="7">
        <f t="shared" si="18"/>
        <v>-0.27989847758459119</v>
      </c>
    </row>
    <row r="322" spans="1:5" x14ac:dyDescent="0.15">
      <c r="A322" s="7">
        <v>315</v>
      </c>
      <c r="B322" s="7">
        <v>0</v>
      </c>
      <c r="C322" s="7">
        <f t="shared" si="16"/>
        <v>0.75583605794746755</v>
      </c>
      <c r="D322" s="7">
        <f t="shared" si="17"/>
        <v>0.75586047434167281</v>
      </c>
      <c r="E322" s="7">
        <f t="shared" si="18"/>
        <v>-0.27989847758459119</v>
      </c>
    </row>
    <row r="323" spans="1:5" x14ac:dyDescent="0.15">
      <c r="A323" s="7">
        <v>316</v>
      </c>
      <c r="B323" s="7">
        <v>0</v>
      </c>
      <c r="C323" s="7">
        <f t="shared" si="16"/>
        <v>0.75583605794746755</v>
      </c>
      <c r="D323" s="7">
        <f t="shared" si="17"/>
        <v>0.75586047434167281</v>
      </c>
      <c r="E323" s="7">
        <f t="shared" si="18"/>
        <v>-0.27989847758459119</v>
      </c>
    </row>
    <row r="324" spans="1:5" x14ac:dyDescent="0.15">
      <c r="A324" s="7">
        <v>317</v>
      </c>
      <c r="B324" s="7">
        <v>0</v>
      </c>
      <c r="C324" s="7">
        <f t="shared" si="16"/>
        <v>0.75583605794746755</v>
      </c>
      <c r="D324" s="7">
        <f t="shared" si="17"/>
        <v>0.75586047434167281</v>
      </c>
      <c r="E324" s="7">
        <f t="shared" si="18"/>
        <v>-0.27989847758459119</v>
      </c>
    </row>
    <row r="325" spans="1:5" x14ac:dyDescent="0.15">
      <c r="A325" s="7">
        <v>318</v>
      </c>
      <c r="B325" s="7">
        <v>2</v>
      </c>
      <c r="C325" s="7">
        <f t="shared" si="16"/>
        <v>4.4066701399555049E-2</v>
      </c>
      <c r="D325" s="7">
        <f t="shared" si="17"/>
        <v>4.4062294729415093E-2</v>
      </c>
      <c r="E325" s="7">
        <f t="shared" si="18"/>
        <v>-3.1221508570437044</v>
      </c>
    </row>
    <row r="326" spans="1:5" x14ac:dyDescent="0.15">
      <c r="A326" s="7">
        <v>319</v>
      </c>
      <c r="B326" s="7">
        <v>0</v>
      </c>
      <c r="C326" s="7">
        <f t="shared" si="16"/>
        <v>0.75583605794746755</v>
      </c>
      <c r="D326" s="7">
        <f t="shared" si="17"/>
        <v>0.75586047434167281</v>
      </c>
      <c r="E326" s="7">
        <f t="shared" si="18"/>
        <v>-0.27989847758459119</v>
      </c>
    </row>
    <row r="327" spans="1:5" x14ac:dyDescent="0.15">
      <c r="A327" s="7">
        <v>320</v>
      </c>
      <c r="B327" s="7">
        <v>3</v>
      </c>
      <c r="C327" s="7">
        <f t="shared" si="16"/>
        <v>2.7470963680778882E-2</v>
      </c>
      <c r="D327" s="7">
        <f t="shared" si="17"/>
        <v>2.7468216584410805E-2</v>
      </c>
      <c r="E327" s="7">
        <f t="shared" si="18"/>
        <v>-3.5947257032827968</v>
      </c>
    </row>
    <row r="328" spans="1:5" x14ac:dyDescent="0.15">
      <c r="A328" s="7">
        <v>321</v>
      </c>
      <c r="B328" s="7">
        <v>1</v>
      </c>
      <c r="C328" s="7">
        <f t="shared" si="16"/>
        <v>8.8686757970141181E-2</v>
      </c>
      <c r="D328" s="7">
        <f t="shared" si="17"/>
        <v>8.867788929434417E-2</v>
      </c>
      <c r="E328" s="7">
        <f t="shared" si="18"/>
        <v>-2.4227446958891354</v>
      </c>
    </row>
    <row r="329" spans="1:5" x14ac:dyDescent="0.15">
      <c r="A329" s="7">
        <v>322</v>
      </c>
      <c r="B329" s="7">
        <v>28</v>
      </c>
      <c r="C329" s="7">
        <f t="shared" ref="C329:C392" si="19">(_xlfn.GAMMA($B$1+B329)/(_xlfn.GAMMA($B$1)*FACT(B329))) * ($B$2/($B$2+$B$5))^$B$1 * (1/($B$2 +$B$5))^B329</f>
        <v>1.4940972550471618E-4</v>
      </c>
      <c r="D329" s="7">
        <f t="shared" ref="D329:D392" si="20" xml:space="preserve"> IF(B329 = 0, $B$3 + (1-$B$3) * C329, (1-$B$3) *C329)</f>
        <v>1.493947845321657E-4</v>
      </c>
      <c r="E329" s="7">
        <f t="shared" ref="E329:E392" si="21">LN(D329)</f>
        <v>-8.8089181952981601</v>
      </c>
    </row>
    <row r="330" spans="1:5" x14ac:dyDescent="0.15">
      <c r="A330" s="7">
        <v>323</v>
      </c>
      <c r="B330" s="7">
        <v>0</v>
      </c>
      <c r="C330" s="7">
        <f t="shared" si="19"/>
        <v>0.75583605794746755</v>
      </c>
      <c r="D330" s="7">
        <f t="shared" si="20"/>
        <v>0.75586047434167281</v>
      </c>
      <c r="E330" s="7">
        <f t="shared" si="21"/>
        <v>-0.27989847758459119</v>
      </c>
    </row>
    <row r="331" spans="1:5" x14ac:dyDescent="0.15">
      <c r="A331" s="7">
        <v>324</v>
      </c>
      <c r="B331" s="7">
        <v>0</v>
      </c>
      <c r="C331" s="7">
        <f t="shared" si="19"/>
        <v>0.75583605794746755</v>
      </c>
      <c r="D331" s="7">
        <f t="shared" si="20"/>
        <v>0.75586047434167281</v>
      </c>
      <c r="E331" s="7">
        <f t="shared" si="21"/>
        <v>-0.27989847758459119</v>
      </c>
    </row>
    <row r="332" spans="1:5" x14ac:dyDescent="0.15">
      <c r="A332" s="7">
        <v>325</v>
      </c>
      <c r="B332" s="7">
        <v>1</v>
      </c>
      <c r="C332" s="7">
        <f t="shared" si="19"/>
        <v>8.8686757970141181E-2</v>
      </c>
      <c r="D332" s="7">
        <f t="shared" si="20"/>
        <v>8.867788929434417E-2</v>
      </c>
      <c r="E332" s="7">
        <f t="shared" si="21"/>
        <v>-2.4227446958891354</v>
      </c>
    </row>
    <row r="333" spans="1:5" x14ac:dyDescent="0.15">
      <c r="A333" s="7">
        <v>326</v>
      </c>
      <c r="B333" s="7">
        <v>0</v>
      </c>
      <c r="C333" s="7">
        <f t="shared" si="19"/>
        <v>0.75583605794746755</v>
      </c>
      <c r="D333" s="7">
        <f t="shared" si="20"/>
        <v>0.75586047434167281</v>
      </c>
      <c r="E333" s="7">
        <f t="shared" si="21"/>
        <v>-0.27989847758459119</v>
      </c>
    </row>
    <row r="334" spans="1:5" x14ac:dyDescent="0.15">
      <c r="A334" s="7">
        <v>327</v>
      </c>
      <c r="B334" s="7">
        <v>0</v>
      </c>
      <c r="C334" s="7">
        <f t="shared" si="19"/>
        <v>0.75583605794746755</v>
      </c>
      <c r="D334" s="7">
        <f t="shared" si="20"/>
        <v>0.75586047434167281</v>
      </c>
      <c r="E334" s="7">
        <f t="shared" si="21"/>
        <v>-0.27989847758459119</v>
      </c>
    </row>
    <row r="335" spans="1:5" x14ac:dyDescent="0.15">
      <c r="A335" s="7">
        <v>328</v>
      </c>
      <c r="B335" s="7">
        <v>1</v>
      </c>
      <c r="C335" s="7">
        <f t="shared" si="19"/>
        <v>8.8686757970141181E-2</v>
      </c>
      <c r="D335" s="7">
        <f t="shared" si="20"/>
        <v>8.867788929434417E-2</v>
      </c>
      <c r="E335" s="7">
        <f t="shared" si="21"/>
        <v>-2.4227446958891354</v>
      </c>
    </row>
    <row r="336" spans="1:5" x14ac:dyDescent="0.15">
      <c r="A336" s="7">
        <v>329</v>
      </c>
      <c r="B336" s="7">
        <v>1</v>
      </c>
      <c r="C336" s="7">
        <f t="shared" si="19"/>
        <v>8.8686757970141181E-2</v>
      </c>
      <c r="D336" s="7">
        <f t="shared" si="20"/>
        <v>8.867788929434417E-2</v>
      </c>
      <c r="E336" s="7">
        <f t="shared" si="21"/>
        <v>-2.4227446958891354</v>
      </c>
    </row>
    <row r="337" spans="1:5" x14ac:dyDescent="0.15">
      <c r="A337" s="7">
        <v>330</v>
      </c>
      <c r="B337" s="7">
        <v>0</v>
      </c>
      <c r="C337" s="7">
        <f t="shared" si="19"/>
        <v>0.75583605794746755</v>
      </c>
      <c r="D337" s="7">
        <f t="shared" si="20"/>
        <v>0.75586047434167281</v>
      </c>
      <c r="E337" s="7">
        <f t="shared" si="21"/>
        <v>-0.27989847758459119</v>
      </c>
    </row>
    <row r="338" spans="1:5" x14ac:dyDescent="0.15">
      <c r="A338" s="7">
        <v>331</v>
      </c>
      <c r="B338" s="7">
        <v>1</v>
      </c>
      <c r="C338" s="7">
        <f t="shared" si="19"/>
        <v>8.8686757970141181E-2</v>
      </c>
      <c r="D338" s="7">
        <f t="shared" si="20"/>
        <v>8.867788929434417E-2</v>
      </c>
      <c r="E338" s="7">
        <f t="shared" si="21"/>
        <v>-2.4227446958891354</v>
      </c>
    </row>
    <row r="339" spans="1:5" x14ac:dyDescent="0.15">
      <c r="A339" s="7">
        <v>332</v>
      </c>
      <c r="B339" s="7">
        <v>0</v>
      </c>
      <c r="C339" s="7">
        <f t="shared" si="19"/>
        <v>0.75583605794746755</v>
      </c>
      <c r="D339" s="7">
        <f t="shared" si="20"/>
        <v>0.75586047434167281</v>
      </c>
      <c r="E339" s="7">
        <f t="shared" si="21"/>
        <v>-0.27989847758459119</v>
      </c>
    </row>
    <row r="340" spans="1:5" x14ac:dyDescent="0.15">
      <c r="A340" s="7">
        <v>333</v>
      </c>
      <c r="B340" s="7">
        <v>0</v>
      </c>
      <c r="C340" s="7">
        <f t="shared" si="19"/>
        <v>0.75583605794746755</v>
      </c>
      <c r="D340" s="7">
        <f t="shared" si="20"/>
        <v>0.75586047434167281</v>
      </c>
      <c r="E340" s="7">
        <f t="shared" si="21"/>
        <v>-0.27989847758459119</v>
      </c>
    </row>
    <row r="341" spans="1:5" x14ac:dyDescent="0.15">
      <c r="A341" s="7">
        <v>334</v>
      </c>
      <c r="B341" s="7">
        <v>2</v>
      </c>
      <c r="C341" s="7">
        <f t="shared" si="19"/>
        <v>4.4066701399555049E-2</v>
      </c>
      <c r="D341" s="7">
        <f t="shared" si="20"/>
        <v>4.4062294729415093E-2</v>
      </c>
      <c r="E341" s="7">
        <f t="shared" si="21"/>
        <v>-3.1221508570437044</v>
      </c>
    </row>
    <row r="342" spans="1:5" x14ac:dyDescent="0.15">
      <c r="A342" s="7">
        <v>335</v>
      </c>
      <c r="B342" s="7">
        <v>1</v>
      </c>
      <c r="C342" s="7">
        <f t="shared" si="19"/>
        <v>8.8686757970141181E-2</v>
      </c>
      <c r="D342" s="7">
        <f t="shared" si="20"/>
        <v>8.867788929434417E-2</v>
      </c>
      <c r="E342" s="7">
        <f t="shared" si="21"/>
        <v>-2.4227446958891354</v>
      </c>
    </row>
    <row r="343" spans="1:5" x14ac:dyDescent="0.15">
      <c r="A343" s="7">
        <v>336</v>
      </c>
      <c r="B343" s="7">
        <v>0</v>
      </c>
      <c r="C343" s="7">
        <f t="shared" si="19"/>
        <v>0.75583605794746755</v>
      </c>
      <c r="D343" s="7">
        <f t="shared" si="20"/>
        <v>0.75586047434167281</v>
      </c>
      <c r="E343" s="7">
        <f t="shared" si="21"/>
        <v>-0.27989847758459119</v>
      </c>
    </row>
    <row r="344" spans="1:5" x14ac:dyDescent="0.15">
      <c r="A344" s="7">
        <v>337</v>
      </c>
      <c r="B344" s="7">
        <v>0</v>
      </c>
      <c r="C344" s="7">
        <f t="shared" si="19"/>
        <v>0.75583605794746755</v>
      </c>
      <c r="D344" s="7">
        <f t="shared" si="20"/>
        <v>0.75586047434167281</v>
      </c>
      <c r="E344" s="7">
        <f t="shared" si="21"/>
        <v>-0.27989847758459119</v>
      </c>
    </row>
    <row r="345" spans="1:5" x14ac:dyDescent="0.15">
      <c r="A345" s="7">
        <v>338</v>
      </c>
      <c r="B345" s="7">
        <v>0</v>
      </c>
      <c r="C345" s="7">
        <f t="shared" si="19"/>
        <v>0.75583605794746755</v>
      </c>
      <c r="D345" s="7">
        <f t="shared" si="20"/>
        <v>0.75586047434167281</v>
      </c>
      <c r="E345" s="7">
        <f t="shared" si="21"/>
        <v>-0.27989847758459119</v>
      </c>
    </row>
    <row r="346" spans="1:5" x14ac:dyDescent="0.15">
      <c r="A346" s="7">
        <v>339</v>
      </c>
      <c r="B346" s="7">
        <v>0</v>
      </c>
      <c r="C346" s="7">
        <f t="shared" si="19"/>
        <v>0.75583605794746755</v>
      </c>
      <c r="D346" s="7">
        <f t="shared" si="20"/>
        <v>0.75586047434167281</v>
      </c>
      <c r="E346" s="7">
        <f t="shared" si="21"/>
        <v>-0.27989847758459119</v>
      </c>
    </row>
    <row r="347" spans="1:5" x14ac:dyDescent="0.15">
      <c r="A347" s="7">
        <v>340</v>
      </c>
      <c r="B347" s="7">
        <v>0</v>
      </c>
      <c r="C347" s="7">
        <f t="shared" si="19"/>
        <v>0.75583605794746755</v>
      </c>
      <c r="D347" s="7">
        <f t="shared" si="20"/>
        <v>0.75586047434167281</v>
      </c>
      <c r="E347" s="7">
        <f t="shared" si="21"/>
        <v>-0.27989847758459119</v>
      </c>
    </row>
    <row r="348" spans="1:5" x14ac:dyDescent="0.15">
      <c r="A348" s="7">
        <v>341</v>
      </c>
      <c r="B348" s="7">
        <v>0</v>
      </c>
      <c r="C348" s="7">
        <f t="shared" si="19"/>
        <v>0.75583605794746755</v>
      </c>
      <c r="D348" s="7">
        <f t="shared" si="20"/>
        <v>0.75586047434167281</v>
      </c>
      <c r="E348" s="7">
        <f t="shared" si="21"/>
        <v>-0.27989847758459119</v>
      </c>
    </row>
    <row r="349" spans="1:5" x14ac:dyDescent="0.15">
      <c r="A349" s="7">
        <v>342</v>
      </c>
      <c r="B349" s="7">
        <v>1</v>
      </c>
      <c r="C349" s="7">
        <f t="shared" si="19"/>
        <v>8.8686757970141181E-2</v>
      </c>
      <c r="D349" s="7">
        <f t="shared" si="20"/>
        <v>8.867788929434417E-2</v>
      </c>
      <c r="E349" s="7">
        <f t="shared" si="21"/>
        <v>-2.4227446958891354</v>
      </c>
    </row>
    <row r="350" spans="1:5" x14ac:dyDescent="0.15">
      <c r="A350" s="7">
        <v>343</v>
      </c>
      <c r="B350" s="7">
        <v>0</v>
      </c>
      <c r="C350" s="7">
        <f t="shared" si="19"/>
        <v>0.75583605794746755</v>
      </c>
      <c r="D350" s="7">
        <f t="shared" si="20"/>
        <v>0.75586047434167281</v>
      </c>
      <c r="E350" s="7">
        <f t="shared" si="21"/>
        <v>-0.27989847758459119</v>
      </c>
    </row>
    <row r="351" spans="1:5" x14ac:dyDescent="0.15">
      <c r="A351" s="7">
        <v>344</v>
      </c>
      <c r="B351" s="7">
        <v>0</v>
      </c>
      <c r="C351" s="7">
        <f t="shared" si="19"/>
        <v>0.75583605794746755</v>
      </c>
      <c r="D351" s="7">
        <f t="shared" si="20"/>
        <v>0.75586047434167281</v>
      </c>
      <c r="E351" s="7">
        <f t="shared" si="21"/>
        <v>-0.27989847758459119</v>
      </c>
    </row>
    <row r="352" spans="1:5" x14ac:dyDescent="0.15">
      <c r="A352" s="7">
        <v>345</v>
      </c>
      <c r="B352" s="7">
        <v>0</v>
      </c>
      <c r="C352" s="7">
        <f t="shared" si="19"/>
        <v>0.75583605794746755</v>
      </c>
      <c r="D352" s="7">
        <f t="shared" si="20"/>
        <v>0.75586047434167281</v>
      </c>
      <c r="E352" s="7">
        <f t="shared" si="21"/>
        <v>-0.27989847758459119</v>
      </c>
    </row>
    <row r="353" spans="1:5" x14ac:dyDescent="0.15">
      <c r="A353" s="7">
        <v>346</v>
      </c>
      <c r="B353" s="7">
        <v>1</v>
      </c>
      <c r="C353" s="7">
        <f t="shared" si="19"/>
        <v>8.8686757970141181E-2</v>
      </c>
      <c r="D353" s="7">
        <f t="shared" si="20"/>
        <v>8.867788929434417E-2</v>
      </c>
      <c r="E353" s="7">
        <f t="shared" si="21"/>
        <v>-2.4227446958891354</v>
      </c>
    </row>
    <row r="354" spans="1:5" x14ac:dyDescent="0.15">
      <c r="A354" s="7">
        <v>347</v>
      </c>
      <c r="B354" s="7">
        <v>0</v>
      </c>
      <c r="C354" s="7">
        <f t="shared" si="19"/>
        <v>0.75583605794746755</v>
      </c>
      <c r="D354" s="7">
        <f t="shared" si="20"/>
        <v>0.75586047434167281</v>
      </c>
      <c r="E354" s="7">
        <f t="shared" si="21"/>
        <v>-0.27989847758459119</v>
      </c>
    </row>
    <row r="355" spans="1:5" x14ac:dyDescent="0.15">
      <c r="A355" s="7">
        <v>348</v>
      </c>
      <c r="B355" s="7">
        <v>0</v>
      </c>
      <c r="C355" s="7">
        <f t="shared" si="19"/>
        <v>0.75583605794746755</v>
      </c>
      <c r="D355" s="7">
        <f t="shared" si="20"/>
        <v>0.75586047434167281</v>
      </c>
      <c r="E355" s="7">
        <f t="shared" si="21"/>
        <v>-0.27989847758459119</v>
      </c>
    </row>
    <row r="356" spans="1:5" x14ac:dyDescent="0.15">
      <c r="A356" s="7">
        <v>349</v>
      </c>
      <c r="B356" s="7">
        <v>0</v>
      </c>
      <c r="C356" s="7">
        <f t="shared" si="19"/>
        <v>0.75583605794746755</v>
      </c>
      <c r="D356" s="7">
        <f t="shared" si="20"/>
        <v>0.75586047434167281</v>
      </c>
      <c r="E356" s="7">
        <f t="shared" si="21"/>
        <v>-0.27989847758459119</v>
      </c>
    </row>
    <row r="357" spans="1:5" x14ac:dyDescent="0.15">
      <c r="A357" s="7">
        <v>350</v>
      </c>
      <c r="B357" s="7">
        <v>0</v>
      </c>
      <c r="C357" s="7">
        <f t="shared" si="19"/>
        <v>0.75583605794746755</v>
      </c>
      <c r="D357" s="7">
        <f t="shared" si="20"/>
        <v>0.75586047434167281</v>
      </c>
      <c r="E357" s="7">
        <f t="shared" si="21"/>
        <v>-0.27989847758459119</v>
      </c>
    </row>
    <row r="358" spans="1:5" x14ac:dyDescent="0.15">
      <c r="A358" s="7">
        <v>351</v>
      </c>
      <c r="B358" s="7">
        <v>0</v>
      </c>
      <c r="C358" s="7">
        <f t="shared" si="19"/>
        <v>0.75583605794746755</v>
      </c>
      <c r="D358" s="7">
        <f t="shared" si="20"/>
        <v>0.75586047434167281</v>
      </c>
      <c r="E358" s="7">
        <f t="shared" si="21"/>
        <v>-0.27989847758459119</v>
      </c>
    </row>
    <row r="359" spans="1:5" x14ac:dyDescent="0.15">
      <c r="A359" s="7">
        <v>352</v>
      </c>
      <c r="B359" s="7">
        <v>0</v>
      </c>
      <c r="C359" s="7">
        <f t="shared" si="19"/>
        <v>0.75583605794746755</v>
      </c>
      <c r="D359" s="7">
        <f t="shared" si="20"/>
        <v>0.75586047434167281</v>
      </c>
      <c r="E359" s="7">
        <f t="shared" si="21"/>
        <v>-0.27989847758459119</v>
      </c>
    </row>
    <row r="360" spans="1:5" x14ac:dyDescent="0.15">
      <c r="A360" s="7">
        <v>353</v>
      </c>
      <c r="B360" s="7">
        <v>4</v>
      </c>
      <c r="C360" s="7">
        <f t="shared" si="19"/>
        <v>1.8863004210024691E-2</v>
      </c>
      <c r="D360" s="7">
        <f t="shared" si="20"/>
        <v>1.8861117909603688E-2</v>
      </c>
      <c r="E360" s="7">
        <f t="shared" si="21"/>
        <v>-3.9706527294293466</v>
      </c>
    </row>
    <row r="361" spans="1:5" x14ac:dyDescent="0.15">
      <c r="A361" s="7">
        <v>354</v>
      </c>
      <c r="B361" s="7">
        <v>0</v>
      </c>
      <c r="C361" s="7">
        <f t="shared" si="19"/>
        <v>0.75583605794746755</v>
      </c>
      <c r="D361" s="7">
        <f t="shared" si="20"/>
        <v>0.75586047434167281</v>
      </c>
      <c r="E361" s="7">
        <f t="shared" si="21"/>
        <v>-0.27989847758459119</v>
      </c>
    </row>
    <row r="362" spans="1:5" x14ac:dyDescent="0.15">
      <c r="A362" s="7">
        <v>355</v>
      </c>
      <c r="B362" s="7">
        <v>15</v>
      </c>
      <c r="C362" s="7">
        <f t="shared" si="19"/>
        <v>1.4225807669554509E-3</v>
      </c>
      <c r="D362" s="7">
        <f t="shared" si="20"/>
        <v>1.4224385088787554E-3</v>
      </c>
      <c r="E362" s="7">
        <f t="shared" si="21"/>
        <v>-6.5553826203998771</v>
      </c>
    </row>
    <row r="363" spans="1:5" x14ac:dyDescent="0.15">
      <c r="A363" s="7">
        <v>356</v>
      </c>
      <c r="B363" s="7">
        <v>12</v>
      </c>
      <c r="C363" s="7">
        <f t="shared" si="19"/>
        <v>2.5611896790335791E-3</v>
      </c>
      <c r="D363" s="7">
        <f t="shared" si="20"/>
        <v>2.5609335600656757E-3</v>
      </c>
      <c r="E363" s="7">
        <f t="shared" si="21"/>
        <v>-5.9673834150666476</v>
      </c>
    </row>
    <row r="364" spans="1:5" x14ac:dyDescent="0.15">
      <c r="A364" s="7">
        <v>357</v>
      </c>
      <c r="B364" s="7">
        <v>0</v>
      </c>
      <c r="C364" s="7">
        <f t="shared" si="19"/>
        <v>0.75583605794746755</v>
      </c>
      <c r="D364" s="7">
        <f t="shared" si="20"/>
        <v>0.75586047434167281</v>
      </c>
      <c r="E364" s="7">
        <f t="shared" si="21"/>
        <v>-0.27989847758459119</v>
      </c>
    </row>
    <row r="365" spans="1:5" x14ac:dyDescent="0.15">
      <c r="A365" s="7">
        <v>358</v>
      </c>
      <c r="B365" s="7">
        <v>4</v>
      </c>
      <c r="C365" s="7">
        <f t="shared" si="19"/>
        <v>1.8863004210024691E-2</v>
      </c>
      <c r="D365" s="7">
        <f t="shared" si="20"/>
        <v>1.8861117909603688E-2</v>
      </c>
      <c r="E365" s="7">
        <f t="shared" si="21"/>
        <v>-3.9706527294293466</v>
      </c>
    </row>
    <row r="366" spans="1:5" x14ac:dyDescent="0.15">
      <c r="A366" s="7">
        <v>359</v>
      </c>
      <c r="B366" s="7">
        <v>0</v>
      </c>
      <c r="C366" s="7">
        <f t="shared" si="19"/>
        <v>0.75583605794746755</v>
      </c>
      <c r="D366" s="7">
        <f t="shared" si="20"/>
        <v>0.75586047434167281</v>
      </c>
      <c r="E366" s="7">
        <f t="shared" si="21"/>
        <v>-0.27989847758459119</v>
      </c>
    </row>
    <row r="367" spans="1:5" x14ac:dyDescent="0.15">
      <c r="A367" s="7">
        <v>360</v>
      </c>
      <c r="B367" s="7">
        <v>1</v>
      </c>
      <c r="C367" s="7">
        <f t="shared" si="19"/>
        <v>8.8686757970141181E-2</v>
      </c>
      <c r="D367" s="7">
        <f t="shared" si="20"/>
        <v>8.867788929434417E-2</v>
      </c>
      <c r="E367" s="7">
        <f t="shared" si="21"/>
        <v>-2.4227446958891354</v>
      </c>
    </row>
    <row r="368" spans="1:5" x14ac:dyDescent="0.15">
      <c r="A368" s="7">
        <v>361</v>
      </c>
      <c r="B368" s="7">
        <v>0</v>
      </c>
      <c r="C368" s="7">
        <f t="shared" si="19"/>
        <v>0.75583605794746755</v>
      </c>
      <c r="D368" s="7">
        <f t="shared" si="20"/>
        <v>0.75586047434167281</v>
      </c>
      <c r="E368" s="7">
        <f t="shared" si="21"/>
        <v>-0.27989847758459119</v>
      </c>
    </row>
    <row r="369" spans="1:5" x14ac:dyDescent="0.15">
      <c r="A369" s="7">
        <v>362</v>
      </c>
      <c r="B369" s="7">
        <v>0</v>
      </c>
      <c r="C369" s="7">
        <f t="shared" si="19"/>
        <v>0.75583605794746755</v>
      </c>
      <c r="D369" s="7">
        <f t="shared" si="20"/>
        <v>0.75586047434167281</v>
      </c>
      <c r="E369" s="7">
        <f t="shared" si="21"/>
        <v>-0.27989847758459119</v>
      </c>
    </row>
    <row r="370" spans="1:5" x14ac:dyDescent="0.15">
      <c r="A370" s="7">
        <v>363</v>
      </c>
      <c r="B370" s="7">
        <v>0</v>
      </c>
      <c r="C370" s="7">
        <f t="shared" si="19"/>
        <v>0.75583605794746755</v>
      </c>
      <c r="D370" s="7">
        <f t="shared" si="20"/>
        <v>0.75586047434167281</v>
      </c>
      <c r="E370" s="7">
        <f t="shared" si="21"/>
        <v>-0.27989847758459119</v>
      </c>
    </row>
    <row r="371" spans="1:5" x14ac:dyDescent="0.15">
      <c r="A371" s="7">
        <v>364</v>
      </c>
      <c r="B371" s="7">
        <v>0</v>
      </c>
      <c r="C371" s="7">
        <f t="shared" si="19"/>
        <v>0.75583605794746755</v>
      </c>
      <c r="D371" s="7">
        <f t="shared" si="20"/>
        <v>0.75586047434167281</v>
      </c>
      <c r="E371" s="7">
        <f t="shared" si="21"/>
        <v>-0.27989847758459119</v>
      </c>
    </row>
    <row r="372" spans="1:5" x14ac:dyDescent="0.15">
      <c r="A372" s="7">
        <v>365</v>
      </c>
      <c r="B372" s="7">
        <v>0</v>
      </c>
      <c r="C372" s="7">
        <f t="shared" si="19"/>
        <v>0.75583605794746755</v>
      </c>
      <c r="D372" s="7">
        <f t="shared" si="20"/>
        <v>0.75586047434167281</v>
      </c>
      <c r="E372" s="7">
        <f t="shared" si="21"/>
        <v>-0.27989847758459119</v>
      </c>
    </row>
    <row r="373" spans="1:5" x14ac:dyDescent="0.15">
      <c r="A373" s="7">
        <v>366</v>
      </c>
      <c r="B373" s="7">
        <v>0</v>
      </c>
      <c r="C373" s="7">
        <f t="shared" si="19"/>
        <v>0.75583605794746755</v>
      </c>
      <c r="D373" s="7">
        <f t="shared" si="20"/>
        <v>0.75586047434167281</v>
      </c>
      <c r="E373" s="7">
        <f t="shared" si="21"/>
        <v>-0.27989847758459119</v>
      </c>
    </row>
    <row r="374" spans="1:5" x14ac:dyDescent="0.15">
      <c r="A374" s="7">
        <v>367</v>
      </c>
      <c r="B374" s="7">
        <v>1</v>
      </c>
      <c r="C374" s="7">
        <f t="shared" si="19"/>
        <v>8.8686757970141181E-2</v>
      </c>
      <c r="D374" s="7">
        <f t="shared" si="20"/>
        <v>8.867788929434417E-2</v>
      </c>
      <c r="E374" s="7">
        <f t="shared" si="21"/>
        <v>-2.4227446958891354</v>
      </c>
    </row>
    <row r="375" spans="1:5" x14ac:dyDescent="0.15">
      <c r="A375" s="7">
        <v>368</v>
      </c>
      <c r="B375" s="7">
        <v>2</v>
      </c>
      <c r="C375" s="7">
        <f t="shared" si="19"/>
        <v>4.4066701399555049E-2</v>
      </c>
      <c r="D375" s="7">
        <f t="shared" si="20"/>
        <v>4.4062294729415093E-2</v>
      </c>
      <c r="E375" s="7">
        <f t="shared" si="21"/>
        <v>-3.1221508570437044</v>
      </c>
    </row>
    <row r="376" spans="1:5" x14ac:dyDescent="0.15">
      <c r="A376" s="7">
        <v>369</v>
      </c>
      <c r="B376" s="7">
        <v>2</v>
      </c>
      <c r="C376" s="7">
        <f t="shared" si="19"/>
        <v>4.4066701399555049E-2</v>
      </c>
      <c r="D376" s="7">
        <f t="shared" si="20"/>
        <v>4.4062294729415093E-2</v>
      </c>
      <c r="E376" s="7">
        <f t="shared" si="21"/>
        <v>-3.1221508570437044</v>
      </c>
    </row>
    <row r="377" spans="1:5" x14ac:dyDescent="0.15">
      <c r="A377" s="7">
        <v>370</v>
      </c>
      <c r="B377" s="7">
        <v>0</v>
      </c>
      <c r="C377" s="7">
        <f t="shared" si="19"/>
        <v>0.75583605794746755</v>
      </c>
      <c r="D377" s="7">
        <f t="shared" si="20"/>
        <v>0.75586047434167281</v>
      </c>
      <c r="E377" s="7">
        <f t="shared" si="21"/>
        <v>-0.27989847758459119</v>
      </c>
    </row>
    <row r="378" spans="1:5" x14ac:dyDescent="0.15">
      <c r="A378" s="7">
        <v>371</v>
      </c>
      <c r="B378" s="7">
        <v>0</v>
      </c>
      <c r="C378" s="7">
        <f t="shared" si="19"/>
        <v>0.75583605794746755</v>
      </c>
      <c r="D378" s="7">
        <f t="shared" si="20"/>
        <v>0.75586047434167281</v>
      </c>
      <c r="E378" s="7">
        <f t="shared" si="21"/>
        <v>-0.27989847758459119</v>
      </c>
    </row>
    <row r="379" spans="1:5" x14ac:dyDescent="0.15">
      <c r="A379" s="7">
        <v>372</v>
      </c>
      <c r="B379" s="7">
        <v>0</v>
      </c>
      <c r="C379" s="7">
        <f t="shared" si="19"/>
        <v>0.75583605794746755</v>
      </c>
      <c r="D379" s="7">
        <f t="shared" si="20"/>
        <v>0.75586047434167281</v>
      </c>
      <c r="E379" s="7">
        <f t="shared" si="21"/>
        <v>-0.27989847758459119</v>
      </c>
    </row>
    <row r="380" spans="1:5" x14ac:dyDescent="0.15">
      <c r="A380" s="7">
        <v>373</v>
      </c>
      <c r="B380" s="7">
        <v>0</v>
      </c>
      <c r="C380" s="7">
        <f t="shared" si="19"/>
        <v>0.75583605794746755</v>
      </c>
      <c r="D380" s="7">
        <f t="shared" si="20"/>
        <v>0.75586047434167281</v>
      </c>
      <c r="E380" s="7">
        <f t="shared" si="21"/>
        <v>-0.27989847758459119</v>
      </c>
    </row>
    <row r="381" spans="1:5" x14ac:dyDescent="0.15">
      <c r="A381" s="7">
        <v>374</v>
      </c>
      <c r="B381" s="7">
        <v>25</v>
      </c>
      <c r="C381" s="7">
        <f t="shared" si="19"/>
        <v>2.4476820217818611E-4</v>
      </c>
      <c r="D381" s="7">
        <f t="shared" si="20"/>
        <v>2.4474372535796831E-4</v>
      </c>
      <c r="E381" s="7">
        <f t="shared" si="21"/>
        <v>-8.3152989138262363</v>
      </c>
    </row>
    <row r="382" spans="1:5" x14ac:dyDescent="0.15">
      <c r="A382" s="7">
        <v>375</v>
      </c>
      <c r="B382" s="7">
        <v>0</v>
      </c>
      <c r="C382" s="7">
        <f t="shared" si="19"/>
        <v>0.75583605794746755</v>
      </c>
      <c r="D382" s="7">
        <f t="shared" si="20"/>
        <v>0.75586047434167281</v>
      </c>
      <c r="E382" s="7">
        <f t="shared" si="21"/>
        <v>-0.27989847758459119</v>
      </c>
    </row>
    <row r="383" spans="1:5" x14ac:dyDescent="0.15">
      <c r="A383" s="7">
        <v>376</v>
      </c>
      <c r="B383" s="7">
        <v>0</v>
      </c>
      <c r="C383" s="7">
        <f t="shared" si="19"/>
        <v>0.75583605794746755</v>
      </c>
      <c r="D383" s="7">
        <f t="shared" si="20"/>
        <v>0.75586047434167281</v>
      </c>
      <c r="E383" s="7">
        <f t="shared" si="21"/>
        <v>-0.27989847758459119</v>
      </c>
    </row>
    <row r="384" spans="1:5" x14ac:dyDescent="0.15">
      <c r="A384" s="7">
        <v>377</v>
      </c>
      <c r="B384" s="7">
        <v>0</v>
      </c>
      <c r="C384" s="7">
        <f t="shared" si="19"/>
        <v>0.75583605794746755</v>
      </c>
      <c r="D384" s="7">
        <f t="shared" si="20"/>
        <v>0.75586047434167281</v>
      </c>
      <c r="E384" s="7">
        <f t="shared" si="21"/>
        <v>-0.27989847758459119</v>
      </c>
    </row>
    <row r="385" spans="1:5" x14ac:dyDescent="0.15">
      <c r="A385" s="7">
        <v>378</v>
      </c>
      <c r="B385" s="7">
        <v>1</v>
      </c>
      <c r="C385" s="7">
        <f t="shared" si="19"/>
        <v>8.8686757970141181E-2</v>
      </c>
      <c r="D385" s="7">
        <f t="shared" si="20"/>
        <v>8.867788929434417E-2</v>
      </c>
      <c r="E385" s="7">
        <f t="shared" si="21"/>
        <v>-2.4227446958891354</v>
      </c>
    </row>
    <row r="386" spans="1:5" x14ac:dyDescent="0.15">
      <c r="A386" s="7">
        <v>379</v>
      </c>
      <c r="B386" s="7">
        <v>0</v>
      </c>
      <c r="C386" s="7">
        <f t="shared" si="19"/>
        <v>0.75583605794746755</v>
      </c>
      <c r="D386" s="7">
        <f t="shared" si="20"/>
        <v>0.75586047434167281</v>
      </c>
      <c r="E386" s="7">
        <f t="shared" si="21"/>
        <v>-0.27989847758459119</v>
      </c>
    </row>
    <row r="387" spans="1:5" x14ac:dyDescent="0.15">
      <c r="A387" s="7">
        <v>380</v>
      </c>
      <c r="B387" s="7">
        <v>0</v>
      </c>
      <c r="C387" s="7">
        <f t="shared" si="19"/>
        <v>0.75583605794746755</v>
      </c>
      <c r="D387" s="7">
        <f t="shared" si="20"/>
        <v>0.75586047434167281</v>
      </c>
      <c r="E387" s="7">
        <f t="shared" si="21"/>
        <v>-0.27989847758459119</v>
      </c>
    </row>
    <row r="388" spans="1:5" x14ac:dyDescent="0.15">
      <c r="A388" s="7">
        <v>381</v>
      </c>
      <c r="B388" s="7">
        <v>0</v>
      </c>
      <c r="C388" s="7">
        <f t="shared" si="19"/>
        <v>0.75583605794746755</v>
      </c>
      <c r="D388" s="7">
        <f t="shared" si="20"/>
        <v>0.75586047434167281</v>
      </c>
      <c r="E388" s="7">
        <f t="shared" si="21"/>
        <v>-0.27989847758459119</v>
      </c>
    </row>
    <row r="389" spans="1:5" x14ac:dyDescent="0.15">
      <c r="A389" s="7">
        <v>382</v>
      </c>
      <c r="B389" s="7">
        <v>0</v>
      </c>
      <c r="C389" s="7">
        <f t="shared" si="19"/>
        <v>0.75583605794746755</v>
      </c>
      <c r="D389" s="7">
        <f t="shared" si="20"/>
        <v>0.75586047434167281</v>
      </c>
      <c r="E389" s="7">
        <f t="shared" si="21"/>
        <v>-0.27989847758459119</v>
      </c>
    </row>
    <row r="390" spans="1:5" x14ac:dyDescent="0.15">
      <c r="A390" s="7">
        <v>383</v>
      </c>
      <c r="B390" s="7">
        <v>3</v>
      </c>
      <c r="C390" s="7">
        <f t="shared" si="19"/>
        <v>2.7470963680778882E-2</v>
      </c>
      <c r="D390" s="7">
        <f t="shared" si="20"/>
        <v>2.7468216584410805E-2</v>
      </c>
      <c r="E390" s="7">
        <f t="shared" si="21"/>
        <v>-3.5947257032827968</v>
      </c>
    </row>
    <row r="391" spans="1:5" x14ac:dyDescent="0.15">
      <c r="A391" s="7">
        <v>384</v>
      </c>
      <c r="B391" s="7">
        <v>0</v>
      </c>
      <c r="C391" s="7">
        <f t="shared" si="19"/>
        <v>0.75583605794746755</v>
      </c>
      <c r="D391" s="7">
        <f t="shared" si="20"/>
        <v>0.75586047434167281</v>
      </c>
      <c r="E391" s="7">
        <f t="shared" si="21"/>
        <v>-0.27989847758459119</v>
      </c>
    </row>
    <row r="392" spans="1:5" x14ac:dyDescent="0.15">
      <c r="A392" s="7">
        <v>385</v>
      </c>
      <c r="B392" s="7">
        <v>0</v>
      </c>
      <c r="C392" s="7">
        <f t="shared" si="19"/>
        <v>0.75583605794746755</v>
      </c>
      <c r="D392" s="7">
        <f t="shared" si="20"/>
        <v>0.75586047434167281</v>
      </c>
      <c r="E392" s="7">
        <f t="shared" si="21"/>
        <v>-0.27989847758459119</v>
      </c>
    </row>
    <row r="393" spans="1:5" x14ac:dyDescent="0.15">
      <c r="A393" s="7">
        <v>386</v>
      </c>
      <c r="B393" s="7">
        <v>1</v>
      </c>
      <c r="C393" s="7">
        <f t="shared" ref="C393:C456" si="22">(_xlfn.GAMMA($B$1+B393)/(_xlfn.GAMMA($B$1)*FACT(B393))) * ($B$2/($B$2+$B$5))^$B$1 * (1/($B$2 +$B$5))^B393</f>
        <v>8.8686757970141181E-2</v>
      </c>
      <c r="D393" s="7">
        <f t="shared" ref="D393:D456" si="23" xml:space="preserve"> IF(B393 = 0, $B$3 + (1-$B$3) * C393, (1-$B$3) *C393)</f>
        <v>8.867788929434417E-2</v>
      </c>
      <c r="E393" s="7">
        <f t="shared" ref="E393:E456" si="24">LN(D393)</f>
        <v>-2.4227446958891354</v>
      </c>
    </row>
    <row r="394" spans="1:5" x14ac:dyDescent="0.15">
      <c r="A394" s="7">
        <v>387</v>
      </c>
      <c r="B394" s="7">
        <v>1</v>
      </c>
      <c r="C394" s="7">
        <f t="shared" si="22"/>
        <v>8.8686757970141181E-2</v>
      </c>
      <c r="D394" s="7">
        <f t="shared" si="23"/>
        <v>8.867788929434417E-2</v>
      </c>
      <c r="E394" s="7">
        <f t="shared" si="24"/>
        <v>-2.4227446958891354</v>
      </c>
    </row>
    <row r="395" spans="1:5" x14ac:dyDescent="0.15">
      <c r="A395" s="7">
        <v>388</v>
      </c>
      <c r="B395" s="7">
        <v>0</v>
      </c>
      <c r="C395" s="7">
        <f t="shared" si="22"/>
        <v>0.75583605794746755</v>
      </c>
      <c r="D395" s="7">
        <f t="shared" si="23"/>
        <v>0.75586047434167281</v>
      </c>
      <c r="E395" s="7">
        <f t="shared" si="24"/>
        <v>-0.27989847758459119</v>
      </c>
    </row>
    <row r="396" spans="1:5" x14ac:dyDescent="0.15">
      <c r="A396" s="7">
        <v>389</v>
      </c>
      <c r="B396" s="7">
        <v>0</v>
      </c>
      <c r="C396" s="7">
        <f t="shared" si="22"/>
        <v>0.75583605794746755</v>
      </c>
      <c r="D396" s="7">
        <f t="shared" si="23"/>
        <v>0.75586047434167281</v>
      </c>
      <c r="E396" s="7">
        <f t="shared" si="24"/>
        <v>-0.27989847758459119</v>
      </c>
    </row>
    <row r="397" spans="1:5" x14ac:dyDescent="0.15">
      <c r="A397" s="7">
        <v>390</v>
      </c>
      <c r="B397" s="7">
        <v>0</v>
      </c>
      <c r="C397" s="7">
        <f t="shared" si="22"/>
        <v>0.75583605794746755</v>
      </c>
      <c r="D397" s="7">
        <f t="shared" si="23"/>
        <v>0.75586047434167281</v>
      </c>
      <c r="E397" s="7">
        <f t="shared" si="24"/>
        <v>-0.27989847758459119</v>
      </c>
    </row>
    <row r="398" spans="1:5" x14ac:dyDescent="0.15">
      <c r="A398" s="7">
        <v>391</v>
      </c>
      <c r="B398" s="7">
        <v>0</v>
      </c>
      <c r="C398" s="7">
        <f t="shared" si="22"/>
        <v>0.75583605794746755</v>
      </c>
      <c r="D398" s="7">
        <f t="shared" si="23"/>
        <v>0.75586047434167281</v>
      </c>
      <c r="E398" s="7">
        <f t="shared" si="24"/>
        <v>-0.27989847758459119</v>
      </c>
    </row>
    <row r="399" spans="1:5" x14ac:dyDescent="0.15">
      <c r="A399" s="7">
        <v>392</v>
      </c>
      <c r="B399" s="7">
        <v>0</v>
      </c>
      <c r="C399" s="7">
        <f t="shared" si="22"/>
        <v>0.75583605794746755</v>
      </c>
      <c r="D399" s="7">
        <f t="shared" si="23"/>
        <v>0.75586047434167281</v>
      </c>
      <c r="E399" s="7">
        <f t="shared" si="24"/>
        <v>-0.27989847758459119</v>
      </c>
    </row>
    <row r="400" spans="1:5" x14ac:dyDescent="0.15">
      <c r="A400" s="7">
        <v>393</v>
      </c>
      <c r="B400" s="7">
        <v>0</v>
      </c>
      <c r="C400" s="7">
        <f t="shared" si="22"/>
        <v>0.75583605794746755</v>
      </c>
      <c r="D400" s="7">
        <f t="shared" si="23"/>
        <v>0.75586047434167281</v>
      </c>
      <c r="E400" s="7">
        <f t="shared" si="24"/>
        <v>-0.27989847758459119</v>
      </c>
    </row>
    <row r="401" spans="1:5" x14ac:dyDescent="0.15">
      <c r="A401" s="7">
        <v>394</v>
      </c>
      <c r="B401" s="7">
        <v>0</v>
      </c>
      <c r="C401" s="7">
        <f t="shared" si="22"/>
        <v>0.75583605794746755</v>
      </c>
      <c r="D401" s="7">
        <f t="shared" si="23"/>
        <v>0.75586047434167281</v>
      </c>
      <c r="E401" s="7">
        <f t="shared" si="24"/>
        <v>-0.27989847758459119</v>
      </c>
    </row>
    <row r="402" spans="1:5" x14ac:dyDescent="0.15">
      <c r="A402" s="7">
        <v>395</v>
      </c>
      <c r="B402" s="7">
        <v>0</v>
      </c>
      <c r="C402" s="7">
        <f t="shared" si="22"/>
        <v>0.75583605794746755</v>
      </c>
      <c r="D402" s="7">
        <f t="shared" si="23"/>
        <v>0.75586047434167281</v>
      </c>
      <c r="E402" s="7">
        <f t="shared" si="24"/>
        <v>-0.27989847758459119</v>
      </c>
    </row>
    <row r="403" spans="1:5" x14ac:dyDescent="0.15">
      <c r="A403" s="7">
        <v>396</v>
      </c>
      <c r="B403" s="7">
        <v>1</v>
      </c>
      <c r="C403" s="7">
        <f t="shared" si="22"/>
        <v>8.8686757970141181E-2</v>
      </c>
      <c r="D403" s="7">
        <f t="shared" si="23"/>
        <v>8.867788929434417E-2</v>
      </c>
      <c r="E403" s="7">
        <f t="shared" si="24"/>
        <v>-2.4227446958891354</v>
      </c>
    </row>
    <row r="404" spans="1:5" x14ac:dyDescent="0.15">
      <c r="A404" s="7">
        <v>397</v>
      </c>
      <c r="B404" s="7">
        <v>0</v>
      </c>
      <c r="C404" s="7">
        <f t="shared" si="22"/>
        <v>0.75583605794746755</v>
      </c>
      <c r="D404" s="7">
        <f t="shared" si="23"/>
        <v>0.75586047434167281</v>
      </c>
      <c r="E404" s="7">
        <f t="shared" si="24"/>
        <v>-0.27989847758459119</v>
      </c>
    </row>
    <row r="405" spans="1:5" x14ac:dyDescent="0.15">
      <c r="A405" s="7">
        <v>398</v>
      </c>
      <c r="B405" s="7">
        <v>0</v>
      </c>
      <c r="C405" s="7">
        <f t="shared" si="22"/>
        <v>0.75583605794746755</v>
      </c>
      <c r="D405" s="7">
        <f t="shared" si="23"/>
        <v>0.75586047434167281</v>
      </c>
      <c r="E405" s="7">
        <f t="shared" si="24"/>
        <v>-0.27989847758459119</v>
      </c>
    </row>
    <row r="406" spans="1:5" x14ac:dyDescent="0.15">
      <c r="A406" s="7">
        <v>399</v>
      </c>
      <c r="B406" s="7">
        <v>2</v>
      </c>
      <c r="C406" s="7">
        <f t="shared" si="22"/>
        <v>4.4066701399555049E-2</v>
      </c>
      <c r="D406" s="7">
        <f t="shared" si="23"/>
        <v>4.4062294729415093E-2</v>
      </c>
      <c r="E406" s="7">
        <f t="shared" si="24"/>
        <v>-3.1221508570437044</v>
      </c>
    </row>
    <row r="407" spans="1:5" x14ac:dyDescent="0.15">
      <c r="A407" s="7">
        <v>400</v>
      </c>
      <c r="B407" s="7">
        <v>0</v>
      </c>
      <c r="C407" s="7">
        <f t="shared" si="22"/>
        <v>0.75583605794746755</v>
      </c>
      <c r="D407" s="7">
        <f t="shared" si="23"/>
        <v>0.75586047434167281</v>
      </c>
      <c r="E407" s="7">
        <f t="shared" si="24"/>
        <v>-0.27989847758459119</v>
      </c>
    </row>
    <row r="408" spans="1:5" x14ac:dyDescent="0.15">
      <c r="A408" s="7">
        <v>401</v>
      </c>
      <c r="B408" s="7">
        <v>0</v>
      </c>
      <c r="C408" s="7">
        <f t="shared" si="22"/>
        <v>0.75583605794746755</v>
      </c>
      <c r="D408" s="7">
        <f t="shared" si="23"/>
        <v>0.75586047434167281</v>
      </c>
      <c r="E408" s="7">
        <f t="shared" si="24"/>
        <v>-0.27989847758459119</v>
      </c>
    </row>
    <row r="409" spans="1:5" x14ac:dyDescent="0.15">
      <c r="A409" s="7">
        <v>402</v>
      </c>
      <c r="B409" s="7">
        <v>5</v>
      </c>
      <c r="C409" s="7">
        <f t="shared" si="22"/>
        <v>1.366826244062944E-2</v>
      </c>
      <c r="D409" s="7">
        <f t="shared" si="23"/>
        <v>1.3666895614385376E-2</v>
      </c>
      <c r="E409" s="7">
        <f t="shared" si="24"/>
        <v>-4.2927787488141558</v>
      </c>
    </row>
    <row r="410" spans="1:5" x14ac:dyDescent="0.15">
      <c r="A410" s="7">
        <v>403</v>
      </c>
      <c r="B410" s="7">
        <v>0</v>
      </c>
      <c r="C410" s="7">
        <f t="shared" si="22"/>
        <v>0.75583605794746755</v>
      </c>
      <c r="D410" s="7">
        <f t="shared" si="23"/>
        <v>0.75586047434167281</v>
      </c>
      <c r="E410" s="7">
        <f t="shared" si="24"/>
        <v>-0.27989847758459119</v>
      </c>
    </row>
    <row r="411" spans="1:5" x14ac:dyDescent="0.15">
      <c r="A411" s="7">
        <v>404</v>
      </c>
      <c r="B411" s="7">
        <v>0</v>
      </c>
      <c r="C411" s="7">
        <f t="shared" si="22"/>
        <v>0.75583605794746755</v>
      </c>
      <c r="D411" s="7">
        <f t="shared" si="23"/>
        <v>0.75586047434167281</v>
      </c>
      <c r="E411" s="7">
        <f t="shared" si="24"/>
        <v>-0.27989847758459119</v>
      </c>
    </row>
    <row r="412" spans="1:5" x14ac:dyDescent="0.15">
      <c r="A412" s="7">
        <v>405</v>
      </c>
      <c r="B412" s="7">
        <v>4</v>
      </c>
      <c r="C412" s="7">
        <f t="shared" si="22"/>
        <v>1.8863004210024691E-2</v>
      </c>
      <c r="D412" s="7">
        <f t="shared" si="23"/>
        <v>1.8861117909603688E-2</v>
      </c>
      <c r="E412" s="7">
        <f t="shared" si="24"/>
        <v>-3.9706527294293466</v>
      </c>
    </row>
    <row r="413" spans="1:5" x14ac:dyDescent="0.15">
      <c r="A413" s="7">
        <v>406</v>
      </c>
      <c r="B413" s="7">
        <v>0</v>
      </c>
      <c r="C413" s="7">
        <f t="shared" si="22"/>
        <v>0.75583605794746755</v>
      </c>
      <c r="D413" s="7">
        <f t="shared" si="23"/>
        <v>0.75586047434167281</v>
      </c>
      <c r="E413" s="7">
        <f t="shared" si="24"/>
        <v>-0.27989847758459119</v>
      </c>
    </row>
    <row r="414" spans="1:5" x14ac:dyDescent="0.15">
      <c r="A414" s="7">
        <v>407</v>
      </c>
      <c r="B414" s="7">
        <v>0</v>
      </c>
      <c r="C414" s="7">
        <f t="shared" si="22"/>
        <v>0.75583605794746755</v>
      </c>
      <c r="D414" s="7">
        <f t="shared" si="23"/>
        <v>0.75586047434167281</v>
      </c>
      <c r="E414" s="7">
        <f t="shared" si="24"/>
        <v>-0.27989847758459119</v>
      </c>
    </row>
    <row r="415" spans="1:5" x14ac:dyDescent="0.15">
      <c r="A415" s="7">
        <v>408</v>
      </c>
      <c r="B415" s="7">
        <v>1</v>
      </c>
      <c r="C415" s="7">
        <f t="shared" si="22"/>
        <v>8.8686757970141181E-2</v>
      </c>
      <c r="D415" s="7">
        <f t="shared" si="23"/>
        <v>8.867788929434417E-2</v>
      </c>
      <c r="E415" s="7">
        <f t="shared" si="24"/>
        <v>-2.4227446958891354</v>
      </c>
    </row>
    <row r="416" spans="1:5" x14ac:dyDescent="0.15">
      <c r="A416" s="7">
        <v>409</v>
      </c>
      <c r="B416" s="7">
        <v>0</v>
      </c>
      <c r="C416" s="7">
        <f t="shared" si="22"/>
        <v>0.75583605794746755</v>
      </c>
      <c r="D416" s="7">
        <f t="shared" si="23"/>
        <v>0.75586047434167281</v>
      </c>
      <c r="E416" s="7">
        <f t="shared" si="24"/>
        <v>-0.27989847758459119</v>
      </c>
    </row>
    <row r="417" spans="1:5" x14ac:dyDescent="0.15">
      <c r="A417" s="7">
        <v>410</v>
      </c>
      <c r="B417" s="7">
        <v>0</v>
      </c>
      <c r="C417" s="7">
        <f t="shared" si="22"/>
        <v>0.75583605794746755</v>
      </c>
      <c r="D417" s="7">
        <f t="shared" si="23"/>
        <v>0.75586047434167281</v>
      </c>
      <c r="E417" s="7">
        <f t="shared" si="24"/>
        <v>-0.27989847758459119</v>
      </c>
    </row>
    <row r="418" spans="1:5" x14ac:dyDescent="0.15">
      <c r="A418" s="7">
        <v>411</v>
      </c>
      <c r="B418" s="7">
        <v>0</v>
      </c>
      <c r="C418" s="7">
        <f t="shared" si="22"/>
        <v>0.75583605794746755</v>
      </c>
      <c r="D418" s="7">
        <f t="shared" si="23"/>
        <v>0.75586047434167281</v>
      </c>
      <c r="E418" s="7">
        <f t="shared" si="24"/>
        <v>-0.27989847758459119</v>
      </c>
    </row>
    <row r="419" spans="1:5" x14ac:dyDescent="0.15">
      <c r="A419" s="7">
        <v>412</v>
      </c>
      <c r="B419" s="7">
        <v>0</v>
      </c>
      <c r="C419" s="7">
        <f t="shared" si="22"/>
        <v>0.75583605794746755</v>
      </c>
      <c r="D419" s="7">
        <f t="shared" si="23"/>
        <v>0.75586047434167281</v>
      </c>
      <c r="E419" s="7">
        <f t="shared" si="24"/>
        <v>-0.27989847758459119</v>
      </c>
    </row>
    <row r="420" spans="1:5" x14ac:dyDescent="0.15">
      <c r="A420" s="7">
        <v>413</v>
      </c>
      <c r="B420" s="7">
        <v>0</v>
      </c>
      <c r="C420" s="7">
        <f t="shared" si="22"/>
        <v>0.75583605794746755</v>
      </c>
      <c r="D420" s="7">
        <f t="shared" si="23"/>
        <v>0.75586047434167281</v>
      </c>
      <c r="E420" s="7">
        <f t="shared" si="24"/>
        <v>-0.27989847758459119</v>
      </c>
    </row>
    <row r="421" spans="1:5" x14ac:dyDescent="0.15">
      <c r="A421" s="7">
        <v>414</v>
      </c>
      <c r="B421" s="7">
        <v>0</v>
      </c>
      <c r="C421" s="7">
        <f t="shared" si="22"/>
        <v>0.75583605794746755</v>
      </c>
      <c r="D421" s="7">
        <f t="shared" si="23"/>
        <v>0.75586047434167281</v>
      </c>
      <c r="E421" s="7">
        <f t="shared" si="24"/>
        <v>-0.27989847758459119</v>
      </c>
    </row>
    <row r="422" spans="1:5" x14ac:dyDescent="0.15">
      <c r="A422" s="7">
        <v>415</v>
      </c>
      <c r="B422" s="7">
        <v>0</v>
      </c>
      <c r="C422" s="7">
        <f t="shared" si="22"/>
        <v>0.75583605794746755</v>
      </c>
      <c r="D422" s="7">
        <f t="shared" si="23"/>
        <v>0.75586047434167281</v>
      </c>
      <c r="E422" s="7">
        <f t="shared" si="24"/>
        <v>-0.27989847758459119</v>
      </c>
    </row>
    <row r="423" spans="1:5" x14ac:dyDescent="0.15">
      <c r="A423" s="7">
        <v>416</v>
      </c>
      <c r="B423" s="7">
        <v>0</v>
      </c>
      <c r="C423" s="7">
        <f t="shared" si="22"/>
        <v>0.75583605794746755</v>
      </c>
      <c r="D423" s="7">
        <f t="shared" si="23"/>
        <v>0.75586047434167281</v>
      </c>
      <c r="E423" s="7">
        <f t="shared" si="24"/>
        <v>-0.27989847758459119</v>
      </c>
    </row>
    <row r="424" spans="1:5" x14ac:dyDescent="0.15">
      <c r="A424" s="7">
        <v>417</v>
      </c>
      <c r="B424" s="7">
        <v>0</v>
      </c>
      <c r="C424" s="7">
        <f t="shared" si="22"/>
        <v>0.75583605794746755</v>
      </c>
      <c r="D424" s="7">
        <f t="shared" si="23"/>
        <v>0.75586047434167281</v>
      </c>
      <c r="E424" s="7">
        <f t="shared" si="24"/>
        <v>-0.27989847758459119</v>
      </c>
    </row>
    <row r="425" spans="1:5" x14ac:dyDescent="0.15">
      <c r="A425" s="7">
        <v>418</v>
      </c>
      <c r="B425" s="7">
        <v>0</v>
      </c>
      <c r="C425" s="7">
        <f t="shared" si="22"/>
        <v>0.75583605794746755</v>
      </c>
      <c r="D425" s="7">
        <f t="shared" si="23"/>
        <v>0.75586047434167281</v>
      </c>
      <c r="E425" s="7">
        <f t="shared" si="24"/>
        <v>-0.27989847758459119</v>
      </c>
    </row>
    <row r="426" spans="1:5" x14ac:dyDescent="0.15">
      <c r="A426" s="7">
        <v>419</v>
      </c>
      <c r="B426" s="7">
        <v>0</v>
      </c>
      <c r="C426" s="7">
        <f t="shared" si="22"/>
        <v>0.75583605794746755</v>
      </c>
      <c r="D426" s="7">
        <f t="shared" si="23"/>
        <v>0.75586047434167281</v>
      </c>
      <c r="E426" s="7">
        <f t="shared" si="24"/>
        <v>-0.27989847758459119</v>
      </c>
    </row>
    <row r="427" spans="1:5" x14ac:dyDescent="0.15">
      <c r="A427" s="7">
        <v>420</v>
      </c>
      <c r="B427" s="7">
        <v>1</v>
      </c>
      <c r="C427" s="7">
        <f t="shared" si="22"/>
        <v>8.8686757970141181E-2</v>
      </c>
      <c r="D427" s="7">
        <f t="shared" si="23"/>
        <v>8.867788929434417E-2</v>
      </c>
      <c r="E427" s="7">
        <f t="shared" si="24"/>
        <v>-2.4227446958891354</v>
      </c>
    </row>
    <row r="428" spans="1:5" x14ac:dyDescent="0.15">
      <c r="A428" s="7">
        <v>421</v>
      </c>
      <c r="B428" s="7">
        <v>0</v>
      </c>
      <c r="C428" s="7">
        <f t="shared" si="22"/>
        <v>0.75583605794746755</v>
      </c>
      <c r="D428" s="7">
        <f t="shared" si="23"/>
        <v>0.75586047434167281</v>
      </c>
      <c r="E428" s="7">
        <f t="shared" si="24"/>
        <v>-0.27989847758459119</v>
      </c>
    </row>
    <row r="429" spans="1:5" x14ac:dyDescent="0.15">
      <c r="A429" s="7">
        <v>422</v>
      </c>
      <c r="B429" s="7">
        <v>0</v>
      </c>
      <c r="C429" s="7">
        <f t="shared" si="22"/>
        <v>0.75583605794746755</v>
      </c>
      <c r="D429" s="7">
        <f t="shared" si="23"/>
        <v>0.75586047434167281</v>
      </c>
      <c r="E429" s="7">
        <f t="shared" si="24"/>
        <v>-0.27989847758459119</v>
      </c>
    </row>
    <row r="430" spans="1:5" x14ac:dyDescent="0.15">
      <c r="A430" s="7">
        <v>423</v>
      </c>
      <c r="B430" s="7">
        <v>3</v>
      </c>
      <c r="C430" s="7">
        <f t="shared" si="22"/>
        <v>2.7470963680778882E-2</v>
      </c>
      <c r="D430" s="7">
        <f t="shared" si="23"/>
        <v>2.7468216584410805E-2</v>
      </c>
      <c r="E430" s="7">
        <f t="shared" si="24"/>
        <v>-3.5947257032827968</v>
      </c>
    </row>
    <row r="431" spans="1:5" x14ac:dyDescent="0.15">
      <c r="A431" s="7">
        <v>424</v>
      </c>
      <c r="B431" s="7">
        <v>0</v>
      </c>
      <c r="C431" s="7">
        <f t="shared" si="22"/>
        <v>0.75583605794746755</v>
      </c>
      <c r="D431" s="7">
        <f t="shared" si="23"/>
        <v>0.75586047434167281</v>
      </c>
      <c r="E431" s="7">
        <f t="shared" si="24"/>
        <v>-0.27989847758459119</v>
      </c>
    </row>
    <row r="432" spans="1:5" x14ac:dyDescent="0.15">
      <c r="A432" s="7">
        <v>425</v>
      </c>
      <c r="B432" s="7">
        <v>0</v>
      </c>
      <c r="C432" s="7">
        <f t="shared" si="22"/>
        <v>0.75583605794746755</v>
      </c>
      <c r="D432" s="7">
        <f t="shared" si="23"/>
        <v>0.75586047434167281</v>
      </c>
      <c r="E432" s="7">
        <f t="shared" si="24"/>
        <v>-0.27989847758459119</v>
      </c>
    </row>
    <row r="433" spans="1:5" x14ac:dyDescent="0.15">
      <c r="A433" s="7">
        <v>426</v>
      </c>
      <c r="B433" s="7">
        <v>1</v>
      </c>
      <c r="C433" s="7">
        <f t="shared" si="22"/>
        <v>8.8686757970141181E-2</v>
      </c>
      <c r="D433" s="7">
        <f t="shared" si="23"/>
        <v>8.867788929434417E-2</v>
      </c>
      <c r="E433" s="7">
        <f t="shared" si="24"/>
        <v>-2.4227446958891354</v>
      </c>
    </row>
    <row r="434" spans="1:5" x14ac:dyDescent="0.15">
      <c r="A434" s="7">
        <v>427</v>
      </c>
      <c r="B434" s="7">
        <v>1</v>
      </c>
      <c r="C434" s="7">
        <f t="shared" si="22"/>
        <v>8.8686757970141181E-2</v>
      </c>
      <c r="D434" s="7">
        <f t="shared" si="23"/>
        <v>8.867788929434417E-2</v>
      </c>
      <c r="E434" s="7">
        <f t="shared" si="24"/>
        <v>-2.4227446958891354</v>
      </c>
    </row>
    <row r="435" spans="1:5" x14ac:dyDescent="0.15">
      <c r="A435" s="7">
        <v>428</v>
      </c>
      <c r="B435" s="7">
        <v>5</v>
      </c>
      <c r="C435" s="7">
        <f t="shared" si="22"/>
        <v>1.366826244062944E-2</v>
      </c>
      <c r="D435" s="7">
        <f t="shared" si="23"/>
        <v>1.3666895614385376E-2</v>
      </c>
      <c r="E435" s="7">
        <f t="shared" si="24"/>
        <v>-4.2927787488141558</v>
      </c>
    </row>
    <row r="436" spans="1:5" x14ac:dyDescent="0.15">
      <c r="A436" s="7">
        <v>429</v>
      </c>
      <c r="B436" s="7">
        <v>2</v>
      </c>
      <c r="C436" s="7">
        <f t="shared" si="22"/>
        <v>4.4066701399555049E-2</v>
      </c>
      <c r="D436" s="7">
        <f t="shared" si="23"/>
        <v>4.4062294729415093E-2</v>
      </c>
      <c r="E436" s="7">
        <f t="shared" si="24"/>
        <v>-3.1221508570437044</v>
      </c>
    </row>
    <row r="437" spans="1:5" x14ac:dyDescent="0.15">
      <c r="A437" s="7">
        <v>430</v>
      </c>
      <c r="B437" s="7">
        <v>0</v>
      </c>
      <c r="C437" s="7">
        <f t="shared" si="22"/>
        <v>0.75583605794746755</v>
      </c>
      <c r="D437" s="7">
        <f t="shared" si="23"/>
        <v>0.75586047434167281</v>
      </c>
      <c r="E437" s="7">
        <f t="shared" si="24"/>
        <v>-0.27989847758459119</v>
      </c>
    </row>
    <row r="438" spans="1:5" x14ac:dyDescent="0.15">
      <c r="A438" s="7">
        <v>431</v>
      </c>
      <c r="B438" s="7">
        <v>0</v>
      </c>
      <c r="C438" s="7">
        <f t="shared" si="22"/>
        <v>0.75583605794746755</v>
      </c>
      <c r="D438" s="7">
        <f t="shared" si="23"/>
        <v>0.75586047434167281</v>
      </c>
      <c r="E438" s="7">
        <f t="shared" si="24"/>
        <v>-0.27989847758459119</v>
      </c>
    </row>
    <row r="439" spans="1:5" x14ac:dyDescent="0.15">
      <c r="A439" s="7">
        <v>432</v>
      </c>
      <c r="B439" s="7">
        <v>0</v>
      </c>
      <c r="C439" s="7">
        <f t="shared" si="22"/>
        <v>0.75583605794746755</v>
      </c>
      <c r="D439" s="7">
        <f t="shared" si="23"/>
        <v>0.75586047434167281</v>
      </c>
      <c r="E439" s="7">
        <f t="shared" si="24"/>
        <v>-0.27989847758459119</v>
      </c>
    </row>
    <row r="440" spans="1:5" x14ac:dyDescent="0.15">
      <c r="A440" s="7">
        <v>433</v>
      </c>
      <c r="B440" s="7">
        <v>1</v>
      </c>
      <c r="C440" s="7">
        <f t="shared" si="22"/>
        <v>8.8686757970141181E-2</v>
      </c>
      <c r="D440" s="7">
        <f t="shared" si="23"/>
        <v>8.867788929434417E-2</v>
      </c>
      <c r="E440" s="7">
        <f t="shared" si="24"/>
        <v>-2.4227446958891354</v>
      </c>
    </row>
    <row r="441" spans="1:5" x14ac:dyDescent="0.15">
      <c r="A441" s="7">
        <v>434</v>
      </c>
      <c r="B441" s="7">
        <v>5</v>
      </c>
      <c r="C441" s="7">
        <f t="shared" si="22"/>
        <v>1.366826244062944E-2</v>
      </c>
      <c r="D441" s="7">
        <f t="shared" si="23"/>
        <v>1.3666895614385376E-2</v>
      </c>
      <c r="E441" s="7">
        <f t="shared" si="24"/>
        <v>-4.2927787488141558</v>
      </c>
    </row>
    <row r="442" spans="1:5" x14ac:dyDescent="0.15">
      <c r="A442" s="7">
        <v>435</v>
      </c>
      <c r="B442" s="7">
        <v>0</v>
      </c>
      <c r="C442" s="7">
        <f t="shared" si="22"/>
        <v>0.75583605794746755</v>
      </c>
      <c r="D442" s="7">
        <f t="shared" si="23"/>
        <v>0.75586047434167281</v>
      </c>
      <c r="E442" s="7">
        <f t="shared" si="24"/>
        <v>-0.27989847758459119</v>
      </c>
    </row>
    <row r="443" spans="1:5" x14ac:dyDescent="0.15">
      <c r="A443" s="7">
        <v>436</v>
      </c>
      <c r="B443" s="7">
        <v>0</v>
      </c>
      <c r="C443" s="7">
        <f t="shared" si="22"/>
        <v>0.75583605794746755</v>
      </c>
      <c r="D443" s="7">
        <f t="shared" si="23"/>
        <v>0.75586047434167281</v>
      </c>
      <c r="E443" s="7">
        <f t="shared" si="24"/>
        <v>-0.27989847758459119</v>
      </c>
    </row>
    <row r="444" spans="1:5" x14ac:dyDescent="0.15">
      <c r="A444" s="7">
        <v>437</v>
      </c>
      <c r="B444" s="7">
        <v>0</v>
      </c>
      <c r="C444" s="7">
        <f t="shared" si="22"/>
        <v>0.75583605794746755</v>
      </c>
      <c r="D444" s="7">
        <f t="shared" si="23"/>
        <v>0.75586047434167281</v>
      </c>
      <c r="E444" s="7">
        <f t="shared" si="24"/>
        <v>-0.27989847758459119</v>
      </c>
    </row>
    <row r="445" spans="1:5" x14ac:dyDescent="0.15">
      <c r="A445" s="7">
        <v>438</v>
      </c>
      <c r="B445" s="7">
        <v>18</v>
      </c>
      <c r="C445" s="7">
        <f t="shared" si="22"/>
        <v>8.183216576339293E-4</v>
      </c>
      <c r="D445" s="7">
        <f t="shared" si="23"/>
        <v>8.1823982546816595E-4</v>
      </c>
      <c r="E445" s="7">
        <f t="shared" si="24"/>
        <v>-7.108355079162993</v>
      </c>
    </row>
    <row r="446" spans="1:5" x14ac:dyDescent="0.15">
      <c r="A446" s="7">
        <v>439</v>
      </c>
      <c r="B446" s="7">
        <v>4</v>
      </c>
      <c r="C446" s="7">
        <f t="shared" si="22"/>
        <v>1.8863004210024691E-2</v>
      </c>
      <c r="D446" s="7">
        <f t="shared" si="23"/>
        <v>1.8861117909603688E-2</v>
      </c>
      <c r="E446" s="7">
        <f t="shared" si="24"/>
        <v>-3.9706527294293466</v>
      </c>
    </row>
    <row r="447" spans="1:5" x14ac:dyDescent="0.15">
      <c r="A447" s="7">
        <v>440</v>
      </c>
      <c r="B447" s="7">
        <v>1</v>
      </c>
      <c r="C447" s="7">
        <f t="shared" si="22"/>
        <v>8.8686757970141181E-2</v>
      </c>
      <c r="D447" s="7">
        <f t="shared" si="23"/>
        <v>8.867788929434417E-2</v>
      </c>
      <c r="E447" s="7">
        <f t="shared" si="24"/>
        <v>-2.4227446958891354</v>
      </c>
    </row>
    <row r="448" spans="1:5" x14ac:dyDescent="0.15">
      <c r="A448" s="7">
        <v>441</v>
      </c>
      <c r="B448" s="7">
        <v>0</v>
      </c>
      <c r="C448" s="7">
        <f t="shared" si="22"/>
        <v>0.75583605794746755</v>
      </c>
      <c r="D448" s="7">
        <f t="shared" si="23"/>
        <v>0.75586047434167281</v>
      </c>
      <c r="E448" s="7">
        <f t="shared" si="24"/>
        <v>-0.27989847758459119</v>
      </c>
    </row>
    <row r="449" spans="1:5" x14ac:dyDescent="0.15">
      <c r="A449" s="7">
        <v>442</v>
      </c>
      <c r="B449" s="7">
        <v>0</v>
      </c>
      <c r="C449" s="7">
        <f t="shared" si="22"/>
        <v>0.75583605794746755</v>
      </c>
      <c r="D449" s="7">
        <f t="shared" si="23"/>
        <v>0.75586047434167281</v>
      </c>
      <c r="E449" s="7">
        <f t="shared" si="24"/>
        <v>-0.27989847758459119</v>
      </c>
    </row>
    <row r="450" spans="1:5" x14ac:dyDescent="0.15">
      <c r="A450" s="7">
        <v>443</v>
      </c>
      <c r="B450" s="7">
        <v>1</v>
      </c>
      <c r="C450" s="7">
        <f t="shared" si="22"/>
        <v>8.8686757970141181E-2</v>
      </c>
      <c r="D450" s="7">
        <f t="shared" si="23"/>
        <v>8.867788929434417E-2</v>
      </c>
      <c r="E450" s="7">
        <f t="shared" si="24"/>
        <v>-2.4227446958891354</v>
      </c>
    </row>
    <row r="451" spans="1:5" x14ac:dyDescent="0.15">
      <c r="A451" s="7">
        <v>444</v>
      </c>
      <c r="B451" s="7">
        <v>0</v>
      </c>
      <c r="C451" s="7">
        <f t="shared" si="22"/>
        <v>0.75583605794746755</v>
      </c>
      <c r="D451" s="7">
        <f t="shared" si="23"/>
        <v>0.75586047434167281</v>
      </c>
      <c r="E451" s="7">
        <f t="shared" si="24"/>
        <v>-0.27989847758459119</v>
      </c>
    </row>
    <row r="452" spans="1:5" x14ac:dyDescent="0.15">
      <c r="A452" s="7">
        <v>445</v>
      </c>
      <c r="B452" s="7">
        <v>0</v>
      </c>
      <c r="C452" s="7">
        <f t="shared" si="22"/>
        <v>0.75583605794746755</v>
      </c>
      <c r="D452" s="7">
        <f t="shared" si="23"/>
        <v>0.75586047434167281</v>
      </c>
      <c r="E452" s="7">
        <f t="shared" si="24"/>
        <v>-0.27989847758459119</v>
      </c>
    </row>
    <row r="453" spans="1:5" x14ac:dyDescent="0.15">
      <c r="A453" s="7">
        <v>446</v>
      </c>
      <c r="B453" s="7">
        <v>0</v>
      </c>
      <c r="C453" s="7">
        <f t="shared" si="22"/>
        <v>0.75583605794746755</v>
      </c>
      <c r="D453" s="7">
        <f t="shared" si="23"/>
        <v>0.75586047434167281</v>
      </c>
      <c r="E453" s="7">
        <f t="shared" si="24"/>
        <v>-0.27989847758459119</v>
      </c>
    </row>
    <row r="454" spans="1:5" x14ac:dyDescent="0.15">
      <c r="A454" s="7">
        <v>447</v>
      </c>
      <c r="B454" s="7">
        <v>5</v>
      </c>
      <c r="C454" s="7">
        <f t="shared" si="22"/>
        <v>1.366826244062944E-2</v>
      </c>
      <c r="D454" s="7">
        <f t="shared" si="23"/>
        <v>1.3666895614385376E-2</v>
      </c>
      <c r="E454" s="7">
        <f t="shared" si="24"/>
        <v>-4.2927787488141558</v>
      </c>
    </row>
    <row r="455" spans="1:5" x14ac:dyDescent="0.15">
      <c r="A455" s="7">
        <v>448</v>
      </c>
      <c r="B455" s="7">
        <v>0</v>
      </c>
      <c r="C455" s="7">
        <f t="shared" si="22"/>
        <v>0.75583605794746755</v>
      </c>
      <c r="D455" s="7">
        <f t="shared" si="23"/>
        <v>0.75586047434167281</v>
      </c>
      <c r="E455" s="7">
        <f t="shared" si="24"/>
        <v>-0.27989847758459119</v>
      </c>
    </row>
    <row r="456" spans="1:5" x14ac:dyDescent="0.15">
      <c r="A456" s="7">
        <v>449</v>
      </c>
      <c r="B456" s="7">
        <v>1</v>
      </c>
      <c r="C456" s="7">
        <f t="shared" si="22"/>
        <v>8.8686757970141181E-2</v>
      </c>
      <c r="D456" s="7">
        <f t="shared" si="23"/>
        <v>8.867788929434417E-2</v>
      </c>
      <c r="E456" s="7">
        <f t="shared" si="24"/>
        <v>-2.4227446958891354</v>
      </c>
    </row>
    <row r="457" spans="1:5" x14ac:dyDescent="0.15">
      <c r="A457" s="7">
        <v>450</v>
      </c>
      <c r="B457" s="7">
        <v>0</v>
      </c>
      <c r="C457" s="7">
        <f t="shared" ref="C457:C520" si="25">(_xlfn.GAMMA($B$1+B457)/(_xlfn.GAMMA($B$1)*FACT(B457))) * ($B$2/($B$2+$B$5))^$B$1 * (1/($B$2 +$B$5))^B457</f>
        <v>0.75583605794746755</v>
      </c>
      <c r="D457" s="7">
        <f t="shared" ref="D457:D520" si="26" xml:space="preserve"> IF(B457 = 0, $B$3 + (1-$B$3) * C457, (1-$B$3) *C457)</f>
        <v>0.75586047434167281</v>
      </c>
      <c r="E457" s="7">
        <f t="shared" ref="E457:E520" si="27">LN(D457)</f>
        <v>-0.27989847758459119</v>
      </c>
    </row>
    <row r="458" spans="1:5" x14ac:dyDescent="0.15">
      <c r="A458" s="7">
        <v>451</v>
      </c>
      <c r="B458" s="7">
        <v>0</v>
      </c>
      <c r="C458" s="7">
        <f t="shared" si="25"/>
        <v>0.75583605794746755</v>
      </c>
      <c r="D458" s="7">
        <f t="shared" si="26"/>
        <v>0.75586047434167281</v>
      </c>
      <c r="E458" s="7">
        <f t="shared" si="27"/>
        <v>-0.27989847758459119</v>
      </c>
    </row>
    <row r="459" spans="1:5" x14ac:dyDescent="0.15">
      <c r="A459" s="7">
        <v>452</v>
      </c>
      <c r="B459" s="7">
        <v>0</v>
      </c>
      <c r="C459" s="7">
        <f t="shared" si="25"/>
        <v>0.75583605794746755</v>
      </c>
      <c r="D459" s="7">
        <f t="shared" si="26"/>
        <v>0.75586047434167281</v>
      </c>
      <c r="E459" s="7">
        <f t="shared" si="27"/>
        <v>-0.27989847758459119</v>
      </c>
    </row>
    <row r="460" spans="1:5" x14ac:dyDescent="0.15">
      <c r="A460" s="7">
        <v>453</v>
      </c>
      <c r="B460" s="7">
        <v>2</v>
      </c>
      <c r="C460" s="7">
        <f t="shared" si="25"/>
        <v>4.4066701399555049E-2</v>
      </c>
      <c r="D460" s="7">
        <f t="shared" si="26"/>
        <v>4.4062294729415093E-2</v>
      </c>
      <c r="E460" s="7">
        <f t="shared" si="27"/>
        <v>-3.1221508570437044</v>
      </c>
    </row>
    <row r="461" spans="1:5" x14ac:dyDescent="0.15">
      <c r="A461" s="7">
        <v>454</v>
      </c>
      <c r="B461" s="7">
        <v>0</v>
      </c>
      <c r="C461" s="7">
        <f t="shared" si="25"/>
        <v>0.75583605794746755</v>
      </c>
      <c r="D461" s="7">
        <f t="shared" si="26"/>
        <v>0.75586047434167281</v>
      </c>
      <c r="E461" s="7">
        <f t="shared" si="27"/>
        <v>-0.27989847758459119</v>
      </c>
    </row>
    <row r="462" spans="1:5" x14ac:dyDescent="0.15">
      <c r="A462" s="7">
        <v>455</v>
      </c>
      <c r="B462" s="7">
        <v>0</v>
      </c>
      <c r="C462" s="7">
        <f t="shared" si="25"/>
        <v>0.75583605794746755</v>
      </c>
      <c r="D462" s="7">
        <f t="shared" si="26"/>
        <v>0.75586047434167281</v>
      </c>
      <c r="E462" s="7">
        <f t="shared" si="27"/>
        <v>-0.27989847758459119</v>
      </c>
    </row>
    <row r="463" spans="1:5" x14ac:dyDescent="0.15">
      <c r="A463" s="7">
        <v>456</v>
      </c>
      <c r="B463" s="7">
        <v>0</v>
      </c>
      <c r="C463" s="7">
        <f t="shared" si="25"/>
        <v>0.75583605794746755</v>
      </c>
      <c r="D463" s="7">
        <f t="shared" si="26"/>
        <v>0.75586047434167281</v>
      </c>
      <c r="E463" s="7">
        <f t="shared" si="27"/>
        <v>-0.27989847758459119</v>
      </c>
    </row>
    <row r="464" spans="1:5" x14ac:dyDescent="0.15">
      <c r="A464" s="7">
        <v>457</v>
      </c>
      <c r="B464" s="7">
        <v>0</v>
      </c>
      <c r="C464" s="7">
        <f t="shared" si="25"/>
        <v>0.75583605794746755</v>
      </c>
      <c r="D464" s="7">
        <f t="shared" si="26"/>
        <v>0.75586047434167281</v>
      </c>
      <c r="E464" s="7">
        <f t="shared" si="27"/>
        <v>-0.27989847758459119</v>
      </c>
    </row>
    <row r="465" spans="1:5" x14ac:dyDescent="0.15">
      <c r="A465" s="7">
        <v>458</v>
      </c>
      <c r="B465" s="7">
        <v>0</v>
      </c>
      <c r="C465" s="7">
        <f t="shared" si="25"/>
        <v>0.75583605794746755</v>
      </c>
      <c r="D465" s="7">
        <f t="shared" si="26"/>
        <v>0.75586047434167281</v>
      </c>
      <c r="E465" s="7">
        <f t="shared" si="27"/>
        <v>-0.27989847758459119</v>
      </c>
    </row>
    <row r="466" spans="1:5" x14ac:dyDescent="0.15">
      <c r="A466" s="7">
        <v>459</v>
      </c>
      <c r="B466" s="7">
        <v>0</v>
      </c>
      <c r="C466" s="7">
        <f t="shared" si="25"/>
        <v>0.75583605794746755</v>
      </c>
      <c r="D466" s="7">
        <f t="shared" si="26"/>
        <v>0.75586047434167281</v>
      </c>
      <c r="E466" s="7">
        <f t="shared" si="27"/>
        <v>-0.27989847758459119</v>
      </c>
    </row>
    <row r="467" spans="1:5" x14ac:dyDescent="0.15">
      <c r="A467" s="7">
        <v>460</v>
      </c>
      <c r="B467" s="7">
        <v>2</v>
      </c>
      <c r="C467" s="7">
        <f t="shared" si="25"/>
        <v>4.4066701399555049E-2</v>
      </c>
      <c r="D467" s="7">
        <f t="shared" si="26"/>
        <v>4.4062294729415093E-2</v>
      </c>
      <c r="E467" s="7">
        <f t="shared" si="27"/>
        <v>-3.1221508570437044</v>
      </c>
    </row>
    <row r="468" spans="1:5" x14ac:dyDescent="0.15">
      <c r="A468" s="7">
        <v>461</v>
      </c>
      <c r="B468" s="7">
        <v>0</v>
      </c>
      <c r="C468" s="7">
        <f t="shared" si="25"/>
        <v>0.75583605794746755</v>
      </c>
      <c r="D468" s="7">
        <f t="shared" si="26"/>
        <v>0.75586047434167281</v>
      </c>
      <c r="E468" s="7">
        <f t="shared" si="27"/>
        <v>-0.27989847758459119</v>
      </c>
    </row>
    <row r="469" spans="1:5" x14ac:dyDescent="0.15">
      <c r="A469" s="7">
        <v>462</v>
      </c>
      <c r="B469" s="7">
        <v>0</v>
      </c>
      <c r="C469" s="7">
        <f t="shared" si="25"/>
        <v>0.75583605794746755</v>
      </c>
      <c r="D469" s="7">
        <f t="shared" si="26"/>
        <v>0.75586047434167281</v>
      </c>
      <c r="E469" s="7">
        <f t="shared" si="27"/>
        <v>-0.27989847758459119</v>
      </c>
    </row>
    <row r="470" spans="1:5" x14ac:dyDescent="0.15">
      <c r="A470" s="7">
        <v>463</v>
      </c>
      <c r="B470" s="7">
        <v>0</v>
      </c>
      <c r="C470" s="7">
        <f t="shared" si="25"/>
        <v>0.75583605794746755</v>
      </c>
      <c r="D470" s="7">
        <f t="shared" si="26"/>
        <v>0.75586047434167281</v>
      </c>
      <c r="E470" s="7">
        <f t="shared" si="27"/>
        <v>-0.27989847758459119</v>
      </c>
    </row>
    <row r="471" spans="1:5" x14ac:dyDescent="0.15">
      <c r="A471" s="7">
        <v>464</v>
      </c>
      <c r="B471" s="7">
        <v>9</v>
      </c>
      <c r="C471" s="7">
        <f t="shared" si="25"/>
        <v>4.8729771313975011E-3</v>
      </c>
      <c r="D471" s="7">
        <f t="shared" si="26"/>
        <v>4.8724898336843618E-3</v>
      </c>
      <c r="E471" s="7">
        <f t="shared" si="27"/>
        <v>-5.324150213052798</v>
      </c>
    </row>
    <row r="472" spans="1:5" x14ac:dyDescent="0.15">
      <c r="A472" s="7">
        <v>465</v>
      </c>
      <c r="B472" s="7">
        <v>0</v>
      </c>
      <c r="C472" s="7">
        <f t="shared" si="25"/>
        <v>0.75583605794746755</v>
      </c>
      <c r="D472" s="7">
        <f t="shared" si="26"/>
        <v>0.75586047434167281</v>
      </c>
      <c r="E472" s="7">
        <f t="shared" si="27"/>
        <v>-0.27989847758459119</v>
      </c>
    </row>
    <row r="473" spans="1:5" x14ac:dyDescent="0.15">
      <c r="A473" s="7">
        <v>466</v>
      </c>
      <c r="B473" s="7">
        <v>0</v>
      </c>
      <c r="C473" s="7">
        <f t="shared" si="25"/>
        <v>0.75583605794746755</v>
      </c>
      <c r="D473" s="7">
        <f t="shared" si="26"/>
        <v>0.75586047434167281</v>
      </c>
      <c r="E473" s="7">
        <f t="shared" si="27"/>
        <v>-0.27989847758459119</v>
      </c>
    </row>
    <row r="474" spans="1:5" x14ac:dyDescent="0.15">
      <c r="A474" s="7">
        <v>467</v>
      </c>
      <c r="B474" s="7">
        <v>0</v>
      </c>
      <c r="C474" s="7">
        <f t="shared" si="25"/>
        <v>0.75583605794746755</v>
      </c>
      <c r="D474" s="7">
        <f t="shared" si="26"/>
        <v>0.75586047434167281</v>
      </c>
      <c r="E474" s="7">
        <f t="shared" si="27"/>
        <v>-0.27989847758459119</v>
      </c>
    </row>
    <row r="475" spans="1:5" x14ac:dyDescent="0.15">
      <c r="A475" s="7">
        <v>468</v>
      </c>
      <c r="B475" s="7">
        <v>2</v>
      </c>
      <c r="C475" s="7">
        <f t="shared" si="25"/>
        <v>4.4066701399555049E-2</v>
      </c>
      <c r="D475" s="7">
        <f t="shared" si="26"/>
        <v>4.4062294729415093E-2</v>
      </c>
      <c r="E475" s="7">
        <f t="shared" si="27"/>
        <v>-3.1221508570437044</v>
      </c>
    </row>
    <row r="476" spans="1:5" x14ac:dyDescent="0.15">
      <c r="A476" s="7">
        <v>469</v>
      </c>
      <c r="B476" s="7">
        <v>3</v>
      </c>
      <c r="C476" s="7">
        <f t="shared" si="25"/>
        <v>2.7470963680778882E-2</v>
      </c>
      <c r="D476" s="7">
        <f t="shared" si="26"/>
        <v>2.7468216584410805E-2</v>
      </c>
      <c r="E476" s="7">
        <f t="shared" si="27"/>
        <v>-3.5947257032827968</v>
      </c>
    </row>
    <row r="477" spans="1:5" x14ac:dyDescent="0.15">
      <c r="A477" s="7">
        <v>470</v>
      </c>
      <c r="B477" s="7">
        <v>0</v>
      </c>
      <c r="C477" s="7">
        <f t="shared" si="25"/>
        <v>0.75583605794746755</v>
      </c>
      <c r="D477" s="7">
        <f t="shared" si="26"/>
        <v>0.75586047434167281</v>
      </c>
      <c r="E477" s="7">
        <f t="shared" si="27"/>
        <v>-0.27989847758459119</v>
      </c>
    </row>
    <row r="478" spans="1:5" x14ac:dyDescent="0.15">
      <c r="A478" s="7">
        <v>471</v>
      </c>
      <c r="B478" s="7">
        <v>0</v>
      </c>
      <c r="C478" s="7">
        <f t="shared" si="25"/>
        <v>0.75583605794746755</v>
      </c>
      <c r="D478" s="7">
        <f t="shared" si="26"/>
        <v>0.75586047434167281</v>
      </c>
      <c r="E478" s="7">
        <f t="shared" si="27"/>
        <v>-0.27989847758459119</v>
      </c>
    </row>
    <row r="479" spans="1:5" x14ac:dyDescent="0.15">
      <c r="A479" s="7">
        <v>472</v>
      </c>
      <c r="B479" s="7">
        <v>0</v>
      </c>
      <c r="C479" s="7">
        <f t="shared" si="25"/>
        <v>0.75583605794746755</v>
      </c>
      <c r="D479" s="7">
        <f t="shared" si="26"/>
        <v>0.75586047434167281</v>
      </c>
      <c r="E479" s="7">
        <f t="shared" si="27"/>
        <v>-0.27989847758459119</v>
      </c>
    </row>
    <row r="480" spans="1:5" x14ac:dyDescent="0.15">
      <c r="A480" s="7">
        <v>473</v>
      </c>
      <c r="B480" s="7">
        <v>0</v>
      </c>
      <c r="C480" s="7">
        <f t="shared" si="25"/>
        <v>0.75583605794746755</v>
      </c>
      <c r="D480" s="7">
        <f t="shared" si="26"/>
        <v>0.75586047434167281</v>
      </c>
      <c r="E480" s="7">
        <f t="shared" si="27"/>
        <v>-0.27989847758459119</v>
      </c>
    </row>
    <row r="481" spans="1:5" x14ac:dyDescent="0.15">
      <c r="A481" s="7">
        <v>474</v>
      </c>
      <c r="B481" s="7">
        <v>0</v>
      </c>
      <c r="C481" s="7">
        <f t="shared" si="25"/>
        <v>0.75583605794746755</v>
      </c>
      <c r="D481" s="7">
        <f t="shared" si="26"/>
        <v>0.75586047434167281</v>
      </c>
      <c r="E481" s="7">
        <f t="shared" si="27"/>
        <v>-0.27989847758459119</v>
      </c>
    </row>
    <row r="482" spans="1:5" x14ac:dyDescent="0.15">
      <c r="A482" s="7">
        <v>475</v>
      </c>
      <c r="B482" s="7">
        <v>2</v>
      </c>
      <c r="C482" s="7">
        <f t="shared" si="25"/>
        <v>4.4066701399555049E-2</v>
      </c>
      <c r="D482" s="7">
        <f t="shared" si="26"/>
        <v>4.4062294729415093E-2</v>
      </c>
      <c r="E482" s="7">
        <f t="shared" si="27"/>
        <v>-3.1221508570437044</v>
      </c>
    </row>
    <row r="483" spans="1:5" x14ac:dyDescent="0.15">
      <c r="A483" s="7">
        <v>476</v>
      </c>
      <c r="B483" s="7">
        <v>1</v>
      </c>
      <c r="C483" s="7">
        <f t="shared" si="25"/>
        <v>8.8686757970141181E-2</v>
      </c>
      <c r="D483" s="7">
        <f t="shared" si="26"/>
        <v>8.867788929434417E-2</v>
      </c>
      <c r="E483" s="7">
        <f t="shared" si="27"/>
        <v>-2.4227446958891354</v>
      </c>
    </row>
    <row r="484" spans="1:5" x14ac:dyDescent="0.15">
      <c r="A484" s="7">
        <v>477</v>
      </c>
      <c r="B484" s="7">
        <v>0</v>
      </c>
      <c r="C484" s="7">
        <f t="shared" si="25"/>
        <v>0.75583605794746755</v>
      </c>
      <c r="D484" s="7">
        <f t="shared" si="26"/>
        <v>0.75586047434167281</v>
      </c>
      <c r="E484" s="7">
        <f t="shared" si="27"/>
        <v>-0.27989847758459119</v>
      </c>
    </row>
    <row r="485" spans="1:5" x14ac:dyDescent="0.15">
      <c r="A485" s="7">
        <v>478</v>
      </c>
      <c r="B485" s="7">
        <v>79</v>
      </c>
      <c r="C485" s="7">
        <f t="shared" si="25"/>
        <v>7.2986924095296255E-8</v>
      </c>
      <c r="D485" s="7">
        <f t="shared" si="26"/>
        <v>7.297962540288672E-8</v>
      </c>
      <c r="E485" s="7">
        <f t="shared" si="27"/>
        <v>-16.433085538824855</v>
      </c>
    </row>
    <row r="486" spans="1:5" x14ac:dyDescent="0.15">
      <c r="A486" s="7">
        <v>479</v>
      </c>
      <c r="B486" s="7">
        <v>1</v>
      </c>
      <c r="C486" s="7">
        <f t="shared" si="25"/>
        <v>8.8686757970141181E-2</v>
      </c>
      <c r="D486" s="7">
        <f t="shared" si="26"/>
        <v>8.867788929434417E-2</v>
      </c>
      <c r="E486" s="7">
        <f t="shared" si="27"/>
        <v>-2.4227446958891354</v>
      </c>
    </row>
    <row r="487" spans="1:5" x14ac:dyDescent="0.15">
      <c r="A487" s="7">
        <v>480</v>
      </c>
      <c r="B487" s="7">
        <v>5</v>
      </c>
      <c r="C487" s="7">
        <f t="shared" si="25"/>
        <v>1.366826244062944E-2</v>
      </c>
      <c r="D487" s="7">
        <f t="shared" si="26"/>
        <v>1.3666895614385376E-2</v>
      </c>
      <c r="E487" s="7">
        <f t="shared" si="27"/>
        <v>-4.2927787488141558</v>
      </c>
    </row>
    <row r="488" spans="1:5" x14ac:dyDescent="0.15">
      <c r="A488" s="7">
        <v>481</v>
      </c>
      <c r="B488" s="7">
        <v>0</v>
      </c>
      <c r="C488" s="7">
        <f t="shared" si="25"/>
        <v>0.75583605794746755</v>
      </c>
      <c r="D488" s="7">
        <f t="shared" si="26"/>
        <v>0.75586047434167281</v>
      </c>
      <c r="E488" s="7">
        <f t="shared" si="27"/>
        <v>-0.27989847758459119</v>
      </c>
    </row>
    <row r="489" spans="1:5" x14ac:dyDescent="0.15">
      <c r="A489" s="7">
        <v>482</v>
      </c>
      <c r="B489" s="7">
        <v>0</v>
      </c>
      <c r="C489" s="7">
        <f t="shared" si="25"/>
        <v>0.75583605794746755</v>
      </c>
      <c r="D489" s="7">
        <f t="shared" si="26"/>
        <v>0.75586047434167281</v>
      </c>
      <c r="E489" s="7">
        <f t="shared" si="27"/>
        <v>-0.27989847758459119</v>
      </c>
    </row>
    <row r="490" spans="1:5" x14ac:dyDescent="0.15">
      <c r="A490" s="7">
        <v>483</v>
      </c>
      <c r="B490" s="7">
        <v>8</v>
      </c>
      <c r="C490" s="7">
        <f t="shared" si="25"/>
        <v>6.1521164907488192E-3</v>
      </c>
      <c r="D490" s="7">
        <f t="shared" si="26"/>
        <v>6.1515012790997444E-3</v>
      </c>
      <c r="E490" s="7">
        <f t="shared" si="27"/>
        <v>-5.0910591165310892</v>
      </c>
    </row>
    <row r="491" spans="1:5" x14ac:dyDescent="0.15">
      <c r="A491" s="7">
        <v>484</v>
      </c>
      <c r="B491" s="7">
        <v>0</v>
      </c>
      <c r="C491" s="7">
        <f t="shared" si="25"/>
        <v>0.75583605794746755</v>
      </c>
      <c r="D491" s="7">
        <f t="shared" si="26"/>
        <v>0.75586047434167281</v>
      </c>
      <c r="E491" s="7">
        <f t="shared" si="27"/>
        <v>-0.27989847758459119</v>
      </c>
    </row>
    <row r="492" spans="1:5" x14ac:dyDescent="0.15">
      <c r="A492" s="7">
        <v>485</v>
      </c>
      <c r="B492" s="7">
        <v>1</v>
      </c>
      <c r="C492" s="7">
        <f t="shared" si="25"/>
        <v>8.8686757970141181E-2</v>
      </c>
      <c r="D492" s="7">
        <f t="shared" si="26"/>
        <v>8.867788929434417E-2</v>
      </c>
      <c r="E492" s="7">
        <f t="shared" si="27"/>
        <v>-2.4227446958891354</v>
      </c>
    </row>
    <row r="493" spans="1:5" x14ac:dyDescent="0.15">
      <c r="A493" s="7">
        <v>486</v>
      </c>
      <c r="B493" s="7">
        <v>0</v>
      </c>
      <c r="C493" s="7">
        <f t="shared" si="25"/>
        <v>0.75583605794746755</v>
      </c>
      <c r="D493" s="7">
        <f t="shared" si="26"/>
        <v>0.75586047434167281</v>
      </c>
      <c r="E493" s="7">
        <f t="shared" si="27"/>
        <v>-0.27989847758459119</v>
      </c>
    </row>
    <row r="494" spans="1:5" x14ac:dyDescent="0.15">
      <c r="A494" s="7">
        <v>487</v>
      </c>
      <c r="B494" s="7">
        <v>0</v>
      </c>
      <c r="C494" s="7">
        <f t="shared" si="25"/>
        <v>0.75583605794746755</v>
      </c>
      <c r="D494" s="7">
        <f t="shared" si="26"/>
        <v>0.75586047434167281</v>
      </c>
      <c r="E494" s="7">
        <f t="shared" si="27"/>
        <v>-0.27989847758459119</v>
      </c>
    </row>
    <row r="495" spans="1:5" x14ac:dyDescent="0.15">
      <c r="A495" s="7">
        <v>488</v>
      </c>
      <c r="B495" s="7">
        <v>0</v>
      </c>
      <c r="C495" s="7">
        <f t="shared" si="25"/>
        <v>0.75583605794746755</v>
      </c>
      <c r="D495" s="7">
        <f t="shared" si="26"/>
        <v>0.75586047434167281</v>
      </c>
      <c r="E495" s="7">
        <f t="shared" si="27"/>
        <v>-0.27989847758459119</v>
      </c>
    </row>
    <row r="496" spans="1:5" x14ac:dyDescent="0.15">
      <c r="A496" s="7">
        <v>489</v>
      </c>
      <c r="B496" s="7">
        <v>1</v>
      </c>
      <c r="C496" s="7">
        <f t="shared" si="25"/>
        <v>8.8686757970141181E-2</v>
      </c>
      <c r="D496" s="7">
        <f t="shared" si="26"/>
        <v>8.867788929434417E-2</v>
      </c>
      <c r="E496" s="7">
        <f t="shared" si="27"/>
        <v>-2.4227446958891354</v>
      </c>
    </row>
    <row r="497" spans="1:5" x14ac:dyDescent="0.15">
      <c r="A497" s="7">
        <v>490</v>
      </c>
      <c r="B497" s="7">
        <v>0</v>
      </c>
      <c r="C497" s="7">
        <f t="shared" si="25"/>
        <v>0.75583605794746755</v>
      </c>
      <c r="D497" s="7">
        <f t="shared" si="26"/>
        <v>0.75586047434167281</v>
      </c>
      <c r="E497" s="7">
        <f t="shared" si="27"/>
        <v>-0.27989847758459119</v>
      </c>
    </row>
    <row r="498" spans="1:5" x14ac:dyDescent="0.15">
      <c r="A498" s="7">
        <v>491</v>
      </c>
      <c r="B498" s="7">
        <v>0</v>
      </c>
      <c r="C498" s="7">
        <f t="shared" si="25"/>
        <v>0.75583605794746755</v>
      </c>
      <c r="D498" s="7">
        <f t="shared" si="26"/>
        <v>0.75586047434167281</v>
      </c>
      <c r="E498" s="7">
        <f t="shared" si="27"/>
        <v>-0.27989847758459119</v>
      </c>
    </row>
    <row r="499" spans="1:5" x14ac:dyDescent="0.15">
      <c r="A499" s="7">
        <v>492</v>
      </c>
      <c r="B499" s="7">
        <v>0</v>
      </c>
      <c r="C499" s="7">
        <f t="shared" si="25"/>
        <v>0.75583605794746755</v>
      </c>
      <c r="D499" s="7">
        <f t="shared" si="26"/>
        <v>0.75586047434167281</v>
      </c>
      <c r="E499" s="7">
        <f t="shared" si="27"/>
        <v>-0.27989847758459119</v>
      </c>
    </row>
    <row r="500" spans="1:5" x14ac:dyDescent="0.15">
      <c r="A500" s="7">
        <v>493</v>
      </c>
      <c r="B500" s="7">
        <v>0</v>
      </c>
      <c r="C500" s="7">
        <f t="shared" si="25"/>
        <v>0.75583605794746755</v>
      </c>
      <c r="D500" s="7">
        <f t="shared" si="26"/>
        <v>0.75586047434167281</v>
      </c>
      <c r="E500" s="7">
        <f t="shared" si="27"/>
        <v>-0.27989847758459119</v>
      </c>
    </row>
    <row r="501" spans="1:5" x14ac:dyDescent="0.15">
      <c r="A501" s="7">
        <v>494</v>
      </c>
      <c r="B501" s="7">
        <v>0</v>
      </c>
      <c r="C501" s="7">
        <f t="shared" si="25"/>
        <v>0.75583605794746755</v>
      </c>
      <c r="D501" s="7">
        <f t="shared" si="26"/>
        <v>0.75586047434167281</v>
      </c>
      <c r="E501" s="7">
        <f t="shared" si="27"/>
        <v>-0.27989847758459119</v>
      </c>
    </row>
    <row r="502" spans="1:5" x14ac:dyDescent="0.15">
      <c r="A502" s="7">
        <v>495</v>
      </c>
      <c r="B502" s="7">
        <v>0</v>
      </c>
      <c r="C502" s="7">
        <f t="shared" si="25"/>
        <v>0.75583605794746755</v>
      </c>
      <c r="D502" s="7">
        <f t="shared" si="26"/>
        <v>0.75586047434167281</v>
      </c>
      <c r="E502" s="7">
        <f t="shared" si="27"/>
        <v>-0.27989847758459119</v>
      </c>
    </row>
    <row r="503" spans="1:5" x14ac:dyDescent="0.15">
      <c r="A503" s="7">
        <v>496</v>
      </c>
      <c r="B503" s="7">
        <v>2</v>
      </c>
      <c r="C503" s="7">
        <f t="shared" si="25"/>
        <v>4.4066701399555049E-2</v>
      </c>
      <c r="D503" s="7">
        <f t="shared" si="26"/>
        <v>4.4062294729415093E-2</v>
      </c>
      <c r="E503" s="7">
        <f t="shared" si="27"/>
        <v>-3.1221508570437044</v>
      </c>
    </row>
    <row r="504" spans="1:5" x14ac:dyDescent="0.15">
      <c r="A504" s="7">
        <v>497</v>
      </c>
      <c r="B504" s="7">
        <v>0</v>
      </c>
      <c r="C504" s="7">
        <f t="shared" si="25"/>
        <v>0.75583605794746755</v>
      </c>
      <c r="D504" s="7">
        <f t="shared" si="26"/>
        <v>0.75586047434167281</v>
      </c>
      <c r="E504" s="7">
        <f t="shared" si="27"/>
        <v>-0.27989847758459119</v>
      </c>
    </row>
    <row r="505" spans="1:5" x14ac:dyDescent="0.15">
      <c r="A505" s="7">
        <v>498</v>
      </c>
      <c r="B505" s="7">
        <v>0</v>
      </c>
      <c r="C505" s="7">
        <f t="shared" si="25"/>
        <v>0.75583605794746755</v>
      </c>
      <c r="D505" s="7">
        <f t="shared" si="26"/>
        <v>0.75586047434167281</v>
      </c>
      <c r="E505" s="7">
        <f t="shared" si="27"/>
        <v>-0.27989847758459119</v>
      </c>
    </row>
    <row r="506" spans="1:5" x14ac:dyDescent="0.15">
      <c r="A506" s="7">
        <v>499</v>
      </c>
      <c r="B506" s="7">
        <v>1</v>
      </c>
      <c r="C506" s="7">
        <f t="shared" si="25"/>
        <v>8.8686757970141181E-2</v>
      </c>
      <c r="D506" s="7">
        <f t="shared" si="26"/>
        <v>8.867788929434417E-2</v>
      </c>
      <c r="E506" s="7">
        <f t="shared" si="27"/>
        <v>-2.4227446958891354</v>
      </c>
    </row>
    <row r="507" spans="1:5" x14ac:dyDescent="0.15">
      <c r="A507" s="7">
        <v>500</v>
      </c>
      <c r="B507" s="7">
        <v>0</v>
      </c>
      <c r="C507" s="7">
        <f t="shared" si="25"/>
        <v>0.75583605794746755</v>
      </c>
      <c r="D507" s="7">
        <f t="shared" si="26"/>
        <v>0.75586047434167281</v>
      </c>
      <c r="E507" s="7">
        <f t="shared" si="27"/>
        <v>-0.27989847758459119</v>
      </c>
    </row>
    <row r="508" spans="1:5" x14ac:dyDescent="0.15">
      <c r="A508" s="7">
        <v>501</v>
      </c>
      <c r="B508" s="7">
        <v>0</v>
      </c>
      <c r="C508" s="7">
        <f t="shared" si="25"/>
        <v>0.75583605794746755</v>
      </c>
      <c r="D508" s="7">
        <f t="shared" si="26"/>
        <v>0.75586047434167281</v>
      </c>
      <c r="E508" s="7">
        <f t="shared" si="27"/>
        <v>-0.27989847758459119</v>
      </c>
    </row>
    <row r="509" spans="1:5" x14ac:dyDescent="0.15">
      <c r="A509" s="7">
        <v>502</v>
      </c>
      <c r="B509" s="7">
        <v>0</v>
      </c>
      <c r="C509" s="7">
        <f t="shared" si="25"/>
        <v>0.75583605794746755</v>
      </c>
      <c r="D509" s="7">
        <f t="shared" si="26"/>
        <v>0.75586047434167281</v>
      </c>
      <c r="E509" s="7">
        <f t="shared" si="27"/>
        <v>-0.27989847758459119</v>
      </c>
    </row>
    <row r="510" spans="1:5" x14ac:dyDescent="0.15">
      <c r="A510" s="7">
        <v>503</v>
      </c>
      <c r="B510" s="7">
        <v>0</v>
      </c>
      <c r="C510" s="7">
        <f t="shared" si="25"/>
        <v>0.75583605794746755</v>
      </c>
      <c r="D510" s="7">
        <f t="shared" si="26"/>
        <v>0.75586047434167281</v>
      </c>
      <c r="E510" s="7">
        <f t="shared" si="27"/>
        <v>-0.27989847758459119</v>
      </c>
    </row>
    <row r="511" spans="1:5" x14ac:dyDescent="0.15">
      <c r="A511" s="7">
        <v>504</v>
      </c>
      <c r="B511" s="7">
        <v>0</v>
      </c>
      <c r="C511" s="7">
        <f t="shared" si="25"/>
        <v>0.75583605794746755</v>
      </c>
      <c r="D511" s="7">
        <f t="shared" si="26"/>
        <v>0.75586047434167281</v>
      </c>
      <c r="E511" s="7">
        <f t="shared" si="27"/>
        <v>-0.27989847758459119</v>
      </c>
    </row>
    <row r="512" spans="1:5" x14ac:dyDescent="0.15">
      <c r="A512" s="7">
        <v>505</v>
      </c>
      <c r="B512" s="7">
        <v>0</v>
      </c>
      <c r="C512" s="7">
        <f t="shared" si="25"/>
        <v>0.75583605794746755</v>
      </c>
      <c r="D512" s="7">
        <f t="shared" si="26"/>
        <v>0.75586047434167281</v>
      </c>
      <c r="E512" s="7">
        <f t="shared" si="27"/>
        <v>-0.27989847758459119</v>
      </c>
    </row>
    <row r="513" spans="1:5" x14ac:dyDescent="0.15">
      <c r="A513" s="7">
        <v>506</v>
      </c>
      <c r="B513" s="7">
        <v>0</v>
      </c>
      <c r="C513" s="7">
        <f t="shared" si="25"/>
        <v>0.75583605794746755</v>
      </c>
      <c r="D513" s="7">
        <f t="shared" si="26"/>
        <v>0.75586047434167281</v>
      </c>
      <c r="E513" s="7">
        <f t="shared" si="27"/>
        <v>-0.27989847758459119</v>
      </c>
    </row>
    <row r="514" spans="1:5" x14ac:dyDescent="0.15">
      <c r="A514" s="7">
        <v>507</v>
      </c>
      <c r="B514" s="7">
        <v>3</v>
      </c>
      <c r="C514" s="7">
        <f t="shared" si="25"/>
        <v>2.7470963680778882E-2</v>
      </c>
      <c r="D514" s="7">
        <f t="shared" si="26"/>
        <v>2.7468216584410805E-2</v>
      </c>
      <c r="E514" s="7">
        <f t="shared" si="27"/>
        <v>-3.5947257032827968</v>
      </c>
    </row>
    <row r="515" spans="1:5" x14ac:dyDescent="0.15">
      <c r="A515" s="7">
        <v>508</v>
      </c>
      <c r="B515" s="7">
        <v>0</v>
      </c>
      <c r="C515" s="7">
        <f t="shared" si="25"/>
        <v>0.75583605794746755</v>
      </c>
      <c r="D515" s="7">
        <f t="shared" si="26"/>
        <v>0.75586047434167281</v>
      </c>
      <c r="E515" s="7">
        <f t="shared" si="27"/>
        <v>-0.27989847758459119</v>
      </c>
    </row>
    <row r="516" spans="1:5" x14ac:dyDescent="0.15">
      <c r="A516" s="7">
        <v>509</v>
      </c>
      <c r="B516" s="7">
        <v>0</v>
      </c>
      <c r="C516" s="7">
        <f t="shared" si="25"/>
        <v>0.75583605794746755</v>
      </c>
      <c r="D516" s="7">
        <f t="shared" si="26"/>
        <v>0.75586047434167281</v>
      </c>
      <c r="E516" s="7">
        <f t="shared" si="27"/>
        <v>-0.27989847758459119</v>
      </c>
    </row>
    <row r="517" spans="1:5" x14ac:dyDescent="0.15">
      <c r="A517" s="7">
        <v>510</v>
      </c>
      <c r="B517" s="7">
        <v>0</v>
      </c>
      <c r="C517" s="7">
        <f t="shared" si="25"/>
        <v>0.75583605794746755</v>
      </c>
      <c r="D517" s="7">
        <f t="shared" si="26"/>
        <v>0.75586047434167281</v>
      </c>
      <c r="E517" s="7">
        <f t="shared" si="27"/>
        <v>-0.27989847758459119</v>
      </c>
    </row>
    <row r="518" spans="1:5" x14ac:dyDescent="0.15">
      <c r="A518" s="7">
        <v>511</v>
      </c>
      <c r="B518" s="7">
        <v>0</v>
      </c>
      <c r="C518" s="7">
        <f t="shared" si="25"/>
        <v>0.75583605794746755</v>
      </c>
      <c r="D518" s="7">
        <f t="shared" si="26"/>
        <v>0.75586047434167281</v>
      </c>
      <c r="E518" s="7">
        <f t="shared" si="27"/>
        <v>-0.27989847758459119</v>
      </c>
    </row>
    <row r="519" spans="1:5" x14ac:dyDescent="0.15">
      <c r="A519" s="7">
        <v>512</v>
      </c>
      <c r="B519" s="7">
        <v>0</v>
      </c>
      <c r="C519" s="7">
        <f t="shared" si="25"/>
        <v>0.75583605794746755</v>
      </c>
      <c r="D519" s="7">
        <f t="shared" si="26"/>
        <v>0.75586047434167281</v>
      </c>
      <c r="E519" s="7">
        <f t="shared" si="27"/>
        <v>-0.27989847758459119</v>
      </c>
    </row>
    <row r="520" spans="1:5" x14ac:dyDescent="0.15">
      <c r="A520" s="7">
        <v>513</v>
      </c>
      <c r="B520" s="7">
        <v>2</v>
      </c>
      <c r="C520" s="7">
        <f t="shared" si="25"/>
        <v>4.4066701399555049E-2</v>
      </c>
      <c r="D520" s="7">
        <f t="shared" si="26"/>
        <v>4.4062294729415093E-2</v>
      </c>
      <c r="E520" s="7">
        <f t="shared" si="27"/>
        <v>-3.1221508570437044</v>
      </c>
    </row>
    <row r="521" spans="1:5" x14ac:dyDescent="0.15">
      <c r="A521" s="7">
        <v>514</v>
      </c>
      <c r="B521" s="7">
        <v>2</v>
      </c>
      <c r="C521" s="7">
        <f t="shared" ref="C521:C584" si="28">(_xlfn.GAMMA($B$1+B521)/(_xlfn.GAMMA($B$1)*FACT(B521))) * ($B$2/($B$2+$B$5))^$B$1 * (1/($B$2 +$B$5))^B521</f>
        <v>4.4066701399555049E-2</v>
      </c>
      <c r="D521" s="7">
        <f t="shared" ref="D521:D584" si="29" xml:space="preserve"> IF(B521 = 0, $B$3 + (1-$B$3) * C521, (1-$B$3) *C521)</f>
        <v>4.4062294729415093E-2</v>
      </c>
      <c r="E521" s="7">
        <f t="shared" ref="E521:E584" si="30">LN(D521)</f>
        <v>-3.1221508570437044</v>
      </c>
    </row>
    <row r="522" spans="1:5" x14ac:dyDescent="0.15">
      <c r="A522" s="7">
        <v>515</v>
      </c>
      <c r="B522" s="7">
        <v>1</v>
      </c>
      <c r="C522" s="7">
        <f t="shared" si="28"/>
        <v>8.8686757970141181E-2</v>
      </c>
      <c r="D522" s="7">
        <f t="shared" si="29"/>
        <v>8.867788929434417E-2</v>
      </c>
      <c r="E522" s="7">
        <f t="shared" si="30"/>
        <v>-2.4227446958891354</v>
      </c>
    </row>
    <row r="523" spans="1:5" x14ac:dyDescent="0.15">
      <c r="A523" s="7">
        <v>516</v>
      </c>
      <c r="B523" s="7">
        <v>16</v>
      </c>
      <c r="C523" s="7">
        <f t="shared" si="28"/>
        <v>1.1792932174368418E-3</v>
      </c>
      <c r="D523" s="7">
        <f t="shared" si="29"/>
        <v>1.1791752881150982E-3</v>
      </c>
      <c r="E523" s="7">
        <f t="shared" si="30"/>
        <v>-6.7429399932319178</v>
      </c>
    </row>
    <row r="524" spans="1:5" x14ac:dyDescent="0.15">
      <c r="A524" s="7">
        <v>517</v>
      </c>
      <c r="B524" s="7">
        <v>0</v>
      </c>
      <c r="C524" s="7">
        <f t="shared" si="28"/>
        <v>0.75583605794746755</v>
      </c>
      <c r="D524" s="7">
        <f t="shared" si="29"/>
        <v>0.75586047434167281</v>
      </c>
      <c r="E524" s="7">
        <f t="shared" si="30"/>
        <v>-0.27989847758459119</v>
      </c>
    </row>
    <row r="525" spans="1:5" x14ac:dyDescent="0.15">
      <c r="A525" s="7">
        <v>518</v>
      </c>
      <c r="B525" s="7">
        <v>0</v>
      </c>
      <c r="C525" s="7">
        <f t="shared" si="28"/>
        <v>0.75583605794746755</v>
      </c>
      <c r="D525" s="7">
        <f t="shared" si="29"/>
        <v>0.75586047434167281</v>
      </c>
      <c r="E525" s="7">
        <f t="shared" si="30"/>
        <v>-0.27989847758459119</v>
      </c>
    </row>
    <row r="526" spans="1:5" x14ac:dyDescent="0.15">
      <c r="A526" s="7">
        <v>519</v>
      </c>
      <c r="B526" s="7">
        <v>5</v>
      </c>
      <c r="C526" s="7">
        <f t="shared" si="28"/>
        <v>1.366826244062944E-2</v>
      </c>
      <c r="D526" s="7">
        <f t="shared" si="29"/>
        <v>1.3666895614385376E-2</v>
      </c>
      <c r="E526" s="7">
        <f t="shared" si="30"/>
        <v>-4.2927787488141558</v>
      </c>
    </row>
    <row r="527" spans="1:5" x14ac:dyDescent="0.15">
      <c r="A527" s="7">
        <v>520</v>
      </c>
      <c r="B527" s="7">
        <v>0</v>
      </c>
      <c r="C527" s="7">
        <f t="shared" si="28"/>
        <v>0.75583605794746755</v>
      </c>
      <c r="D527" s="7">
        <f t="shared" si="29"/>
        <v>0.75586047434167281</v>
      </c>
      <c r="E527" s="7">
        <f t="shared" si="30"/>
        <v>-0.27989847758459119</v>
      </c>
    </row>
    <row r="528" spans="1:5" x14ac:dyDescent="0.15">
      <c r="A528" s="7">
        <v>521</v>
      </c>
      <c r="B528" s="7">
        <v>0</v>
      </c>
      <c r="C528" s="7">
        <f t="shared" si="28"/>
        <v>0.75583605794746755</v>
      </c>
      <c r="D528" s="7">
        <f t="shared" si="29"/>
        <v>0.75586047434167281</v>
      </c>
      <c r="E528" s="7">
        <f t="shared" si="30"/>
        <v>-0.27989847758459119</v>
      </c>
    </row>
    <row r="529" spans="1:5" x14ac:dyDescent="0.15">
      <c r="A529" s="7">
        <v>522</v>
      </c>
      <c r="B529" s="7">
        <v>1</v>
      </c>
      <c r="C529" s="7">
        <f t="shared" si="28"/>
        <v>8.8686757970141181E-2</v>
      </c>
      <c r="D529" s="7">
        <f t="shared" si="29"/>
        <v>8.867788929434417E-2</v>
      </c>
      <c r="E529" s="7">
        <f t="shared" si="30"/>
        <v>-2.4227446958891354</v>
      </c>
    </row>
    <row r="530" spans="1:5" x14ac:dyDescent="0.15">
      <c r="A530" s="7">
        <v>523</v>
      </c>
      <c r="B530" s="7">
        <v>0</v>
      </c>
      <c r="C530" s="7">
        <f t="shared" si="28"/>
        <v>0.75583605794746755</v>
      </c>
      <c r="D530" s="7">
        <f t="shared" si="29"/>
        <v>0.75586047434167281</v>
      </c>
      <c r="E530" s="7">
        <f t="shared" si="30"/>
        <v>-0.27989847758459119</v>
      </c>
    </row>
    <row r="531" spans="1:5" x14ac:dyDescent="0.15">
      <c r="A531" s="7">
        <v>524</v>
      </c>
      <c r="B531" s="7">
        <v>0</v>
      </c>
      <c r="C531" s="7">
        <f t="shared" si="28"/>
        <v>0.75583605794746755</v>
      </c>
      <c r="D531" s="7">
        <f t="shared" si="29"/>
        <v>0.75586047434167281</v>
      </c>
      <c r="E531" s="7">
        <f t="shared" si="30"/>
        <v>-0.27989847758459119</v>
      </c>
    </row>
    <row r="532" spans="1:5" x14ac:dyDescent="0.15">
      <c r="A532" s="7">
        <v>525</v>
      </c>
      <c r="B532" s="7">
        <v>0</v>
      </c>
      <c r="C532" s="7">
        <f t="shared" si="28"/>
        <v>0.75583605794746755</v>
      </c>
      <c r="D532" s="7">
        <f t="shared" si="29"/>
        <v>0.75586047434167281</v>
      </c>
      <c r="E532" s="7">
        <f t="shared" si="30"/>
        <v>-0.27989847758459119</v>
      </c>
    </row>
    <row r="533" spans="1:5" x14ac:dyDescent="0.15">
      <c r="A533" s="7">
        <v>526</v>
      </c>
      <c r="B533" s="7">
        <v>1</v>
      </c>
      <c r="C533" s="7">
        <f t="shared" si="28"/>
        <v>8.8686757970141181E-2</v>
      </c>
      <c r="D533" s="7">
        <f t="shared" si="29"/>
        <v>8.867788929434417E-2</v>
      </c>
      <c r="E533" s="7">
        <f t="shared" si="30"/>
        <v>-2.4227446958891354</v>
      </c>
    </row>
    <row r="534" spans="1:5" x14ac:dyDescent="0.15">
      <c r="A534" s="7">
        <v>527</v>
      </c>
      <c r="B534" s="7">
        <v>0</v>
      </c>
      <c r="C534" s="7">
        <f t="shared" si="28"/>
        <v>0.75583605794746755</v>
      </c>
      <c r="D534" s="7">
        <f t="shared" si="29"/>
        <v>0.75586047434167281</v>
      </c>
      <c r="E534" s="7">
        <f t="shared" si="30"/>
        <v>-0.27989847758459119</v>
      </c>
    </row>
    <row r="535" spans="1:5" x14ac:dyDescent="0.15">
      <c r="A535" s="7">
        <v>528</v>
      </c>
      <c r="B535" s="7">
        <v>0</v>
      </c>
      <c r="C535" s="7">
        <f t="shared" si="28"/>
        <v>0.75583605794746755</v>
      </c>
      <c r="D535" s="7">
        <f t="shared" si="29"/>
        <v>0.75586047434167281</v>
      </c>
      <c r="E535" s="7">
        <f t="shared" si="30"/>
        <v>-0.27989847758459119</v>
      </c>
    </row>
    <row r="536" spans="1:5" x14ac:dyDescent="0.15">
      <c r="A536" s="7">
        <v>529</v>
      </c>
      <c r="B536" s="7">
        <v>0</v>
      </c>
      <c r="C536" s="7">
        <f t="shared" si="28"/>
        <v>0.75583605794746755</v>
      </c>
      <c r="D536" s="7">
        <f t="shared" si="29"/>
        <v>0.75586047434167281</v>
      </c>
      <c r="E536" s="7">
        <f t="shared" si="30"/>
        <v>-0.27989847758459119</v>
      </c>
    </row>
    <row r="537" spans="1:5" x14ac:dyDescent="0.15">
      <c r="A537" s="7">
        <v>530</v>
      </c>
      <c r="B537" s="7">
        <v>0</v>
      </c>
      <c r="C537" s="7">
        <f t="shared" si="28"/>
        <v>0.75583605794746755</v>
      </c>
      <c r="D537" s="7">
        <f t="shared" si="29"/>
        <v>0.75586047434167281</v>
      </c>
      <c r="E537" s="7">
        <f t="shared" si="30"/>
        <v>-0.27989847758459119</v>
      </c>
    </row>
    <row r="538" spans="1:5" x14ac:dyDescent="0.15">
      <c r="A538" s="7">
        <v>531</v>
      </c>
      <c r="B538" s="7">
        <v>0</v>
      </c>
      <c r="C538" s="7">
        <f t="shared" si="28"/>
        <v>0.75583605794746755</v>
      </c>
      <c r="D538" s="7">
        <f t="shared" si="29"/>
        <v>0.75586047434167281</v>
      </c>
      <c r="E538" s="7">
        <f t="shared" si="30"/>
        <v>-0.27989847758459119</v>
      </c>
    </row>
    <row r="539" spans="1:5" x14ac:dyDescent="0.15">
      <c r="A539" s="7">
        <v>532</v>
      </c>
      <c r="B539" s="7">
        <v>0</v>
      </c>
      <c r="C539" s="7">
        <f t="shared" si="28"/>
        <v>0.75583605794746755</v>
      </c>
      <c r="D539" s="7">
        <f t="shared" si="29"/>
        <v>0.75586047434167281</v>
      </c>
      <c r="E539" s="7">
        <f t="shared" si="30"/>
        <v>-0.27989847758459119</v>
      </c>
    </row>
    <row r="540" spans="1:5" x14ac:dyDescent="0.15">
      <c r="A540" s="7">
        <v>533</v>
      </c>
      <c r="B540" s="7">
        <v>0</v>
      </c>
      <c r="C540" s="7">
        <f t="shared" si="28"/>
        <v>0.75583605794746755</v>
      </c>
      <c r="D540" s="7">
        <f t="shared" si="29"/>
        <v>0.75586047434167281</v>
      </c>
      <c r="E540" s="7">
        <f t="shared" si="30"/>
        <v>-0.27989847758459119</v>
      </c>
    </row>
    <row r="541" spans="1:5" x14ac:dyDescent="0.15">
      <c r="A541" s="7">
        <v>534</v>
      </c>
      <c r="B541" s="7">
        <v>0</v>
      </c>
      <c r="C541" s="7">
        <f t="shared" si="28"/>
        <v>0.75583605794746755</v>
      </c>
      <c r="D541" s="7">
        <f t="shared" si="29"/>
        <v>0.75586047434167281</v>
      </c>
      <c r="E541" s="7">
        <f t="shared" si="30"/>
        <v>-0.27989847758459119</v>
      </c>
    </row>
    <row r="542" spans="1:5" x14ac:dyDescent="0.15">
      <c r="A542" s="7">
        <v>535</v>
      </c>
      <c r="B542" s="7">
        <v>0</v>
      </c>
      <c r="C542" s="7">
        <f t="shared" si="28"/>
        <v>0.75583605794746755</v>
      </c>
      <c r="D542" s="7">
        <f t="shared" si="29"/>
        <v>0.75586047434167281</v>
      </c>
      <c r="E542" s="7">
        <f t="shared" si="30"/>
        <v>-0.27989847758459119</v>
      </c>
    </row>
    <row r="543" spans="1:5" x14ac:dyDescent="0.15">
      <c r="A543" s="7">
        <v>536</v>
      </c>
      <c r="B543" s="7">
        <v>0</v>
      </c>
      <c r="C543" s="7">
        <f t="shared" si="28"/>
        <v>0.75583605794746755</v>
      </c>
      <c r="D543" s="7">
        <f t="shared" si="29"/>
        <v>0.75586047434167281</v>
      </c>
      <c r="E543" s="7">
        <f t="shared" si="30"/>
        <v>-0.27989847758459119</v>
      </c>
    </row>
    <row r="544" spans="1:5" x14ac:dyDescent="0.15">
      <c r="A544" s="7">
        <v>537</v>
      </c>
      <c r="B544" s="7">
        <v>0</v>
      </c>
      <c r="C544" s="7">
        <f t="shared" si="28"/>
        <v>0.75583605794746755</v>
      </c>
      <c r="D544" s="7">
        <f t="shared" si="29"/>
        <v>0.75586047434167281</v>
      </c>
      <c r="E544" s="7">
        <f t="shared" si="30"/>
        <v>-0.27989847758459119</v>
      </c>
    </row>
    <row r="545" spans="1:5" x14ac:dyDescent="0.15">
      <c r="A545" s="7">
        <v>538</v>
      </c>
      <c r="B545" s="7">
        <v>0</v>
      </c>
      <c r="C545" s="7">
        <f t="shared" si="28"/>
        <v>0.75583605794746755</v>
      </c>
      <c r="D545" s="7">
        <f t="shared" si="29"/>
        <v>0.75586047434167281</v>
      </c>
      <c r="E545" s="7">
        <f t="shared" si="30"/>
        <v>-0.27989847758459119</v>
      </c>
    </row>
    <row r="546" spans="1:5" x14ac:dyDescent="0.15">
      <c r="A546" s="7">
        <v>539</v>
      </c>
      <c r="B546" s="7">
        <v>0</v>
      </c>
      <c r="C546" s="7">
        <f t="shared" si="28"/>
        <v>0.75583605794746755</v>
      </c>
      <c r="D546" s="7">
        <f t="shared" si="29"/>
        <v>0.75586047434167281</v>
      </c>
      <c r="E546" s="7">
        <f t="shared" si="30"/>
        <v>-0.27989847758459119</v>
      </c>
    </row>
    <row r="547" spans="1:5" x14ac:dyDescent="0.15">
      <c r="A547" s="7">
        <v>540</v>
      </c>
      <c r="B547" s="7">
        <v>1</v>
      </c>
      <c r="C547" s="7">
        <f t="shared" si="28"/>
        <v>8.8686757970141181E-2</v>
      </c>
      <c r="D547" s="7">
        <f t="shared" si="29"/>
        <v>8.867788929434417E-2</v>
      </c>
      <c r="E547" s="7">
        <f t="shared" si="30"/>
        <v>-2.4227446958891354</v>
      </c>
    </row>
    <row r="548" spans="1:5" x14ac:dyDescent="0.15">
      <c r="A548" s="7">
        <v>541</v>
      </c>
      <c r="B548" s="7">
        <v>2</v>
      </c>
      <c r="C548" s="7">
        <f t="shared" si="28"/>
        <v>4.4066701399555049E-2</v>
      </c>
      <c r="D548" s="7">
        <f t="shared" si="29"/>
        <v>4.4062294729415093E-2</v>
      </c>
      <c r="E548" s="7">
        <f t="shared" si="30"/>
        <v>-3.1221508570437044</v>
      </c>
    </row>
    <row r="549" spans="1:5" x14ac:dyDescent="0.15">
      <c r="A549" s="7">
        <v>542</v>
      </c>
      <c r="B549" s="7">
        <v>10</v>
      </c>
      <c r="C549" s="7">
        <f t="shared" si="28"/>
        <v>3.9008948573815809E-3</v>
      </c>
      <c r="D549" s="7">
        <f t="shared" si="29"/>
        <v>3.9005047678958428E-3</v>
      </c>
      <c r="E549" s="7">
        <f t="shared" si="30"/>
        <v>-5.546649306555973</v>
      </c>
    </row>
    <row r="550" spans="1:5" x14ac:dyDescent="0.15">
      <c r="A550" s="7">
        <v>543</v>
      </c>
      <c r="B550" s="7">
        <v>16</v>
      </c>
      <c r="C550" s="7">
        <f t="shared" si="28"/>
        <v>1.1792932174368418E-3</v>
      </c>
      <c r="D550" s="7">
        <f t="shared" si="29"/>
        <v>1.1791752881150982E-3</v>
      </c>
      <c r="E550" s="7">
        <f t="shared" si="30"/>
        <v>-6.7429399932319178</v>
      </c>
    </row>
    <row r="551" spans="1:5" x14ac:dyDescent="0.15">
      <c r="A551" s="7">
        <v>544</v>
      </c>
      <c r="B551" s="7">
        <v>0</v>
      </c>
      <c r="C551" s="7">
        <f t="shared" si="28"/>
        <v>0.75583605794746755</v>
      </c>
      <c r="D551" s="7">
        <f t="shared" si="29"/>
        <v>0.75586047434167281</v>
      </c>
      <c r="E551" s="7">
        <f t="shared" si="30"/>
        <v>-0.27989847758459119</v>
      </c>
    </row>
    <row r="552" spans="1:5" x14ac:dyDescent="0.15">
      <c r="A552" s="7">
        <v>545</v>
      </c>
      <c r="B552" s="7">
        <v>1</v>
      </c>
      <c r="C552" s="7">
        <f t="shared" si="28"/>
        <v>8.8686757970141181E-2</v>
      </c>
      <c r="D552" s="7">
        <f t="shared" si="29"/>
        <v>8.867788929434417E-2</v>
      </c>
      <c r="E552" s="7">
        <f t="shared" si="30"/>
        <v>-2.4227446958891354</v>
      </c>
    </row>
    <row r="553" spans="1:5" x14ac:dyDescent="0.15">
      <c r="A553" s="7">
        <v>546</v>
      </c>
      <c r="B553" s="7">
        <v>5</v>
      </c>
      <c r="C553" s="7">
        <f t="shared" si="28"/>
        <v>1.366826244062944E-2</v>
      </c>
      <c r="D553" s="7">
        <f t="shared" si="29"/>
        <v>1.3666895614385376E-2</v>
      </c>
      <c r="E553" s="7">
        <f t="shared" si="30"/>
        <v>-4.2927787488141558</v>
      </c>
    </row>
    <row r="554" spans="1:5" x14ac:dyDescent="0.15">
      <c r="A554" s="7">
        <v>547</v>
      </c>
      <c r="B554" s="7">
        <v>0</v>
      </c>
      <c r="C554" s="7">
        <f t="shared" si="28"/>
        <v>0.75583605794746755</v>
      </c>
      <c r="D554" s="7">
        <f t="shared" si="29"/>
        <v>0.75586047434167281</v>
      </c>
      <c r="E554" s="7">
        <f t="shared" si="30"/>
        <v>-0.27989847758459119</v>
      </c>
    </row>
    <row r="555" spans="1:5" x14ac:dyDescent="0.15">
      <c r="A555" s="7">
        <v>548</v>
      </c>
      <c r="B555" s="7">
        <v>1</v>
      </c>
      <c r="C555" s="7">
        <f t="shared" si="28"/>
        <v>8.8686757970141181E-2</v>
      </c>
      <c r="D555" s="7">
        <f t="shared" si="29"/>
        <v>8.867788929434417E-2</v>
      </c>
      <c r="E555" s="7">
        <f t="shared" si="30"/>
        <v>-2.4227446958891354</v>
      </c>
    </row>
    <row r="556" spans="1:5" x14ac:dyDescent="0.15">
      <c r="A556" s="7">
        <v>549</v>
      </c>
      <c r="B556" s="7">
        <v>0</v>
      </c>
      <c r="C556" s="7">
        <f t="shared" si="28"/>
        <v>0.75583605794746755</v>
      </c>
      <c r="D556" s="7">
        <f t="shared" si="29"/>
        <v>0.75586047434167281</v>
      </c>
      <c r="E556" s="7">
        <f t="shared" si="30"/>
        <v>-0.27989847758459119</v>
      </c>
    </row>
    <row r="557" spans="1:5" x14ac:dyDescent="0.15">
      <c r="A557" s="7">
        <v>550</v>
      </c>
      <c r="B557" s="7">
        <v>0</v>
      </c>
      <c r="C557" s="7">
        <f t="shared" si="28"/>
        <v>0.75583605794746755</v>
      </c>
      <c r="D557" s="7">
        <f t="shared" si="29"/>
        <v>0.75586047434167281</v>
      </c>
      <c r="E557" s="7">
        <f t="shared" si="30"/>
        <v>-0.27989847758459119</v>
      </c>
    </row>
    <row r="558" spans="1:5" x14ac:dyDescent="0.15">
      <c r="A558" s="7">
        <v>551</v>
      </c>
      <c r="B558" s="7">
        <v>0</v>
      </c>
      <c r="C558" s="7">
        <f t="shared" si="28"/>
        <v>0.75583605794746755</v>
      </c>
      <c r="D558" s="7">
        <f t="shared" si="29"/>
        <v>0.75586047434167281</v>
      </c>
      <c r="E558" s="7">
        <f t="shared" si="30"/>
        <v>-0.27989847758459119</v>
      </c>
    </row>
    <row r="559" spans="1:5" x14ac:dyDescent="0.15">
      <c r="A559" s="7">
        <v>552</v>
      </c>
      <c r="B559" s="7">
        <v>5</v>
      </c>
      <c r="C559" s="7">
        <f t="shared" si="28"/>
        <v>1.366826244062944E-2</v>
      </c>
      <c r="D559" s="7">
        <f t="shared" si="29"/>
        <v>1.3666895614385376E-2</v>
      </c>
      <c r="E559" s="7">
        <f t="shared" si="30"/>
        <v>-4.2927787488141558</v>
      </c>
    </row>
    <row r="560" spans="1:5" x14ac:dyDescent="0.15">
      <c r="A560" s="7">
        <v>553</v>
      </c>
      <c r="B560" s="7">
        <v>0</v>
      </c>
      <c r="C560" s="7">
        <f t="shared" si="28"/>
        <v>0.75583605794746755</v>
      </c>
      <c r="D560" s="7">
        <f t="shared" si="29"/>
        <v>0.75586047434167281</v>
      </c>
      <c r="E560" s="7">
        <f t="shared" si="30"/>
        <v>-0.27989847758459119</v>
      </c>
    </row>
    <row r="561" spans="1:5" x14ac:dyDescent="0.15">
      <c r="A561" s="7">
        <v>554</v>
      </c>
      <c r="B561" s="7">
        <v>0</v>
      </c>
      <c r="C561" s="7">
        <f t="shared" si="28"/>
        <v>0.75583605794746755</v>
      </c>
      <c r="D561" s="7">
        <f t="shared" si="29"/>
        <v>0.75586047434167281</v>
      </c>
      <c r="E561" s="7">
        <f t="shared" si="30"/>
        <v>-0.27989847758459119</v>
      </c>
    </row>
    <row r="562" spans="1:5" x14ac:dyDescent="0.15">
      <c r="A562" s="7">
        <v>555</v>
      </c>
      <c r="B562" s="7">
        <v>0</v>
      </c>
      <c r="C562" s="7">
        <f t="shared" si="28"/>
        <v>0.75583605794746755</v>
      </c>
      <c r="D562" s="7">
        <f t="shared" si="29"/>
        <v>0.75586047434167281</v>
      </c>
      <c r="E562" s="7">
        <f t="shared" si="30"/>
        <v>-0.27989847758459119</v>
      </c>
    </row>
    <row r="563" spans="1:5" x14ac:dyDescent="0.15">
      <c r="A563" s="7">
        <v>556</v>
      </c>
      <c r="B563" s="7">
        <v>0</v>
      </c>
      <c r="C563" s="7">
        <f t="shared" si="28"/>
        <v>0.75583605794746755</v>
      </c>
      <c r="D563" s="7">
        <f t="shared" si="29"/>
        <v>0.75586047434167281</v>
      </c>
      <c r="E563" s="7">
        <f t="shared" si="30"/>
        <v>-0.27989847758459119</v>
      </c>
    </row>
    <row r="564" spans="1:5" x14ac:dyDescent="0.15">
      <c r="A564" s="7">
        <v>557</v>
      </c>
      <c r="B564" s="7">
        <v>1</v>
      </c>
      <c r="C564" s="7">
        <f t="shared" si="28"/>
        <v>8.8686757970141181E-2</v>
      </c>
      <c r="D564" s="7">
        <f t="shared" si="29"/>
        <v>8.867788929434417E-2</v>
      </c>
      <c r="E564" s="7">
        <f t="shared" si="30"/>
        <v>-2.4227446958891354</v>
      </c>
    </row>
    <row r="565" spans="1:5" x14ac:dyDescent="0.15">
      <c r="A565" s="7">
        <v>558</v>
      </c>
      <c r="B565" s="7">
        <v>0</v>
      </c>
      <c r="C565" s="7">
        <f t="shared" si="28"/>
        <v>0.75583605794746755</v>
      </c>
      <c r="D565" s="7">
        <f t="shared" si="29"/>
        <v>0.75586047434167281</v>
      </c>
      <c r="E565" s="7">
        <f t="shared" si="30"/>
        <v>-0.27989847758459119</v>
      </c>
    </row>
    <row r="566" spans="1:5" x14ac:dyDescent="0.15">
      <c r="A566" s="7">
        <v>559</v>
      </c>
      <c r="B566" s="7">
        <v>3</v>
      </c>
      <c r="C566" s="7">
        <f t="shared" si="28"/>
        <v>2.7470963680778882E-2</v>
      </c>
      <c r="D566" s="7">
        <f t="shared" si="29"/>
        <v>2.7468216584410805E-2</v>
      </c>
      <c r="E566" s="7">
        <f t="shared" si="30"/>
        <v>-3.5947257032827968</v>
      </c>
    </row>
    <row r="567" spans="1:5" x14ac:dyDescent="0.15">
      <c r="A567" s="7">
        <v>560</v>
      </c>
      <c r="B567" s="7">
        <v>0</v>
      </c>
      <c r="C567" s="7">
        <f t="shared" si="28"/>
        <v>0.75583605794746755</v>
      </c>
      <c r="D567" s="7">
        <f t="shared" si="29"/>
        <v>0.75586047434167281</v>
      </c>
      <c r="E567" s="7">
        <f t="shared" si="30"/>
        <v>-0.27989847758459119</v>
      </c>
    </row>
    <row r="568" spans="1:5" x14ac:dyDescent="0.15">
      <c r="A568" s="7">
        <v>561</v>
      </c>
      <c r="B568" s="7">
        <v>0</v>
      </c>
      <c r="C568" s="7">
        <f t="shared" si="28"/>
        <v>0.75583605794746755</v>
      </c>
      <c r="D568" s="7">
        <f t="shared" si="29"/>
        <v>0.75586047434167281</v>
      </c>
      <c r="E568" s="7">
        <f t="shared" si="30"/>
        <v>-0.27989847758459119</v>
      </c>
    </row>
    <row r="569" spans="1:5" x14ac:dyDescent="0.15">
      <c r="A569" s="7">
        <v>562</v>
      </c>
      <c r="B569" s="7">
        <v>0</v>
      </c>
      <c r="C569" s="7">
        <f t="shared" si="28"/>
        <v>0.75583605794746755</v>
      </c>
      <c r="D569" s="7">
        <f t="shared" si="29"/>
        <v>0.75586047434167281</v>
      </c>
      <c r="E569" s="7">
        <f t="shared" si="30"/>
        <v>-0.27989847758459119</v>
      </c>
    </row>
    <row r="570" spans="1:5" x14ac:dyDescent="0.15">
      <c r="A570" s="7">
        <v>563</v>
      </c>
      <c r="B570" s="7">
        <v>22</v>
      </c>
      <c r="C570" s="7">
        <f t="shared" si="28"/>
        <v>4.0602915611962279E-4</v>
      </c>
      <c r="D570" s="7">
        <f t="shared" si="29"/>
        <v>4.0598855320401084E-4</v>
      </c>
      <c r="E570" s="7">
        <f t="shared" si="30"/>
        <v>-7.8091855928387934</v>
      </c>
    </row>
    <row r="571" spans="1:5" x14ac:dyDescent="0.15">
      <c r="A571" s="7">
        <v>564</v>
      </c>
      <c r="B571" s="7">
        <v>0</v>
      </c>
      <c r="C571" s="7">
        <f t="shared" si="28"/>
        <v>0.75583605794746755</v>
      </c>
      <c r="D571" s="7">
        <f t="shared" si="29"/>
        <v>0.75586047434167281</v>
      </c>
      <c r="E571" s="7">
        <f t="shared" si="30"/>
        <v>-0.27989847758459119</v>
      </c>
    </row>
    <row r="572" spans="1:5" x14ac:dyDescent="0.15">
      <c r="A572" s="7">
        <v>565</v>
      </c>
      <c r="B572" s="7">
        <v>0</v>
      </c>
      <c r="C572" s="7">
        <f t="shared" si="28"/>
        <v>0.75583605794746755</v>
      </c>
      <c r="D572" s="7">
        <f t="shared" si="29"/>
        <v>0.75586047434167281</v>
      </c>
      <c r="E572" s="7">
        <f t="shared" si="30"/>
        <v>-0.27989847758459119</v>
      </c>
    </row>
    <row r="573" spans="1:5" x14ac:dyDescent="0.15">
      <c r="A573" s="7">
        <v>566</v>
      </c>
      <c r="B573" s="7">
        <v>0</v>
      </c>
      <c r="C573" s="7">
        <f t="shared" si="28"/>
        <v>0.75583605794746755</v>
      </c>
      <c r="D573" s="7">
        <f t="shared" si="29"/>
        <v>0.75586047434167281</v>
      </c>
      <c r="E573" s="7">
        <f t="shared" si="30"/>
        <v>-0.27989847758459119</v>
      </c>
    </row>
    <row r="574" spans="1:5" x14ac:dyDescent="0.15">
      <c r="A574" s="7">
        <v>567</v>
      </c>
      <c r="B574" s="7">
        <v>2</v>
      </c>
      <c r="C574" s="7">
        <f t="shared" si="28"/>
        <v>4.4066701399555049E-2</v>
      </c>
      <c r="D574" s="7">
        <f t="shared" si="29"/>
        <v>4.4062294729415093E-2</v>
      </c>
      <c r="E574" s="7">
        <f t="shared" si="30"/>
        <v>-3.1221508570437044</v>
      </c>
    </row>
    <row r="575" spans="1:5" x14ac:dyDescent="0.15">
      <c r="A575" s="7">
        <v>568</v>
      </c>
      <c r="B575" s="7">
        <v>0</v>
      </c>
      <c r="C575" s="7">
        <f t="shared" si="28"/>
        <v>0.75583605794746755</v>
      </c>
      <c r="D575" s="7">
        <f t="shared" si="29"/>
        <v>0.75586047434167281</v>
      </c>
      <c r="E575" s="7">
        <f t="shared" si="30"/>
        <v>-0.27989847758459119</v>
      </c>
    </row>
    <row r="576" spans="1:5" x14ac:dyDescent="0.15">
      <c r="A576" s="7">
        <v>569</v>
      </c>
      <c r="B576" s="7">
        <v>3</v>
      </c>
      <c r="C576" s="7">
        <f t="shared" si="28"/>
        <v>2.7470963680778882E-2</v>
      </c>
      <c r="D576" s="7">
        <f t="shared" si="29"/>
        <v>2.7468216584410805E-2</v>
      </c>
      <c r="E576" s="7">
        <f t="shared" si="30"/>
        <v>-3.5947257032827968</v>
      </c>
    </row>
    <row r="577" spans="1:5" x14ac:dyDescent="0.15">
      <c r="A577" s="7">
        <v>570</v>
      </c>
      <c r="B577" s="7">
        <v>0</v>
      </c>
      <c r="C577" s="7">
        <f t="shared" si="28"/>
        <v>0.75583605794746755</v>
      </c>
      <c r="D577" s="7">
        <f t="shared" si="29"/>
        <v>0.75586047434167281</v>
      </c>
      <c r="E577" s="7">
        <f t="shared" si="30"/>
        <v>-0.27989847758459119</v>
      </c>
    </row>
    <row r="578" spans="1:5" x14ac:dyDescent="0.15">
      <c r="A578" s="7">
        <v>571</v>
      </c>
      <c r="B578" s="7">
        <v>0</v>
      </c>
      <c r="C578" s="7">
        <f t="shared" si="28"/>
        <v>0.75583605794746755</v>
      </c>
      <c r="D578" s="7">
        <f t="shared" si="29"/>
        <v>0.75586047434167281</v>
      </c>
      <c r="E578" s="7">
        <f t="shared" si="30"/>
        <v>-0.27989847758459119</v>
      </c>
    </row>
    <row r="579" spans="1:5" x14ac:dyDescent="0.15">
      <c r="A579" s="7">
        <v>572</v>
      </c>
      <c r="B579" s="7">
        <v>0</v>
      </c>
      <c r="C579" s="7">
        <f t="shared" si="28"/>
        <v>0.75583605794746755</v>
      </c>
      <c r="D579" s="7">
        <f t="shared" si="29"/>
        <v>0.75586047434167281</v>
      </c>
      <c r="E579" s="7">
        <f t="shared" si="30"/>
        <v>-0.27989847758459119</v>
      </c>
    </row>
    <row r="580" spans="1:5" x14ac:dyDescent="0.15">
      <c r="A580" s="7">
        <v>573</v>
      </c>
      <c r="B580" s="7">
        <v>0</v>
      </c>
      <c r="C580" s="7">
        <f t="shared" si="28"/>
        <v>0.75583605794746755</v>
      </c>
      <c r="D580" s="7">
        <f t="shared" si="29"/>
        <v>0.75586047434167281</v>
      </c>
      <c r="E580" s="7">
        <f t="shared" si="30"/>
        <v>-0.27989847758459119</v>
      </c>
    </row>
    <row r="581" spans="1:5" x14ac:dyDescent="0.15">
      <c r="A581" s="7">
        <v>574</v>
      </c>
      <c r="B581" s="7">
        <v>0</v>
      </c>
      <c r="C581" s="7">
        <f t="shared" si="28"/>
        <v>0.75583605794746755</v>
      </c>
      <c r="D581" s="7">
        <f t="shared" si="29"/>
        <v>0.75586047434167281</v>
      </c>
      <c r="E581" s="7">
        <f t="shared" si="30"/>
        <v>-0.27989847758459119</v>
      </c>
    </row>
    <row r="582" spans="1:5" x14ac:dyDescent="0.15">
      <c r="A582" s="7">
        <v>575</v>
      </c>
      <c r="B582" s="7">
        <v>1</v>
      </c>
      <c r="C582" s="7">
        <f t="shared" si="28"/>
        <v>8.8686757970141181E-2</v>
      </c>
      <c r="D582" s="7">
        <f t="shared" si="29"/>
        <v>8.867788929434417E-2</v>
      </c>
      <c r="E582" s="7">
        <f t="shared" si="30"/>
        <v>-2.4227446958891354</v>
      </c>
    </row>
    <row r="583" spans="1:5" x14ac:dyDescent="0.15">
      <c r="A583" s="7">
        <v>576</v>
      </c>
      <c r="B583" s="7">
        <v>0</v>
      </c>
      <c r="C583" s="7">
        <f t="shared" si="28"/>
        <v>0.75583605794746755</v>
      </c>
      <c r="D583" s="7">
        <f t="shared" si="29"/>
        <v>0.75586047434167281</v>
      </c>
      <c r="E583" s="7">
        <f t="shared" si="30"/>
        <v>-0.27989847758459119</v>
      </c>
    </row>
    <row r="584" spans="1:5" x14ac:dyDescent="0.15">
      <c r="A584" s="7">
        <v>577</v>
      </c>
      <c r="B584" s="7">
        <v>0</v>
      </c>
      <c r="C584" s="7">
        <f t="shared" si="28"/>
        <v>0.75583605794746755</v>
      </c>
      <c r="D584" s="7">
        <f t="shared" si="29"/>
        <v>0.75586047434167281</v>
      </c>
      <c r="E584" s="7">
        <f t="shared" si="30"/>
        <v>-0.27989847758459119</v>
      </c>
    </row>
    <row r="585" spans="1:5" x14ac:dyDescent="0.15">
      <c r="A585" s="7">
        <v>578</v>
      </c>
      <c r="B585" s="7">
        <v>0</v>
      </c>
      <c r="C585" s="7">
        <f t="shared" ref="C585:C648" si="31">(_xlfn.GAMMA($B$1+B585)/(_xlfn.GAMMA($B$1)*FACT(B585))) * ($B$2/($B$2+$B$5))^$B$1 * (1/($B$2 +$B$5))^B585</f>
        <v>0.75583605794746755</v>
      </c>
      <c r="D585" s="7">
        <f t="shared" ref="D585:D648" si="32" xml:space="preserve"> IF(B585 = 0, $B$3 + (1-$B$3) * C585, (1-$B$3) *C585)</f>
        <v>0.75586047434167281</v>
      </c>
      <c r="E585" s="7">
        <f t="shared" ref="E585:E648" si="33">LN(D585)</f>
        <v>-0.27989847758459119</v>
      </c>
    </row>
    <row r="586" spans="1:5" x14ac:dyDescent="0.15">
      <c r="A586" s="7">
        <v>579</v>
      </c>
      <c r="B586" s="7">
        <v>0</v>
      </c>
      <c r="C586" s="7">
        <f t="shared" si="31"/>
        <v>0.75583605794746755</v>
      </c>
      <c r="D586" s="7">
        <f t="shared" si="32"/>
        <v>0.75586047434167281</v>
      </c>
      <c r="E586" s="7">
        <f t="shared" si="33"/>
        <v>-0.27989847758459119</v>
      </c>
    </row>
    <row r="587" spans="1:5" x14ac:dyDescent="0.15">
      <c r="A587" s="7">
        <v>580</v>
      </c>
      <c r="B587" s="7">
        <v>0</v>
      </c>
      <c r="C587" s="7">
        <f t="shared" si="31"/>
        <v>0.75583605794746755</v>
      </c>
      <c r="D587" s="7">
        <f t="shared" si="32"/>
        <v>0.75586047434167281</v>
      </c>
      <c r="E587" s="7">
        <f t="shared" si="33"/>
        <v>-0.27989847758459119</v>
      </c>
    </row>
    <row r="588" spans="1:5" x14ac:dyDescent="0.15">
      <c r="A588" s="7">
        <v>581</v>
      </c>
      <c r="B588" s="7">
        <v>0</v>
      </c>
      <c r="C588" s="7">
        <f t="shared" si="31"/>
        <v>0.75583605794746755</v>
      </c>
      <c r="D588" s="7">
        <f t="shared" si="32"/>
        <v>0.75586047434167281</v>
      </c>
      <c r="E588" s="7">
        <f t="shared" si="33"/>
        <v>-0.27989847758459119</v>
      </c>
    </row>
    <row r="589" spans="1:5" x14ac:dyDescent="0.15">
      <c r="A589" s="7">
        <v>582</v>
      </c>
      <c r="B589" s="7">
        <v>1</v>
      </c>
      <c r="C589" s="7">
        <f t="shared" si="31"/>
        <v>8.8686757970141181E-2</v>
      </c>
      <c r="D589" s="7">
        <f t="shared" si="32"/>
        <v>8.867788929434417E-2</v>
      </c>
      <c r="E589" s="7">
        <f t="shared" si="33"/>
        <v>-2.4227446958891354</v>
      </c>
    </row>
    <row r="590" spans="1:5" x14ac:dyDescent="0.15">
      <c r="A590" s="7">
        <v>583</v>
      </c>
      <c r="B590" s="7">
        <v>0</v>
      </c>
      <c r="C590" s="7">
        <f t="shared" si="31"/>
        <v>0.75583605794746755</v>
      </c>
      <c r="D590" s="7">
        <f t="shared" si="32"/>
        <v>0.75586047434167281</v>
      </c>
      <c r="E590" s="7">
        <f t="shared" si="33"/>
        <v>-0.27989847758459119</v>
      </c>
    </row>
    <row r="591" spans="1:5" x14ac:dyDescent="0.15">
      <c r="A591" s="7">
        <v>584</v>
      </c>
      <c r="B591" s="7">
        <v>5</v>
      </c>
      <c r="C591" s="7">
        <f t="shared" si="31"/>
        <v>1.366826244062944E-2</v>
      </c>
      <c r="D591" s="7">
        <f t="shared" si="32"/>
        <v>1.3666895614385376E-2</v>
      </c>
      <c r="E591" s="7">
        <f t="shared" si="33"/>
        <v>-4.2927787488141558</v>
      </c>
    </row>
    <row r="592" spans="1:5" x14ac:dyDescent="0.15">
      <c r="A592" s="7">
        <v>585</v>
      </c>
      <c r="B592" s="7">
        <v>0</v>
      </c>
      <c r="C592" s="7">
        <f t="shared" si="31"/>
        <v>0.75583605794746755</v>
      </c>
      <c r="D592" s="7">
        <f t="shared" si="32"/>
        <v>0.75586047434167281</v>
      </c>
      <c r="E592" s="7">
        <f t="shared" si="33"/>
        <v>-0.27989847758459119</v>
      </c>
    </row>
    <row r="593" spans="1:5" x14ac:dyDescent="0.15">
      <c r="A593" s="7">
        <v>586</v>
      </c>
      <c r="B593" s="7">
        <v>2</v>
      </c>
      <c r="C593" s="7">
        <f t="shared" si="31"/>
        <v>4.4066701399555049E-2</v>
      </c>
      <c r="D593" s="7">
        <f t="shared" si="32"/>
        <v>4.4062294729415093E-2</v>
      </c>
      <c r="E593" s="7">
        <f t="shared" si="33"/>
        <v>-3.1221508570437044</v>
      </c>
    </row>
    <row r="594" spans="1:5" x14ac:dyDescent="0.15">
      <c r="A594" s="7">
        <v>587</v>
      </c>
      <c r="B594" s="7">
        <v>0</v>
      </c>
      <c r="C594" s="7">
        <f t="shared" si="31"/>
        <v>0.75583605794746755</v>
      </c>
      <c r="D594" s="7">
        <f t="shared" si="32"/>
        <v>0.75586047434167281</v>
      </c>
      <c r="E594" s="7">
        <f t="shared" si="33"/>
        <v>-0.27989847758459119</v>
      </c>
    </row>
    <row r="595" spans="1:5" x14ac:dyDescent="0.15">
      <c r="A595" s="7">
        <v>588</v>
      </c>
      <c r="B595" s="7">
        <v>0</v>
      </c>
      <c r="C595" s="7">
        <f t="shared" si="31"/>
        <v>0.75583605794746755</v>
      </c>
      <c r="D595" s="7">
        <f t="shared" si="32"/>
        <v>0.75586047434167281</v>
      </c>
      <c r="E595" s="7">
        <f t="shared" si="33"/>
        <v>-0.27989847758459119</v>
      </c>
    </row>
    <row r="596" spans="1:5" x14ac:dyDescent="0.15">
      <c r="A596" s="7">
        <v>589</v>
      </c>
      <c r="B596" s="7">
        <v>0</v>
      </c>
      <c r="C596" s="7">
        <f t="shared" si="31"/>
        <v>0.75583605794746755</v>
      </c>
      <c r="D596" s="7">
        <f t="shared" si="32"/>
        <v>0.75586047434167281</v>
      </c>
      <c r="E596" s="7">
        <f t="shared" si="33"/>
        <v>-0.27989847758459119</v>
      </c>
    </row>
    <row r="597" spans="1:5" x14ac:dyDescent="0.15">
      <c r="A597" s="7">
        <v>590</v>
      </c>
      <c r="B597" s="7">
        <v>0</v>
      </c>
      <c r="C597" s="7">
        <f t="shared" si="31"/>
        <v>0.75583605794746755</v>
      </c>
      <c r="D597" s="7">
        <f t="shared" si="32"/>
        <v>0.75586047434167281</v>
      </c>
      <c r="E597" s="7">
        <f t="shared" si="33"/>
        <v>-0.27989847758459119</v>
      </c>
    </row>
    <row r="598" spans="1:5" x14ac:dyDescent="0.15">
      <c r="A598" s="7">
        <v>591</v>
      </c>
      <c r="B598" s="7">
        <v>0</v>
      </c>
      <c r="C598" s="7">
        <f t="shared" si="31"/>
        <v>0.75583605794746755</v>
      </c>
      <c r="D598" s="7">
        <f t="shared" si="32"/>
        <v>0.75586047434167281</v>
      </c>
      <c r="E598" s="7">
        <f t="shared" si="33"/>
        <v>-0.27989847758459119</v>
      </c>
    </row>
    <row r="599" spans="1:5" x14ac:dyDescent="0.15">
      <c r="A599" s="7">
        <v>592</v>
      </c>
      <c r="B599" s="7">
        <v>0</v>
      </c>
      <c r="C599" s="7">
        <f t="shared" si="31"/>
        <v>0.75583605794746755</v>
      </c>
      <c r="D599" s="7">
        <f t="shared" si="32"/>
        <v>0.75586047434167281</v>
      </c>
      <c r="E599" s="7">
        <f t="shared" si="33"/>
        <v>-0.27989847758459119</v>
      </c>
    </row>
    <row r="600" spans="1:5" x14ac:dyDescent="0.15">
      <c r="A600" s="7">
        <v>593</v>
      </c>
      <c r="B600" s="7">
        <v>0</v>
      </c>
      <c r="C600" s="7">
        <f t="shared" si="31"/>
        <v>0.75583605794746755</v>
      </c>
      <c r="D600" s="7">
        <f t="shared" si="32"/>
        <v>0.75586047434167281</v>
      </c>
      <c r="E600" s="7">
        <f t="shared" si="33"/>
        <v>-0.27989847758459119</v>
      </c>
    </row>
    <row r="601" spans="1:5" x14ac:dyDescent="0.15">
      <c r="A601" s="7">
        <v>594</v>
      </c>
      <c r="B601" s="7">
        <v>0</v>
      </c>
      <c r="C601" s="7">
        <f t="shared" si="31"/>
        <v>0.75583605794746755</v>
      </c>
      <c r="D601" s="7">
        <f t="shared" si="32"/>
        <v>0.75586047434167281</v>
      </c>
      <c r="E601" s="7">
        <f t="shared" si="33"/>
        <v>-0.27989847758459119</v>
      </c>
    </row>
    <row r="602" spans="1:5" x14ac:dyDescent="0.15">
      <c r="A602" s="7">
        <v>595</v>
      </c>
      <c r="B602" s="7">
        <v>15</v>
      </c>
      <c r="C602" s="7">
        <f t="shared" si="31"/>
        <v>1.4225807669554509E-3</v>
      </c>
      <c r="D602" s="7">
        <f t="shared" si="32"/>
        <v>1.4224385088787554E-3</v>
      </c>
      <c r="E602" s="7">
        <f t="shared" si="33"/>
        <v>-6.5553826203998771</v>
      </c>
    </row>
    <row r="603" spans="1:5" x14ac:dyDescent="0.15">
      <c r="A603" s="7">
        <v>596</v>
      </c>
      <c r="B603" s="7">
        <v>1</v>
      </c>
      <c r="C603" s="7">
        <f t="shared" si="31"/>
        <v>8.8686757970141181E-2</v>
      </c>
      <c r="D603" s="7">
        <f t="shared" si="32"/>
        <v>8.867788929434417E-2</v>
      </c>
      <c r="E603" s="7">
        <f t="shared" si="33"/>
        <v>-2.4227446958891354</v>
      </c>
    </row>
    <row r="604" spans="1:5" x14ac:dyDescent="0.15">
      <c r="A604" s="7">
        <v>597</v>
      </c>
      <c r="B604" s="7">
        <v>0</v>
      </c>
      <c r="C604" s="7">
        <f t="shared" si="31"/>
        <v>0.75583605794746755</v>
      </c>
      <c r="D604" s="7">
        <f t="shared" si="32"/>
        <v>0.75586047434167281</v>
      </c>
      <c r="E604" s="7">
        <f t="shared" si="33"/>
        <v>-0.27989847758459119</v>
      </c>
    </row>
    <row r="605" spans="1:5" x14ac:dyDescent="0.15">
      <c r="A605" s="7">
        <v>598</v>
      </c>
      <c r="B605" s="7">
        <v>0</v>
      </c>
      <c r="C605" s="7">
        <f t="shared" si="31"/>
        <v>0.75583605794746755</v>
      </c>
      <c r="D605" s="7">
        <f t="shared" si="32"/>
        <v>0.75586047434167281</v>
      </c>
      <c r="E605" s="7">
        <f t="shared" si="33"/>
        <v>-0.27989847758459119</v>
      </c>
    </row>
    <row r="606" spans="1:5" x14ac:dyDescent="0.15">
      <c r="A606" s="7">
        <v>599</v>
      </c>
      <c r="B606" s="7">
        <v>0</v>
      </c>
      <c r="C606" s="7">
        <f t="shared" si="31"/>
        <v>0.75583605794746755</v>
      </c>
      <c r="D606" s="7">
        <f t="shared" si="32"/>
        <v>0.75586047434167281</v>
      </c>
      <c r="E606" s="7">
        <f t="shared" si="33"/>
        <v>-0.27989847758459119</v>
      </c>
    </row>
    <row r="607" spans="1:5" x14ac:dyDescent="0.15">
      <c r="A607" s="7">
        <v>600</v>
      </c>
      <c r="B607" s="7">
        <v>0</v>
      </c>
      <c r="C607" s="7">
        <f t="shared" si="31"/>
        <v>0.75583605794746755</v>
      </c>
      <c r="D607" s="7">
        <f t="shared" si="32"/>
        <v>0.75586047434167281</v>
      </c>
      <c r="E607" s="7">
        <f t="shared" si="33"/>
        <v>-0.27989847758459119</v>
      </c>
    </row>
    <row r="608" spans="1:5" x14ac:dyDescent="0.15">
      <c r="A608" s="7">
        <v>601</v>
      </c>
      <c r="B608" s="7">
        <v>0</v>
      </c>
      <c r="C608" s="7">
        <f t="shared" si="31"/>
        <v>0.75583605794746755</v>
      </c>
      <c r="D608" s="7">
        <f t="shared" si="32"/>
        <v>0.75586047434167281</v>
      </c>
      <c r="E608" s="7">
        <f t="shared" si="33"/>
        <v>-0.27989847758459119</v>
      </c>
    </row>
    <row r="609" spans="1:5" x14ac:dyDescent="0.15">
      <c r="A609" s="7">
        <v>602</v>
      </c>
      <c r="B609" s="7">
        <v>0</v>
      </c>
      <c r="C609" s="7">
        <f t="shared" si="31"/>
        <v>0.75583605794746755</v>
      </c>
      <c r="D609" s="7">
        <f t="shared" si="32"/>
        <v>0.75586047434167281</v>
      </c>
      <c r="E609" s="7">
        <f t="shared" si="33"/>
        <v>-0.27989847758459119</v>
      </c>
    </row>
    <row r="610" spans="1:5" x14ac:dyDescent="0.15">
      <c r="A610" s="7">
        <v>603</v>
      </c>
      <c r="B610" s="7">
        <v>0</v>
      </c>
      <c r="C610" s="7">
        <f t="shared" si="31"/>
        <v>0.75583605794746755</v>
      </c>
      <c r="D610" s="7">
        <f t="shared" si="32"/>
        <v>0.75586047434167281</v>
      </c>
      <c r="E610" s="7">
        <f t="shared" si="33"/>
        <v>-0.27989847758459119</v>
      </c>
    </row>
    <row r="611" spans="1:5" x14ac:dyDescent="0.15">
      <c r="A611" s="7">
        <v>604</v>
      </c>
      <c r="B611" s="7">
        <v>0</v>
      </c>
      <c r="C611" s="7">
        <f t="shared" si="31"/>
        <v>0.75583605794746755</v>
      </c>
      <c r="D611" s="7">
        <f t="shared" si="32"/>
        <v>0.75586047434167281</v>
      </c>
      <c r="E611" s="7">
        <f t="shared" si="33"/>
        <v>-0.27989847758459119</v>
      </c>
    </row>
    <row r="612" spans="1:5" x14ac:dyDescent="0.15">
      <c r="A612" s="7">
        <v>605</v>
      </c>
      <c r="B612" s="7">
        <v>0</v>
      </c>
      <c r="C612" s="7">
        <f t="shared" si="31"/>
        <v>0.75583605794746755</v>
      </c>
      <c r="D612" s="7">
        <f t="shared" si="32"/>
        <v>0.75586047434167281</v>
      </c>
      <c r="E612" s="7">
        <f t="shared" si="33"/>
        <v>-0.27989847758459119</v>
      </c>
    </row>
    <row r="613" spans="1:5" x14ac:dyDescent="0.15">
      <c r="A613" s="7">
        <v>606</v>
      </c>
      <c r="B613" s="7">
        <v>2</v>
      </c>
      <c r="C613" s="7">
        <f t="shared" si="31"/>
        <v>4.4066701399555049E-2</v>
      </c>
      <c r="D613" s="7">
        <f t="shared" si="32"/>
        <v>4.4062294729415093E-2</v>
      </c>
      <c r="E613" s="7">
        <f t="shared" si="33"/>
        <v>-3.1221508570437044</v>
      </c>
    </row>
    <row r="614" spans="1:5" x14ac:dyDescent="0.15">
      <c r="A614" s="7">
        <v>607</v>
      </c>
      <c r="B614" s="7">
        <v>0</v>
      </c>
      <c r="C614" s="7">
        <f t="shared" si="31"/>
        <v>0.75583605794746755</v>
      </c>
      <c r="D614" s="7">
        <f t="shared" si="32"/>
        <v>0.75586047434167281</v>
      </c>
      <c r="E614" s="7">
        <f t="shared" si="33"/>
        <v>-0.27989847758459119</v>
      </c>
    </row>
    <row r="615" spans="1:5" x14ac:dyDescent="0.15">
      <c r="A615" s="7">
        <v>608</v>
      </c>
      <c r="B615" s="7">
        <v>0</v>
      </c>
      <c r="C615" s="7">
        <f t="shared" si="31"/>
        <v>0.75583605794746755</v>
      </c>
      <c r="D615" s="7">
        <f t="shared" si="32"/>
        <v>0.75586047434167281</v>
      </c>
      <c r="E615" s="7">
        <f t="shared" si="33"/>
        <v>-0.27989847758459119</v>
      </c>
    </row>
    <row r="616" spans="1:5" x14ac:dyDescent="0.15">
      <c r="A616" s="7">
        <v>609</v>
      </c>
      <c r="B616" s="7">
        <v>0</v>
      </c>
      <c r="C616" s="7">
        <f t="shared" si="31"/>
        <v>0.75583605794746755</v>
      </c>
      <c r="D616" s="7">
        <f t="shared" si="32"/>
        <v>0.75586047434167281</v>
      </c>
      <c r="E616" s="7">
        <f t="shared" si="33"/>
        <v>-0.27989847758459119</v>
      </c>
    </row>
    <row r="617" spans="1:5" x14ac:dyDescent="0.15">
      <c r="A617" s="7">
        <v>610</v>
      </c>
      <c r="B617" s="7">
        <v>0</v>
      </c>
      <c r="C617" s="7">
        <f t="shared" si="31"/>
        <v>0.75583605794746755</v>
      </c>
      <c r="D617" s="7">
        <f t="shared" si="32"/>
        <v>0.75586047434167281</v>
      </c>
      <c r="E617" s="7">
        <f t="shared" si="33"/>
        <v>-0.27989847758459119</v>
      </c>
    </row>
    <row r="618" spans="1:5" x14ac:dyDescent="0.15">
      <c r="A618" s="7">
        <v>611</v>
      </c>
      <c r="B618" s="7">
        <v>0</v>
      </c>
      <c r="C618" s="7">
        <f t="shared" si="31"/>
        <v>0.75583605794746755</v>
      </c>
      <c r="D618" s="7">
        <f t="shared" si="32"/>
        <v>0.75586047434167281</v>
      </c>
      <c r="E618" s="7">
        <f t="shared" si="33"/>
        <v>-0.27989847758459119</v>
      </c>
    </row>
    <row r="619" spans="1:5" x14ac:dyDescent="0.15">
      <c r="A619" s="7">
        <v>612</v>
      </c>
      <c r="B619" s="7">
        <v>0</v>
      </c>
      <c r="C619" s="7">
        <f t="shared" si="31"/>
        <v>0.75583605794746755</v>
      </c>
      <c r="D619" s="7">
        <f t="shared" si="32"/>
        <v>0.75586047434167281</v>
      </c>
      <c r="E619" s="7">
        <f t="shared" si="33"/>
        <v>-0.27989847758459119</v>
      </c>
    </row>
    <row r="620" spans="1:5" x14ac:dyDescent="0.15">
      <c r="A620" s="7">
        <v>613</v>
      </c>
      <c r="B620" s="7">
        <v>1</v>
      </c>
      <c r="C620" s="7">
        <f t="shared" si="31"/>
        <v>8.8686757970141181E-2</v>
      </c>
      <c r="D620" s="7">
        <f t="shared" si="32"/>
        <v>8.867788929434417E-2</v>
      </c>
      <c r="E620" s="7">
        <f t="shared" si="33"/>
        <v>-2.4227446958891354</v>
      </c>
    </row>
    <row r="621" spans="1:5" x14ac:dyDescent="0.15">
      <c r="A621" s="7">
        <v>614</v>
      </c>
      <c r="B621" s="7">
        <v>0</v>
      </c>
      <c r="C621" s="7">
        <f t="shared" si="31"/>
        <v>0.75583605794746755</v>
      </c>
      <c r="D621" s="7">
        <f t="shared" si="32"/>
        <v>0.75586047434167281</v>
      </c>
      <c r="E621" s="7">
        <f t="shared" si="33"/>
        <v>-0.27989847758459119</v>
      </c>
    </row>
    <row r="622" spans="1:5" x14ac:dyDescent="0.15">
      <c r="A622" s="7">
        <v>615</v>
      </c>
      <c r="B622" s="7">
        <v>0</v>
      </c>
      <c r="C622" s="7">
        <f t="shared" si="31"/>
        <v>0.75583605794746755</v>
      </c>
      <c r="D622" s="7">
        <f t="shared" si="32"/>
        <v>0.75586047434167281</v>
      </c>
      <c r="E622" s="7">
        <f t="shared" si="33"/>
        <v>-0.27989847758459119</v>
      </c>
    </row>
    <row r="623" spans="1:5" x14ac:dyDescent="0.15">
      <c r="A623" s="7">
        <v>616</v>
      </c>
      <c r="B623" s="7">
        <v>0</v>
      </c>
      <c r="C623" s="7">
        <f t="shared" si="31"/>
        <v>0.75583605794746755</v>
      </c>
      <c r="D623" s="7">
        <f t="shared" si="32"/>
        <v>0.75586047434167281</v>
      </c>
      <c r="E623" s="7">
        <f t="shared" si="33"/>
        <v>-0.27989847758459119</v>
      </c>
    </row>
    <row r="624" spans="1:5" x14ac:dyDescent="0.15">
      <c r="A624" s="7">
        <v>617</v>
      </c>
      <c r="B624" s="7">
        <v>0</v>
      </c>
      <c r="C624" s="7">
        <f t="shared" si="31"/>
        <v>0.75583605794746755</v>
      </c>
      <c r="D624" s="7">
        <f t="shared" si="32"/>
        <v>0.75586047434167281</v>
      </c>
      <c r="E624" s="7">
        <f t="shared" si="33"/>
        <v>-0.27989847758459119</v>
      </c>
    </row>
    <row r="625" spans="1:5" x14ac:dyDescent="0.15">
      <c r="A625" s="7">
        <v>618</v>
      </c>
      <c r="B625" s="7">
        <v>2</v>
      </c>
      <c r="C625" s="7">
        <f t="shared" si="31"/>
        <v>4.4066701399555049E-2</v>
      </c>
      <c r="D625" s="7">
        <f t="shared" si="32"/>
        <v>4.4062294729415093E-2</v>
      </c>
      <c r="E625" s="7">
        <f t="shared" si="33"/>
        <v>-3.1221508570437044</v>
      </c>
    </row>
    <row r="626" spans="1:5" x14ac:dyDescent="0.15">
      <c r="A626" s="7">
        <v>619</v>
      </c>
      <c r="B626" s="7">
        <v>1</v>
      </c>
      <c r="C626" s="7">
        <f t="shared" si="31"/>
        <v>8.8686757970141181E-2</v>
      </c>
      <c r="D626" s="7">
        <f t="shared" si="32"/>
        <v>8.867788929434417E-2</v>
      </c>
      <c r="E626" s="7">
        <f t="shared" si="33"/>
        <v>-2.4227446958891354</v>
      </c>
    </row>
    <row r="627" spans="1:5" x14ac:dyDescent="0.15">
      <c r="A627" s="7">
        <v>620</v>
      </c>
      <c r="B627" s="7">
        <v>0</v>
      </c>
      <c r="C627" s="7">
        <f t="shared" si="31"/>
        <v>0.75583605794746755</v>
      </c>
      <c r="D627" s="7">
        <f t="shared" si="32"/>
        <v>0.75586047434167281</v>
      </c>
      <c r="E627" s="7">
        <f t="shared" si="33"/>
        <v>-0.27989847758459119</v>
      </c>
    </row>
    <row r="628" spans="1:5" x14ac:dyDescent="0.15">
      <c r="A628" s="7">
        <v>621</v>
      </c>
      <c r="B628" s="7">
        <v>0</v>
      </c>
      <c r="C628" s="7">
        <f t="shared" si="31"/>
        <v>0.75583605794746755</v>
      </c>
      <c r="D628" s="7">
        <f t="shared" si="32"/>
        <v>0.75586047434167281</v>
      </c>
      <c r="E628" s="7">
        <f t="shared" si="33"/>
        <v>-0.27989847758459119</v>
      </c>
    </row>
    <row r="629" spans="1:5" x14ac:dyDescent="0.15">
      <c r="A629" s="7">
        <v>622</v>
      </c>
      <c r="B629" s="7">
        <v>1</v>
      </c>
      <c r="C629" s="7">
        <f t="shared" si="31"/>
        <v>8.8686757970141181E-2</v>
      </c>
      <c r="D629" s="7">
        <f t="shared" si="32"/>
        <v>8.867788929434417E-2</v>
      </c>
      <c r="E629" s="7">
        <f t="shared" si="33"/>
        <v>-2.4227446958891354</v>
      </c>
    </row>
    <row r="630" spans="1:5" x14ac:dyDescent="0.15">
      <c r="A630" s="7">
        <v>623</v>
      </c>
      <c r="B630" s="7">
        <v>2</v>
      </c>
      <c r="C630" s="7">
        <f t="shared" si="31"/>
        <v>4.4066701399555049E-2</v>
      </c>
      <c r="D630" s="7">
        <f t="shared" si="32"/>
        <v>4.4062294729415093E-2</v>
      </c>
      <c r="E630" s="7">
        <f t="shared" si="33"/>
        <v>-3.1221508570437044</v>
      </c>
    </row>
    <row r="631" spans="1:5" x14ac:dyDescent="0.15">
      <c r="A631" s="7">
        <v>624</v>
      </c>
      <c r="B631" s="7">
        <v>0</v>
      </c>
      <c r="C631" s="7">
        <f t="shared" si="31"/>
        <v>0.75583605794746755</v>
      </c>
      <c r="D631" s="7">
        <f t="shared" si="32"/>
        <v>0.75586047434167281</v>
      </c>
      <c r="E631" s="7">
        <f t="shared" si="33"/>
        <v>-0.27989847758459119</v>
      </c>
    </row>
    <row r="632" spans="1:5" x14ac:dyDescent="0.15">
      <c r="A632" s="7">
        <v>625</v>
      </c>
      <c r="B632" s="7">
        <v>0</v>
      </c>
      <c r="C632" s="7">
        <f t="shared" si="31"/>
        <v>0.75583605794746755</v>
      </c>
      <c r="D632" s="7">
        <f t="shared" si="32"/>
        <v>0.75586047434167281</v>
      </c>
      <c r="E632" s="7">
        <f t="shared" si="33"/>
        <v>-0.27989847758459119</v>
      </c>
    </row>
    <row r="633" spans="1:5" x14ac:dyDescent="0.15">
      <c r="A633" s="7">
        <v>626</v>
      </c>
      <c r="B633" s="7">
        <v>0</v>
      </c>
      <c r="C633" s="7">
        <f t="shared" si="31"/>
        <v>0.75583605794746755</v>
      </c>
      <c r="D633" s="7">
        <f t="shared" si="32"/>
        <v>0.75586047434167281</v>
      </c>
      <c r="E633" s="7">
        <f t="shared" si="33"/>
        <v>-0.27989847758459119</v>
      </c>
    </row>
    <row r="634" spans="1:5" x14ac:dyDescent="0.15">
      <c r="A634" s="7">
        <v>627</v>
      </c>
      <c r="B634" s="7">
        <v>0</v>
      </c>
      <c r="C634" s="7">
        <f t="shared" si="31"/>
        <v>0.75583605794746755</v>
      </c>
      <c r="D634" s="7">
        <f t="shared" si="32"/>
        <v>0.75586047434167281</v>
      </c>
      <c r="E634" s="7">
        <f t="shared" si="33"/>
        <v>-0.27989847758459119</v>
      </c>
    </row>
    <row r="635" spans="1:5" x14ac:dyDescent="0.15">
      <c r="A635" s="7">
        <v>628</v>
      </c>
      <c r="B635" s="7">
        <v>0</v>
      </c>
      <c r="C635" s="7">
        <f t="shared" si="31"/>
        <v>0.75583605794746755</v>
      </c>
      <c r="D635" s="7">
        <f t="shared" si="32"/>
        <v>0.75586047434167281</v>
      </c>
      <c r="E635" s="7">
        <f t="shared" si="33"/>
        <v>-0.27989847758459119</v>
      </c>
    </row>
    <row r="636" spans="1:5" x14ac:dyDescent="0.15">
      <c r="A636" s="7">
        <v>629</v>
      </c>
      <c r="B636" s="7">
        <v>1</v>
      </c>
      <c r="C636" s="7">
        <f t="shared" si="31"/>
        <v>8.8686757970141181E-2</v>
      </c>
      <c r="D636" s="7">
        <f t="shared" si="32"/>
        <v>8.867788929434417E-2</v>
      </c>
      <c r="E636" s="7">
        <f t="shared" si="33"/>
        <v>-2.4227446958891354</v>
      </c>
    </row>
    <row r="637" spans="1:5" x14ac:dyDescent="0.15">
      <c r="A637" s="7">
        <v>630</v>
      </c>
      <c r="B637" s="7">
        <v>0</v>
      </c>
      <c r="C637" s="7">
        <f t="shared" si="31"/>
        <v>0.75583605794746755</v>
      </c>
      <c r="D637" s="7">
        <f t="shared" si="32"/>
        <v>0.75586047434167281</v>
      </c>
      <c r="E637" s="7">
        <f t="shared" si="33"/>
        <v>-0.27989847758459119</v>
      </c>
    </row>
    <row r="638" spans="1:5" x14ac:dyDescent="0.15">
      <c r="A638" s="7">
        <v>631</v>
      </c>
      <c r="B638" s="7">
        <v>0</v>
      </c>
      <c r="C638" s="7">
        <f t="shared" si="31"/>
        <v>0.75583605794746755</v>
      </c>
      <c r="D638" s="7">
        <f t="shared" si="32"/>
        <v>0.75586047434167281</v>
      </c>
      <c r="E638" s="7">
        <f t="shared" si="33"/>
        <v>-0.27989847758459119</v>
      </c>
    </row>
    <row r="639" spans="1:5" x14ac:dyDescent="0.15">
      <c r="A639" s="7">
        <v>632</v>
      </c>
      <c r="B639" s="7">
        <v>0</v>
      </c>
      <c r="C639" s="7">
        <f t="shared" si="31"/>
        <v>0.75583605794746755</v>
      </c>
      <c r="D639" s="7">
        <f t="shared" si="32"/>
        <v>0.75586047434167281</v>
      </c>
      <c r="E639" s="7">
        <f t="shared" si="33"/>
        <v>-0.27989847758459119</v>
      </c>
    </row>
    <row r="640" spans="1:5" x14ac:dyDescent="0.15">
      <c r="A640" s="7">
        <v>633</v>
      </c>
      <c r="B640" s="7">
        <v>0</v>
      </c>
      <c r="C640" s="7">
        <f t="shared" si="31"/>
        <v>0.75583605794746755</v>
      </c>
      <c r="D640" s="7">
        <f t="shared" si="32"/>
        <v>0.75586047434167281</v>
      </c>
      <c r="E640" s="7">
        <f t="shared" si="33"/>
        <v>-0.27989847758459119</v>
      </c>
    </row>
    <row r="641" spans="1:5" x14ac:dyDescent="0.15">
      <c r="A641" s="7">
        <v>634</v>
      </c>
      <c r="B641" s="7">
        <v>0</v>
      </c>
      <c r="C641" s="7">
        <f t="shared" si="31"/>
        <v>0.75583605794746755</v>
      </c>
      <c r="D641" s="7">
        <f t="shared" si="32"/>
        <v>0.75586047434167281</v>
      </c>
      <c r="E641" s="7">
        <f t="shared" si="33"/>
        <v>-0.27989847758459119</v>
      </c>
    </row>
    <row r="642" spans="1:5" x14ac:dyDescent="0.15">
      <c r="A642" s="7">
        <v>635</v>
      </c>
      <c r="B642" s="7">
        <v>1</v>
      </c>
      <c r="C642" s="7">
        <f t="shared" si="31"/>
        <v>8.8686757970141181E-2</v>
      </c>
      <c r="D642" s="7">
        <f t="shared" si="32"/>
        <v>8.867788929434417E-2</v>
      </c>
      <c r="E642" s="7">
        <f t="shared" si="33"/>
        <v>-2.4227446958891354</v>
      </c>
    </row>
    <row r="643" spans="1:5" x14ac:dyDescent="0.15">
      <c r="A643" s="7">
        <v>636</v>
      </c>
      <c r="B643" s="7">
        <v>1</v>
      </c>
      <c r="C643" s="7">
        <f t="shared" si="31"/>
        <v>8.8686757970141181E-2</v>
      </c>
      <c r="D643" s="7">
        <f t="shared" si="32"/>
        <v>8.867788929434417E-2</v>
      </c>
      <c r="E643" s="7">
        <f t="shared" si="33"/>
        <v>-2.4227446958891354</v>
      </c>
    </row>
    <row r="644" spans="1:5" x14ac:dyDescent="0.15">
      <c r="A644" s="7">
        <v>637</v>
      </c>
      <c r="B644" s="7">
        <v>0</v>
      </c>
      <c r="C644" s="7">
        <f t="shared" si="31"/>
        <v>0.75583605794746755</v>
      </c>
      <c r="D644" s="7">
        <f t="shared" si="32"/>
        <v>0.75586047434167281</v>
      </c>
      <c r="E644" s="7">
        <f t="shared" si="33"/>
        <v>-0.27989847758459119</v>
      </c>
    </row>
    <row r="645" spans="1:5" x14ac:dyDescent="0.15">
      <c r="A645" s="7">
        <v>638</v>
      </c>
      <c r="B645" s="7">
        <v>0</v>
      </c>
      <c r="C645" s="7">
        <f t="shared" si="31"/>
        <v>0.75583605794746755</v>
      </c>
      <c r="D645" s="7">
        <f t="shared" si="32"/>
        <v>0.75586047434167281</v>
      </c>
      <c r="E645" s="7">
        <f t="shared" si="33"/>
        <v>-0.27989847758459119</v>
      </c>
    </row>
    <row r="646" spans="1:5" x14ac:dyDescent="0.15">
      <c r="A646" s="7">
        <v>639</v>
      </c>
      <c r="B646" s="7">
        <v>1</v>
      </c>
      <c r="C646" s="7">
        <f t="shared" si="31"/>
        <v>8.8686757970141181E-2</v>
      </c>
      <c r="D646" s="7">
        <f t="shared" si="32"/>
        <v>8.867788929434417E-2</v>
      </c>
      <c r="E646" s="7">
        <f t="shared" si="33"/>
        <v>-2.4227446958891354</v>
      </c>
    </row>
    <row r="647" spans="1:5" x14ac:dyDescent="0.15">
      <c r="A647" s="7">
        <v>640</v>
      </c>
      <c r="B647" s="7">
        <v>0</v>
      </c>
      <c r="C647" s="7">
        <f t="shared" si="31"/>
        <v>0.75583605794746755</v>
      </c>
      <c r="D647" s="7">
        <f t="shared" si="32"/>
        <v>0.75586047434167281</v>
      </c>
      <c r="E647" s="7">
        <f t="shared" si="33"/>
        <v>-0.27989847758459119</v>
      </c>
    </row>
    <row r="648" spans="1:5" x14ac:dyDescent="0.15">
      <c r="A648" s="7">
        <v>641</v>
      </c>
      <c r="B648" s="7">
        <v>1</v>
      </c>
      <c r="C648" s="7">
        <f t="shared" si="31"/>
        <v>8.8686757970141181E-2</v>
      </c>
      <c r="D648" s="7">
        <f t="shared" si="32"/>
        <v>8.867788929434417E-2</v>
      </c>
      <c r="E648" s="7">
        <f t="shared" si="33"/>
        <v>-2.4227446958891354</v>
      </c>
    </row>
    <row r="649" spans="1:5" x14ac:dyDescent="0.15">
      <c r="A649" s="7">
        <v>642</v>
      </c>
      <c r="B649" s="7">
        <v>0</v>
      </c>
      <c r="C649" s="7">
        <f t="shared" ref="C649:C712" si="34">(_xlfn.GAMMA($B$1+B649)/(_xlfn.GAMMA($B$1)*FACT(B649))) * ($B$2/($B$2+$B$5))^$B$1 * (1/($B$2 +$B$5))^B649</f>
        <v>0.75583605794746755</v>
      </c>
      <c r="D649" s="7">
        <f t="shared" ref="D649:D712" si="35" xml:space="preserve"> IF(B649 = 0, $B$3 + (1-$B$3) * C649, (1-$B$3) *C649)</f>
        <v>0.75586047434167281</v>
      </c>
      <c r="E649" s="7">
        <f t="shared" ref="E649:E712" si="36">LN(D649)</f>
        <v>-0.27989847758459119</v>
      </c>
    </row>
    <row r="650" spans="1:5" x14ac:dyDescent="0.15">
      <c r="A650" s="7">
        <v>643</v>
      </c>
      <c r="B650" s="7">
        <v>1</v>
      </c>
      <c r="C650" s="7">
        <f t="shared" si="34"/>
        <v>8.8686757970141181E-2</v>
      </c>
      <c r="D650" s="7">
        <f t="shared" si="35"/>
        <v>8.867788929434417E-2</v>
      </c>
      <c r="E650" s="7">
        <f t="shared" si="36"/>
        <v>-2.4227446958891354</v>
      </c>
    </row>
    <row r="651" spans="1:5" x14ac:dyDescent="0.15">
      <c r="A651" s="7">
        <v>644</v>
      </c>
      <c r="B651" s="7">
        <v>0</v>
      </c>
      <c r="C651" s="7">
        <f t="shared" si="34"/>
        <v>0.75583605794746755</v>
      </c>
      <c r="D651" s="7">
        <f t="shared" si="35"/>
        <v>0.75586047434167281</v>
      </c>
      <c r="E651" s="7">
        <f t="shared" si="36"/>
        <v>-0.27989847758459119</v>
      </c>
    </row>
    <row r="652" spans="1:5" x14ac:dyDescent="0.15">
      <c r="A652" s="7">
        <v>645</v>
      </c>
      <c r="B652" s="7">
        <v>0</v>
      </c>
      <c r="C652" s="7">
        <f t="shared" si="34"/>
        <v>0.75583605794746755</v>
      </c>
      <c r="D652" s="7">
        <f t="shared" si="35"/>
        <v>0.75586047434167281</v>
      </c>
      <c r="E652" s="7">
        <f t="shared" si="36"/>
        <v>-0.27989847758459119</v>
      </c>
    </row>
    <row r="653" spans="1:5" x14ac:dyDescent="0.15">
      <c r="A653" s="7">
        <v>646</v>
      </c>
      <c r="B653" s="7">
        <v>0</v>
      </c>
      <c r="C653" s="7">
        <f t="shared" si="34"/>
        <v>0.75583605794746755</v>
      </c>
      <c r="D653" s="7">
        <f t="shared" si="35"/>
        <v>0.75586047434167281</v>
      </c>
      <c r="E653" s="7">
        <f t="shared" si="36"/>
        <v>-0.27989847758459119</v>
      </c>
    </row>
    <row r="654" spans="1:5" x14ac:dyDescent="0.15">
      <c r="A654" s="7">
        <v>647</v>
      </c>
      <c r="B654" s="7">
        <v>0</v>
      </c>
      <c r="C654" s="7">
        <f t="shared" si="34"/>
        <v>0.75583605794746755</v>
      </c>
      <c r="D654" s="7">
        <f t="shared" si="35"/>
        <v>0.75586047434167281</v>
      </c>
      <c r="E654" s="7">
        <f t="shared" si="36"/>
        <v>-0.27989847758459119</v>
      </c>
    </row>
    <row r="655" spans="1:5" x14ac:dyDescent="0.15">
      <c r="A655" s="7">
        <v>648</v>
      </c>
      <c r="B655" s="7">
        <v>12</v>
      </c>
      <c r="C655" s="7">
        <f t="shared" si="34"/>
        <v>2.5611896790335791E-3</v>
      </c>
      <c r="D655" s="7">
        <f t="shared" si="35"/>
        <v>2.5609335600656757E-3</v>
      </c>
      <c r="E655" s="7">
        <f t="shared" si="36"/>
        <v>-5.9673834150666476</v>
      </c>
    </row>
    <row r="656" spans="1:5" x14ac:dyDescent="0.15">
      <c r="A656" s="7">
        <v>649</v>
      </c>
      <c r="B656" s="7">
        <v>8</v>
      </c>
      <c r="C656" s="7">
        <f t="shared" si="34"/>
        <v>6.1521164907488192E-3</v>
      </c>
      <c r="D656" s="7">
        <f t="shared" si="35"/>
        <v>6.1515012790997444E-3</v>
      </c>
      <c r="E656" s="7">
        <f t="shared" si="36"/>
        <v>-5.0910591165310892</v>
      </c>
    </row>
    <row r="657" spans="1:5" x14ac:dyDescent="0.15">
      <c r="A657" s="7">
        <v>650</v>
      </c>
      <c r="B657" s="7">
        <v>0</v>
      </c>
      <c r="C657" s="7">
        <f t="shared" si="34"/>
        <v>0.75583605794746755</v>
      </c>
      <c r="D657" s="7">
        <f t="shared" si="35"/>
        <v>0.75586047434167281</v>
      </c>
      <c r="E657" s="7">
        <f t="shared" si="36"/>
        <v>-0.27989847758459119</v>
      </c>
    </row>
    <row r="658" spans="1:5" x14ac:dyDescent="0.15">
      <c r="A658" s="7">
        <v>651</v>
      </c>
      <c r="B658" s="7">
        <v>0</v>
      </c>
      <c r="C658" s="7">
        <f t="shared" si="34"/>
        <v>0.75583605794746755</v>
      </c>
      <c r="D658" s="7">
        <f t="shared" si="35"/>
        <v>0.75586047434167281</v>
      </c>
      <c r="E658" s="7">
        <f t="shared" si="36"/>
        <v>-0.27989847758459119</v>
      </c>
    </row>
    <row r="659" spans="1:5" x14ac:dyDescent="0.15">
      <c r="A659" s="7">
        <v>652</v>
      </c>
      <c r="B659" s="7">
        <v>0</v>
      </c>
      <c r="C659" s="7">
        <f t="shared" si="34"/>
        <v>0.75583605794746755</v>
      </c>
      <c r="D659" s="7">
        <f t="shared" si="35"/>
        <v>0.75586047434167281</v>
      </c>
      <c r="E659" s="7">
        <f t="shared" si="36"/>
        <v>-0.27989847758459119</v>
      </c>
    </row>
    <row r="660" spans="1:5" x14ac:dyDescent="0.15">
      <c r="A660" s="7">
        <v>653</v>
      </c>
      <c r="B660" s="7">
        <v>1</v>
      </c>
      <c r="C660" s="7">
        <f t="shared" si="34"/>
        <v>8.8686757970141181E-2</v>
      </c>
      <c r="D660" s="7">
        <f t="shared" si="35"/>
        <v>8.867788929434417E-2</v>
      </c>
      <c r="E660" s="7">
        <f t="shared" si="36"/>
        <v>-2.4227446958891354</v>
      </c>
    </row>
    <row r="661" spans="1:5" x14ac:dyDescent="0.15">
      <c r="A661" s="7">
        <v>654</v>
      </c>
      <c r="B661" s="7">
        <v>0</v>
      </c>
      <c r="C661" s="7">
        <f t="shared" si="34"/>
        <v>0.75583605794746755</v>
      </c>
      <c r="D661" s="7">
        <f t="shared" si="35"/>
        <v>0.75586047434167281</v>
      </c>
      <c r="E661" s="7">
        <f t="shared" si="36"/>
        <v>-0.27989847758459119</v>
      </c>
    </row>
    <row r="662" spans="1:5" x14ac:dyDescent="0.15">
      <c r="A662" s="7">
        <v>655</v>
      </c>
      <c r="B662" s="7">
        <v>2</v>
      </c>
      <c r="C662" s="7">
        <f t="shared" si="34"/>
        <v>4.4066701399555049E-2</v>
      </c>
      <c r="D662" s="7">
        <f t="shared" si="35"/>
        <v>4.4062294729415093E-2</v>
      </c>
      <c r="E662" s="7">
        <f t="shared" si="36"/>
        <v>-3.1221508570437044</v>
      </c>
    </row>
    <row r="663" spans="1:5" x14ac:dyDescent="0.15">
      <c r="A663" s="7">
        <v>656</v>
      </c>
      <c r="B663" s="7">
        <v>0</v>
      </c>
      <c r="C663" s="7">
        <f t="shared" si="34"/>
        <v>0.75583605794746755</v>
      </c>
      <c r="D663" s="7">
        <f t="shared" si="35"/>
        <v>0.75586047434167281</v>
      </c>
      <c r="E663" s="7">
        <f t="shared" si="36"/>
        <v>-0.27989847758459119</v>
      </c>
    </row>
    <row r="664" spans="1:5" x14ac:dyDescent="0.15">
      <c r="A664" s="7">
        <v>657</v>
      </c>
      <c r="B664" s="7">
        <v>1</v>
      </c>
      <c r="C664" s="7">
        <f t="shared" si="34"/>
        <v>8.8686757970141181E-2</v>
      </c>
      <c r="D664" s="7">
        <f t="shared" si="35"/>
        <v>8.867788929434417E-2</v>
      </c>
      <c r="E664" s="7">
        <f t="shared" si="36"/>
        <v>-2.4227446958891354</v>
      </c>
    </row>
    <row r="665" spans="1:5" x14ac:dyDescent="0.15">
      <c r="A665" s="7">
        <v>658</v>
      </c>
      <c r="B665" s="7">
        <v>0</v>
      </c>
      <c r="C665" s="7">
        <f t="shared" si="34"/>
        <v>0.75583605794746755</v>
      </c>
      <c r="D665" s="7">
        <f t="shared" si="35"/>
        <v>0.75586047434167281</v>
      </c>
      <c r="E665" s="7">
        <f t="shared" si="36"/>
        <v>-0.27989847758459119</v>
      </c>
    </row>
    <row r="666" spans="1:5" x14ac:dyDescent="0.15">
      <c r="A666" s="7">
        <v>659</v>
      </c>
      <c r="B666" s="7">
        <v>5</v>
      </c>
      <c r="C666" s="7">
        <f t="shared" si="34"/>
        <v>1.366826244062944E-2</v>
      </c>
      <c r="D666" s="7">
        <f t="shared" si="35"/>
        <v>1.3666895614385376E-2</v>
      </c>
      <c r="E666" s="7">
        <f t="shared" si="36"/>
        <v>-4.2927787488141558</v>
      </c>
    </row>
    <row r="667" spans="1:5" x14ac:dyDescent="0.15">
      <c r="A667" s="7">
        <v>660</v>
      </c>
      <c r="B667" s="7">
        <v>0</v>
      </c>
      <c r="C667" s="7">
        <f t="shared" si="34"/>
        <v>0.75583605794746755</v>
      </c>
      <c r="D667" s="7">
        <f t="shared" si="35"/>
        <v>0.75586047434167281</v>
      </c>
      <c r="E667" s="7">
        <f t="shared" si="36"/>
        <v>-0.27989847758459119</v>
      </c>
    </row>
    <row r="668" spans="1:5" x14ac:dyDescent="0.15">
      <c r="A668" s="7">
        <v>661</v>
      </c>
      <c r="B668" s="7">
        <v>0</v>
      </c>
      <c r="C668" s="7">
        <f t="shared" si="34"/>
        <v>0.75583605794746755</v>
      </c>
      <c r="D668" s="7">
        <f t="shared" si="35"/>
        <v>0.75586047434167281</v>
      </c>
      <c r="E668" s="7">
        <f t="shared" si="36"/>
        <v>-0.27989847758459119</v>
      </c>
    </row>
    <row r="669" spans="1:5" x14ac:dyDescent="0.15">
      <c r="A669" s="7">
        <v>662</v>
      </c>
      <c r="B669" s="7">
        <v>0</v>
      </c>
      <c r="C669" s="7">
        <f t="shared" si="34"/>
        <v>0.75583605794746755</v>
      </c>
      <c r="D669" s="7">
        <f t="shared" si="35"/>
        <v>0.75586047434167281</v>
      </c>
      <c r="E669" s="7">
        <f t="shared" si="36"/>
        <v>-0.27989847758459119</v>
      </c>
    </row>
    <row r="670" spans="1:5" x14ac:dyDescent="0.15">
      <c r="A670" s="7">
        <v>663</v>
      </c>
      <c r="B670" s="7">
        <v>0</v>
      </c>
      <c r="C670" s="7">
        <f t="shared" si="34"/>
        <v>0.75583605794746755</v>
      </c>
      <c r="D670" s="7">
        <f t="shared" si="35"/>
        <v>0.75586047434167281</v>
      </c>
      <c r="E670" s="7">
        <f t="shared" si="36"/>
        <v>-0.27989847758459119</v>
      </c>
    </row>
    <row r="671" spans="1:5" x14ac:dyDescent="0.15">
      <c r="A671" s="7">
        <v>664</v>
      </c>
      <c r="B671" s="7">
        <v>2</v>
      </c>
      <c r="C671" s="7">
        <f t="shared" si="34"/>
        <v>4.4066701399555049E-2</v>
      </c>
      <c r="D671" s="7">
        <f t="shared" si="35"/>
        <v>4.4062294729415093E-2</v>
      </c>
      <c r="E671" s="7">
        <f t="shared" si="36"/>
        <v>-3.1221508570437044</v>
      </c>
    </row>
    <row r="672" spans="1:5" x14ac:dyDescent="0.15">
      <c r="A672" s="7">
        <v>665</v>
      </c>
      <c r="B672" s="7">
        <v>0</v>
      </c>
      <c r="C672" s="7">
        <f t="shared" si="34"/>
        <v>0.75583605794746755</v>
      </c>
      <c r="D672" s="7">
        <f t="shared" si="35"/>
        <v>0.75586047434167281</v>
      </c>
      <c r="E672" s="7">
        <f t="shared" si="36"/>
        <v>-0.27989847758459119</v>
      </c>
    </row>
    <row r="673" spans="1:5" x14ac:dyDescent="0.15">
      <c r="A673" s="7">
        <v>666</v>
      </c>
      <c r="B673" s="7">
        <v>0</v>
      </c>
      <c r="C673" s="7">
        <f t="shared" si="34"/>
        <v>0.75583605794746755</v>
      </c>
      <c r="D673" s="7">
        <f t="shared" si="35"/>
        <v>0.75586047434167281</v>
      </c>
      <c r="E673" s="7">
        <f t="shared" si="36"/>
        <v>-0.27989847758459119</v>
      </c>
    </row>
    <row r="674" spans="1:5" x14ac:dyDescent="0.15">
      <c r="A674" s="7">
        <v>667</v>
      </c>
      <c r="B674" s="7">
        <v>0</v>
      </c>
      <c r="C674" s="7">
        <f t="shared" si="34"/>
        <v>0.75583605794746755</v>
      </c>
      <c r="D674" s="7">
        <f t="shared" si="35"/>
        <v>0.75586047434167281</v>
      </c>
      <c r="E674" s="7">
        <f t="shared" si="36"/>
        <v>-0.27989847758459119</v>
      </c>
    </row>
    <row r="675" spans="1:5" x14ac:dyDescent="0.15">
      <c r="A675" s="7">
        <v>668</v>
      </c>
      <c r="B675" s="7">
        <v>0</v>
      </c>
      <c r="C675" s="7">
        <f t="shared" si="34"/>
        <v>0.75583605794746755</v>
      </c>
      <c r="D675" s="7">
        <f t="shared" si="35"/>
        <v>0.75586047434167281</v>
      </c>
      <c r="E675" s="7">
        <f t="shared" si="36"/>
        <v>-0.27989847758459119</v>
      </c>
    </row>
    <row r="676" spans="1:5" x14ac:dyDescent="0.15">
      <c r="A676" s="7">
        <v>669</v>
      </c>
      <c r="B676" s="7">
        <v>0</v>
      </c>
      <c r="C676" s="7">
        <f t="shared" si="34"/>
        <v>0.75583605794746755</v>
      </c>
      <c r="D676" s="7">
        <f t="shared" si="35"/>
        <v>0.75586047434167281</v>
      </c>
      <c r="E676" s="7">
        <f t="shared" si="36"/>
        <v>-0.27989847758459119</v>
      </c>
    </row>
    <row r="677" spans="1:5" x14ac:dyDescent="0.15">
      <c r="A677" s="7">
        <v>670</v>
      </c>
      <c r="B677" s="7">
        <v>0</v>
      </c>
      <c r="C677" s="7">
        <f t="shared" si="34"/>
        <v>0.75583605794746755</v>
      </c>
      <c r="D677" s="7">
        <f t="shared" si="35"/>
        <v>0.75586047434167281</v>
      </c>
      <c r="E677" s="7">
        <f t="shared" si="36"/>
        <v>-0.27989847758459119</v>
      </c>
    </row>
    <row r="678" spans="1:5" x14ac:dyDescent="0.15">
      <c r="A678" s="7">
        <v>671</v>
      </c>
      <c r="B678" s="7">
        <v>0</v>
      </c>
      <c r="C678" s="7">
        <f t="shared" si="34"/>
        <v>0.75583605794746755</v>
      </c>
      <c r="D678" s="7">
        <f t="shared" si="35"/>
        <v>0.75586047434167281</v>
      </c>
      <c r="E678" s="7">
        <f t="shared" si="36"/>
        <v>-0.27989847758459119</v>
      </c>
    </row>
    <row r="679" spans="1:5" x14ac:dyDescent="0.15">
      <c r="A679" s="7">
        <v>672</v>
      </c>
      <c r="B679" s="7">
        <v>0</v>
      </c>
      <c r="C679" s="7">
        <f t="shared" si="34"/>
        <v>0.75583605794746755</v>
      </c>
      <c r="D679" s="7">
        <f t="shared" si="35"/>
        <v>0.75586047434167281</v>
      </c>
      <c r="E679" s="7">
        <f t="shared" si="36"/>
        <v>-0.27989847758459119</v>
      </c>
    </row>
    <row r="680" spans="1:5" x14ac:dyDescent="0.15">
      <c r="A680" s="7">
        <v>673</v>
      </c>
      <c r="B680" s="7">
        <v>0</v>
      </c>
      <c r="C680" s="7">
        <f t="shared" si="34"/>
        <v>0.75583605794746755</v>
      </c>
      <c r="D680" s="7">
        <f t="shared" si="35"/>
        <v>0.75586047434167281</v>
      </c>
      <c r="E680" s="7">
        <f t="shared" si="36"/>
        <v>-0.27989847758459119</v>
      </c>
    </row>
    <row r="681" spans="1:5" x14ac:dyDescent="0.15">
      <c r="A681" s="7">
        <v>674</v>
      </c>
      <c r="B681" s="7">
        <v>0</v>
      </c>
      <c r="C681" s="7">
        <f t="shared" si="34"/>
        <v>0.75583605794746755</v>
      </c>
      <c r="D681" s="7">
        <f t="shared" si="35"/>
        <v>0.75586047434167281</v>
      </c>
      <c r="E681" s="7">
        <f t="shared" si="36"/>
        <v>-0.27989847758459119</v>
      </c>
    </row>
    <row r="682" spans="1:5" x14ac:dyDescent="0.15">
      <c r="A682" s="7">
        <v>675</v>
      </c>
      <c r="B682" s="7">
        <v>3</v>
      </c>
      <c r="C682" s="7">
        <f t="shared" si="34"/>
        <v>2.7470963680778882E-2</v>
      </c>
      <c r="D682" s="7">
        <f t="shared" si="35"/>
        <v>2.7468216584410805E-2</v>
      </c>
      <c r="E682" s="7">
        <f t="shared" si="36"/>
        <v>-3.5947257032827968</v>
      </c>
    </row>
    <row r="683" spans="1:5" x14ac:dyDescent="0.15">
      <c r="A683" s="7">
        <v>676</v>
      </c>
      <c r="B683" s="7">
        <v>0</v>
      </c>
      <c r="C683" s="7">
        <f t="shared" si="34"/>
        <v>0.75583605794746755</v>
      </c>
      <c r="D683" s="7">
        <f t="shared" si="35"/>
        <v>0.75586047434167281</v>
      </c>
      <c r="E683" s="7">
        <f t="shared" si="36"/>
        <v>-0.27989847758459119</v>
      </c>
    </row>
    <row r="684" spans="1:5" x14ac:dyDescent="0.15">
      <c r="A684" s="7">
        <v>677</v>
      </c>
      <c r="B684" s="7">
        <v>0</v>
      </c>
      <c r="C684" s="7">
        <f t="shared" si="34"/>
        <v>0.75583605794746755</v>
      </c>
      <c r="D684" s="7">
        <f t="shared" si="35"/>
        <v>0.75586047434167281</v>
      </c>
      <c r="E684" s="7">
        <f t="shared" si="36"/>
        <v>-0.27989847758459119</v>
      </c>
    </row>
    <row r="685" spans="1:5" x14ac:dyDescent="0.15">
      <c r="A685" s="7">
        <v>678</v>
      </c>
      <c r="B685" s="7">
        <v>0</v>
      </c>
      <c r="C685" s="7">
        <f t="shared" si="34"/>
        <v>0.75583605794746755</v>
      </c>
      <c r="D685" s="7">
        <f t="shared" si="35"/>
        <v>0.75586047434167281</v>
      </c>
      <c r="E685" s="7">
        <f t="shared" si="36"/>
        <v>-0.27989847758459119</v>
      </c>
    </row>
    <row r="686" spans="1:5" x14ac:dyDescent="0.15">
      <c r="A686" s="7">
        <v>679</v>
      </c>
      <c r="B686" s="7">
        <v>0</v>
      </c>
      <c r="C686" s="7">
        <f t="shared" si="34"/>
        <v>0.75583605794746755</v>
      </c>
      <c r="D686" s="7">
        <f t="shared" si="35"/>
        <v>0.75586047434167281</v>
      </c>
      <c r="E686" s="7">
        <f t="shared" si="36"/>
        <v>-0.27989847758459119</v>
      </c>
    </row>
    <row r="687" spans="1:5" x14ac:dyDescent="0.15">
      <c r="A687" s="7">
        <v>680</v>
      </c>
      <c r="B687" s="7">
        <v>0</v>
      </c>
      <c r="C687" s="7">
        <f t="shared" si="34"/>
        <v>0.75583605794746755</v>
      </c>
      <c r="D687" s="7">
        <f t="shared" si="35"/>
        <v>0.75586047434167281</v>
      </c>
      <c r="E687" s="7">
        <f t="shared" si="36"/>
        <v>-0.27989847758459119</v>
      </c>
    </row>
    <row r="688" spans="1:5" x14ac:dyDescent="0.15">
      <c r="A688" s="7">
        <v>681</v>
      </c>
      <c r="B688" s="7">
        <v>0</v>
      </c>
      <c r="C688" s="7">
        <f t="shared" si="34"/>
        <v>0.75583605794746755</v>
      </c>
      <c r="D688" s="7">
        <f t="shared" si="35"/>
        <v>0.75586047434167281</v>
      </c>
      <c r="E688" s="7">
        <f t="shared" si="36"/>
        <v>-0.27989847758459119</v>
      </c>
    </row>
    <row r="689" spans="1:5" x14ac:dyDescent="0.15">
      <c r="A689" s="7">
        <v>682</v>
      </c>
      <c r="B689" s="7">
        <v>0</v>
      </c>
      <c r="C689" s="7">
        <f t="shared" si="34"/>
        <v>0.75583605794746755</v>
      </c>
      <c r="D689" s="7">
        <f t="shared" si="35"/>
        <v>0.75586047434167281</v>
      </c>
      <c r="E689" s="7">
        <f t="shared" si="36"/>
        <v>-0.27989847758459119</v>
      </c>
    </row>
    <row r="690" spans="1:5" x14ac:dyDescent="0.15">
      <c r="A690" s="7">
        <v>683</v>
      </c>
      <c r="B690" s="7">
        <v>0</v>
      </c>
      <c r="C690" s="7">
        <f t="shared" si="34"/>
        <v>0.75583605794746755</v>
      </c>
      <c r="D690" s="7">
        <f t="shared" si="35"/>
        <v>0.75586047434167281</v>
      </c>
      <c r="E690" s="7">
        <f t="shared" si="36"/>
        <v>-0.27989847758459119</v>
      </c>
    </row>
    <row r="691" spans="1:5" x14ac:dyDescent="0.15">
      <c r="A691" s="7">
        <v>684</v>
      </c>
      <c r="B691" s="7">
        <v>1</v>
      </c>
      <c r="C691" s="7">
        <f t="shared" si="34"/>
        <v>8.8686757970141181E-2</v>
      </c>
      <c r="D691" s="7">
        <f t="shared" si="35"/>
        <v>8.867788929434417E-2</v>
      </c>
      <c r="E691" s="7">
        <f t="shared" si="36"/>
        <v>-2.4227446958891354</v>
      </c>
    </row>
    <row r="692" spans="1:5" x14ac:dyDescent="0.15">
      <c r="A692" s="7">
        <v>685</v>
      </c>
      <c r="B692" s="7">
        <v>0</v>
      </c>
      <c r="C692" s="7">
        <f t="shared" si="34"/>
        <v>0.75583605794746755</v>
      </c>
      <c r="D692" s="7">
        <f t="shared" si="35"/>
        <v>0.75586047434167281</v>
      </c>
      <c r="E692" s="7">
        <f t="shared" si="36"/>
        <v>-0.27989847758459119</v>
      </c>
    </row>
    <row r="693" spans="1:5" x14ac:dyDescent="0.15">
      <c r="A693" s="7">
        <v>686</v>
      </c>
      <c r="B693" s="7">
        <v>0</v>
      </c>
      <c r="C693" s="7">
        <f t="shared" si="34"/>
        <v>0.75583605794746755</v>
      </c>
      <c r="D693" s="7">
        <f t="shared" si="35"/>
        <v>0.75586047434167281</v>
      </c>
      <c r="E693" s="7">
        <f t="shared" si="36"/>
        <v>-0.27989847758459119</v>
      </c>
    </row>
    <row r="694" spans="1:5" x14ac:dyDescent="0.15">
      <c r="A694" s="7">
        <v>687</v>
      </c>
      <c r="B694" s="7">
        <v>0</v>
      </c>
      <c r="C694" s="7">
        <f t="shared" si="34"/>
        <v>0.75583605794746755</v>
      </c>
      <c r="D694" s="7">
        <f t="shared" si="35"/>
        <v>0.75586047434167281</v>
      </c>
      <c r="E694" s="7">
        <f t="shared" si="36"/>
        <v>-0.27989847758459119</v>
      </c>
    </row>
    <row r="695" spans="1:5" x14ac:dyDescent="0.15">
      <c r="A695" s="7">
        <v>688</v>
      </c>
      <c r="B695" s="7">
        <v>0</v>
      </c>
      <c r="C695" s="7">
        <f t="shared" si="34"/>
        <v>0.75583605794746755</v>
      </c>
      <c r="D695" s="7">
        <f t="shared" si="35"/>
        <v>0.75586047434167281</v>
      </c>
      <c r="E695" s="7">
        <f t="shared" si="36"/>
        <v>-0.27989847758459119</v>
      </c>
    </row>
    <row r="696" spans="1:5" x14ac:dyDescent="0.15">
      <c r="A696" s="7">
        <v>689</v>
      </c>
      <c r="B696" s="7">
        <v>0</v>
      </c>
      <c r="C696" s="7">
        <f t="shared" si="34"/>
        <v>0.75583605794746755</v>
      </c>
      <c r="D696" s="7">
        <f t="shared" si="35"/>
        <v>0.75586047434167281</v>
      </c>
      <c r="E696" s="7">
        <f t="shared" si="36"/>
        <v>-0.27989847758459119</v>
      </c>
    </row>
    <row r="697" spans="1:5" x14ac:dyDescent="0.15">
      <c r="A697" s="7">
        <v>690</v>
      </c>
      <c r="B697" s="7">
        <v>0</v>
      </c>
      <c r="C697" s="7">
        <f t="shared" si="34"/>
        <v>0.75583605794746755</v>
      </c>
      <c r="D697" s="7">
        <f t="shared" si="35"/>
        <v>0.75586047434167281</v>
      </c>
      <c r="E697" s="7">
        <f t="shared" si="36"/>
        <v>-0.27989847758459119</v>
      </c>
    </row>
    <row r="698" spans="1:5" x14ac:dyDescent="0.15">
      <c r="A698" s="7">
        <v>691</v>
      </c>
      <c r="B698" s="7">
        <v>2</v>
      </c>
      <c r="C698" s="7">
        <f t="shared" si="34"/>
        <v>4.4066701399555049E-2</v>
      </c>
      <c r="D698" s="7">
        <f t="shared" si="35"/>
        <v>4.4062294729415093E-2</v>
      </c>
      <c r="E698" s="7">
        <f t="shared" si="36"/>
        <v>-3.1221508570437044</v>
      </c>
    </row>
    <row r="699" spans="1:5" x14ac:dyDescent="0.15">
      <c r="A699" s="7">
        <v>692</v>
      </c>
      <c r="B699" s="7">
        <v>0</v>
      </c>
      <c r="C699" s="7">
        <f t="shared" si="34"/>
        <v>0.75583605794746755</v>
      </c>
      <c r="D699" s="7">
        <f t="shared" si="35"/>
        <v>0.75586047434167281</v>
      </c>
      <c r="E699" s="7">
        <f t="shared" si="36"/>
        <v>-0.27989847758459119</v>
      </c>
    </row>
    <row r="700" spans="1:5" x14ac:dyDescent="0.15">
      <c r="A700" s="7">
        <v>693</v>
      </c>
      <c r="B700" s="7">
        <v>1</v>
      </c>
      <c r="C700" s="7">
        <f t="shared" si="34"/>
        <v>8.8686757970141181E-2</v>
      </c>
      <c r="D700" s="7">
        <f t="shared" si="35"/>
        <v>8.867788929434417E-2</v>
      </c>
      <c r="E700" s="7">
        <f t="shared" si="36"/>
        <v>-2.4227446958891354</v>
      </c>
    </row>
    <row r="701" spans="1:5" x14ac:dyDescent="0.15">
      <c r="A701" s="7">
        <v>694</v>
      </c>
      <c r="B701" s="7">
        <v>1</v>
      </c>
      <c r="C701" s="7">
        <f t="shared" si="34"/>
        <v>8.8686757970141181E-2</v>
      </c>
      <c r="D701" s="7">
        <f t="shared" si="35"/>
        <v>8.867788929434417E-2</v>
      </c>
      <c r="E701" s="7">
        <f t="shared" si="36"/>
        <v>-2.4227446958891354</v>
      </c>
    </row>
    <row r="702" spans="1:5" x14ac:dyDescent="0.15">
      <c r="A702" s="7">
        <v>695</v>
      </c>
      <c r="B702" s="7">
        <v>0</v>
      </c>
      <c r="C702" s="7">
        <f t="shared" si="34"/>
        <v>0.75583605794746755</v>
      </c>
      <c r="D702" s="7">
        <f t="shared" si="35"/>
        <v>0.75586047434167281</v>
      </c>
      <c r="E702" s="7">
        <f t="shared" si="36"/>
        <v>-0.27989847758459119</v>
      </c>
    </row>
    <row r="703" spans="1:5" x14ac:dyDescent="0.15">
      <c r="A703" s="7">
        <v>696</v>
      </c>
      <c r="B703" s="7">
        <v>3</v>
      </c>
      <c r="C703" s="7">
        <f t="shared" si="34"/>
        <v>2.7470963680778882E-2</v>
      </c>
      <c r="D703" s="7">
        <f t="shared" si="35"/>
        <v>2.7468216584410805E-2</v>
      </c>
      <c r="E703" s="7">
        <f t="shared" si="36"/>
        <v>-3.5947257032827968</v>
      </c>
    </row>
    <row r="704" spans="1:5" x14ac:dyDescent="0.15">
      <c r="A704" s="7">
        <v>697</v>
      </c>
      <c r="B704" s="7">
        <v>0</v>
      </c>
      <c r="C704" s="7">
        <f t="shared" si="34"/>
        <v>0.75583605794746755</v>
      </c>
      <c r="D704" s="7">
        <f t="shared" si="35"/>
        <v>0.75586047434167281</v>
      </c>
      <c r="E704" s="7">
        <f t="shared" si="36"/>
        <v>-0.27989847758459119</v>
      </c>
    </row>
    <row r="705" spans="1:5" x14ac:dyDescent="0.15">
      <c r="A705" s="7">
        <v>698</v>
      </c>
      <c r="B705" s="7">
        <v>0</v>
      </c>
      <c r="C705" s="7">
        <f t="shared" si="34"/>
        <v>0.75583605794746755</v>
      </c>
      <c r="D705" s="7">
        <f t="shared" si="35"/>
        <v>0.75586047434167281</v>
      </c>
      <c r="E705" s="7">
        <f t="shared" si="36"/>
        <v>-0.27989847758459119</v>
      </c>
    </row>
    <row r="706" spans="1:5" x14ac:dyDescent="0.15">
      <c r="A706" s="7">
        <v>699</v>
      </c>
      <c r="B706" s="7">
        <v>0</v>
      </c>
      <c r="C706" s="7">
        <f t="shared" si="34"/>
        <v>0.75583605794746755</v>
      </c>
      <c r="D706" s="7">
        <f t="shared" si="35"/>
        <v>0.75586047434167281</v>
      </c>
      <c r="E706" s="7">
        <f t="shared" si="36"/>
        <v>-0.27989847758459119</v>
      </c>
    </row>
    <row r="707" spans="1:5" x14ac:dyDescent="0.15">
      <c r="A707" s="7">
        <v>700</v>
      </c>
      <c r="B707" s="7">
        <v>0</v>
      </c>
      <c r="C707" s="7">
        <f t="shared" si="34"/>
        <v>0.75583605794746755</v>
      </c>
      <c r="D707" s="7">
        <f t="shared" si="35"/>
        <v>0.75586047434167281</v>
      </c>
      <c r="E707" s="7">
        <f t="shared" si="36"/>
        <v>-0.27989847758459119</v>
      </c>
    </row>
    <row r="708" spans="1:5" x14ac:dyDescent="0.15">
      <c r="A708" s="7">
        <v>701</v>
      </c>
      <c r="B708" s="7">
        <v>0</v>
      </c>
      <c r="C708" s="7">
        <f t="shared" si="34"/>
        <v>0.75583605794746755</v>
      </c>
      <c r="D708" s="7">
        <f t="shared" si="35"/>
        <v>0.75586047434167281</v>
      </c>
      <c r="E708" s="7">
        <f t="shared" si="36"/>
        <v>-0.27989847758459119</v>
      </c>
    </row>
    <row r="709" spans="1:5" x14ac:dyDescent="0.15">
      <c r="A709" s="7">
        <v>702</v>
      </c>
      <c r="B709" s="7">
        <v>0</v>
      </c>
      <c r="C709" s="7">
        <f t="shared" si="34"/>
        <v>0.75583605794746755</v>
      </c>
      <c r="D709" s="7">
        <f t="shared" si="35"/>
        <v>0.75586047434167281</v>
      </c>
      <c r="E709" s="7">
        <f t="shared" si="36"/>
        <v>-0.27989847758459119</v>
      </c>
    </row>
    <row r="710" spans="1:5" x14ac:dyDescent="0.15">
      <c r="A710" s="7">
        <v>703</v>
      </c>
      <c r="B710" s="7">
        <v>0</v>
      </c>
      <c r="C710" s="7">
        <f t="shared" si="34"/>
        <v>0.75583605794746755</v>
      </c>
      <c r="D710" s="7">
        <f t="shared" si="35"/>
        <v>0.75586047434167281</v>
      </c>
      <c r="E710" s="7">
        <f t="shared" si="36"/>
        <v>-0.27989847758459119</v>
      </c>
    </row>
    <row r="711" spans="1:5" x14ac:dyDescent="0.15">
      <c r="A711" s="7">
        <v>704</v>
      </c>
      <c r="B711" s="7">
        <v>0</v>
      </c>
      <c r="C711" s="7">
        <f t="shared" si="34"/>
        <v>0.75583605794746755</v>
      </c>
      <c r="D711" s="7">
        <f t="shared" si="35"/>
        <v>0.75586047434167281</v>
      </c>
      <c r="E711" s="7">
        <f t="shared" si="36"/>
        <v>-0.27989847758459119</v>
      </c>
    </row>
    <row r="712" spans="1:5" x14ac:dyDescent="0.15">
      <c r="A712" s="7">
        <v>705</v>
      </c>
      <c r="B712" s="7">
        <v>2</v>
      </c>
      <c r="C712" s="7">
        <f t="shared" si="34"/>
        <v>4.4066701399555049E-2</v>
      </c>
      <c r="D712" s="7">
        <f t="shared" si="35"/>
        <v>4.4062294729415093E-2</v>
      </c>
      <c r="E712" s="7">
        <f t="shared" si="36"/>
        <v>-3.1221508570437044</v>
      </c>
    </row>
    <row r="713" spans="1:5" x14ac:dyDescent="0.15">
      <c r="A713" s="7">
        <v>706</v>
      </c>
      <c r="B713" s="7">
        <v>0</v>
      </c>
      <c r="C713" s="7">
        <f t="shared" ref="C713:C776" si="37">(_xlfn.GAMMA($B$1+B713)/(_xlfn.GAMMA($B$1)*FACT(B713))) * ($B$2/($B$2+$B$5))^$B$1 * (1/($B$2 +$B$5))^B713</f>
        <v>0.75583605794746755</v>
      </c>
      <c r="D713" s="7">
        <f t="shared" ref="D713:D776" si="38" xml:space="preserve"> IF(B713 = 0, $B$3 + (1-$B$3) * C713, (1-$B$3) *C713)</f>
        <v>0.75586047434167281</v>
      </c>
      <c r="E713" s="7">
        <f t="shared" ref="E713:E776" si="39">LN(D713)</f>
        <v>-0.27989847758459119</v>
      </c>
    </row>
    <row r="714" spans="1:5" x14ac:dyDescent="0.15">
      <c r="A714" s="7">
        <v>707</v>
      </c>
      <c r="B714" s="7">
        <v>0</v>
      </c>
      <c r="C714" s="7">
        <f t="shared" si="37"/>
        <v>0.75583605794746755</v>
      </c>
      <c r="D714" s="7">
        <f t="shared" si="38"/>
        <v>0.75586047434167281</v>
      </c>
      <c r="E714" s="7">
        <f t="shared" si="39"/>
        <v>-0.27989847758459119</v>
      </c>
    </row>
    <row r="715" spans="1:5" x14ac:dyDescent="0.15">
      <c r="A715" s="7">
        <v>708</v>
      </c>
      <c r="B715" s="7">
        <v>0</v>
      </c>
      <c r="C715" s="7">
        <f t="shared" si="37"/>
        <v>0.75583605794746755</v>
      </c>
      <c r="D715" s="7">
        <f t="shared" si="38"/>
        <v>0.75586047434167281</v>
      </c>
      <c r="E715" s="7">
        <f t="shared" si="39"/>
        <v>-0.27989847758459119</v>
      </c>
    </row>
    <row r="716" spans="1:5" x14ac:dyDescent="0.15">
      <c r="A716" s="7">
        <v>709</v>
      </c>
      <c r="B716" s="7">
        <v>0</v>
      </c>
      <c r="C716" s="7">
        <f t="shared" si="37"/>
        <v>0.75583605794746755</v>
      </c>
      <c r="D716" s="7">
        <f t="shared" si="38"/>
        <v>0.75586047434167281</v>
      </c>
      <c r="E716" s="7">
        <f t="shared" si="39"/>
        <v>-0.27989847758459119</v>
      </c>
    </row>
    <row r="717" spans="1:5" x14ac:dyDescent="0.15">
      <c r="A717" s="7">
        <v>710</v>
      </c>
      <c r="B717" s="7">
        <v>0</v>
      </c>
      <c r="C717" s="7">
        <f t="shared" si="37"/>
        <v>0.75583605794746755</v>
      </c>
      <c r="D717" s="7">
        <f t="shared" si="38"/>
        <v>0.75586047434167281</v>
      </c>
      <c r="E717" s="7">
        <f t="shared" si="39"/>
        <v>-0.27989847758459119</v>
      </c>
    </row>
    <row r="718" spans="1:5" x14ac:dyDescent="0.15">
      <c r="A718" s="7">
        <v>711</v>
      </c>
      <c r="B718" s="7">
        <v>1</v>
      </c>
      <c r="C718" s="7">
        <f t="shared" si="37"/>
        <v>8.8686757970141181E-2</v>
      </c>
      <c r="D718" s="7">
        <f t="shared" si="38"/>
        <v>8.867788929434417E-2</v>
      </c>
      <c r="E718" s="7">
        <f t="shared" si="39"/>
        <v>-2.4227446958891354</v>
      </c>
    </row>
    <row r="719" spans="1:5" x14ac:dyDescent="0.15">
      <c r="A719" s="7">
        <v>712</v>
      </c>
      <c r="B719" s="7">
        <v>0</v>
      </c>
      <c r="C719" s="7">
        <f t="shared" si="37"/>
        <v>0.75583605794746755</v>
      </c>
      <c r="D719" s="7">
        <f t="shared" si="38"/>
        <v>0.75586047434167281</v>
      </c>
      <c r="E719" s="7">
        <f t="shared" si="39"/>
        <v>-0.27989847758459119</v>
      </c>
    </row>
    <row r="720" spans="1:5" x14ac:dyDescent="0.15">
      <c r="A720" s="7">
        <v>713</v>
      </c>
      <c r="B720" s="7">
        <v>5</v>
      </c>
      <c r="C720" s="7">
        <f t="shared" si="37"/>
        <v>1.366826244062944E-2</v>
      </c>
      <c r="D720" s="7">
        <f t="shared" si="38"/>
        <v>1.3666895614385376E-2</v>
      </c>
      <c r="E720" s="7">
        <f t="shared" si="39"/>
        <v>-4.2927787488141558</v>
      </c>
    </row>
    <row r="721" spans="1:5" x14ac:dyDescent="0.15">
      <c r="A721" s="7">
        <v>714</v>
      </c>
      <c r="B721" s="7">
        <v>0</v>
      </c>
      <c r="C721" s="7">
        <f t="shared" si="37"/>
        <v>0.75583605794746755</v>
      </c>
      <c r="D721" s="7">
        <f t="shared" si="38"/>
        <v>0.75586047434167281</v>
      </c>
      <c r="E721" s="7">
        <f t="shared" si="39"/>
        <v>-0.27989847758459119</v>
      </c>
    </row>
    <row r="722" spans="1:5" x14ac:dyDescent="0.15">
      <c r="A722" s="7">
        <v>715</v>
      </c>
      <c r="B722" s="7">
        <v>0</v>
      </c>
      <c r="C722" s="7">
        <f t="shared" si="37"/>
        <v>0.75583605794746755</v>
      </c>
      <c r="D722" s="7">
        <f t="shared" si="38"/>
        <v>0.75586047434167281</v>
      </c>
      <c r="E722" s="7">
        <f t="shared" si="39"/>
        <v>-0.27989847758459119</v>
      </c>
    </row>
    <row r="723" spans="1:5" x14ac:dyDescent="0.15">
      <c r="A723" s="7">
        <v>716</v>
      </c>
      <c r="B723" s="7">
        <v>7</v>
      </c>
      <c r="C723" s="7">
        <f t="shared" si="37"/>
        <v>7.8718020395525893E-3</v>
      </c>
      <c r="D723" s="7">
        <f t="shared" si="38"/>
        <v>7.8710148593486347E-3</v>
      </c>
      <c r="E723" s="7">
        <f t="shared" si="39"/>
        <v>-4.8445682719632792</v>
      </c>
    </row>
    <row r="724" spans="1:5" x14ac:dyDescent="0.15">
      <c r="A724" s="7">
        <v>717</v>
      </c>
      <c r="B724" s="7">
        <v>0</v>
      </c>
      <c r="C724" s="7">
        <f t="shared" si="37"/>
        <v>0.75583605794746755</v>
      </c>
      <c r="D724" s="7">
        <f t="shared" si="38"/>
        <v>0.75586047434167281</v>
      </c>
      <c r="E724" s="7">
        <f t="shared" si="39"/>
        <v>-0.27989847758459119</v>
      </c>
    </row>
    <row r="725" spans="1:5" x14ac:dyDescent="0.15">
      <c r="A725" s="7">
        <v>718</v>
      </c>
      <c r="B725" s="7">
        <v>0</v>
      </c>
      <c r="C725" s="7">
        <f t="shared" si="37"/>
        <v>0.75583605794746755</v>
      </c>
      <c r="D725" s="7">
        <f t="shared" si="38"/>
        <v>0.75586047434167281</v>
      </c>
      <c r="E725" s="7">
        <f t="shared" si="39"/>
        <v>-0.27989847758459119</v>
      </c>
    </row>
    <row r="726" spans="1:5" x14ac:dyDescent="0.15">
      <c r="A726" s="7">
        <v>719</v>
      </c>
      <c r="B726" s="7">
        <v>1</v>
      </c>
      <c r="C726" s="7">
        <f t="shared" si="37"/>
        <v>8.8686757970141181E-2</v>
      </c>
      <c r="D726" s="7">
        <f t="shared" si="38"/>
        <v>8.867788929434417E-2</v>
      </c>
      <c r="E726" s="7">
        <f t="shared" si="39"/>
        <v>-2.4227446958891354</v>
      </c>
    </row>
    <row r="727" spans="1:5" x14ac:dyDescent="0.15">
      <c r="A727" s="7">
        <v>720</v>
      </c>
      <c r="B727" s="7">
        <v>0</v>
      </c>
      <c r="C727" s="7">
        <f t="shared" si="37"/>
        <v>0.75583605794746755</v>
      </c>
      <c r="D727" s="7">
        <f t="shared" si="38"/>
        <v>0.75586047434167281</v>
      </c>
      <c r="E727" s="7">
        <f t="shared" si="39"/>
        <v>-0.27989847758459119</v>
      </c>
    </row>
    <row r="728" spans="1:5" x14ac:dyDescent="0.15">
      <c r="A728" s="7">
        <v>721</v>
      </c>
      <c r="B728" s="7">
        <v>0</v>
      </c>
      <c r="C728" s="7">
        <f t="shared" si="37"/>
        <v>0.75583605794746755</v>
      </c>
      <c r="D728" s="7">
        <f t="shared" si="38"/>
        <v>0.75586047434167281</v>
      </c>
      <c r="E728" s="7">
        <f t="shared" si="39"/>
        <v>-0.27989847758459119</v>
      </c>
    </row>
    <row r="729" spans="1:5" x14ac:dyDescent="0.15">
      <c r="A729" s="7">
        <v>722</v>
      </c>
      <c r="B729" s="7">
        <v>0</v>
      </c>
      <c r="C729" s="7">
        <f t="shared" si="37"/>
        <v>0.75583605794746755</v>
      </c>
      <c r="D729" s="7">
        <f t="shared" si="38"/>
        <v>0.75586047434167281</v>
      </c>
      <c r="E729" s="7">
        <f t="shared" si="39"/>
        <v>-0.27989847758459119</v>
      </c>
    </row>
    <row r="730" spans="1:5" x14ac:dyDescent="0.15">
      <c r="A730" s="7">
        <v>723</v>
      </c>
      <c r="B730" s="7">
        <v>1</v>
      </c>
      <c r="C730" s="7">
        <f t="shared" si="37"/>
        <v>8.8686757970141181E-2</v>
      </c>
      <c r="D730" s="7">
        <f t="shared" si="38"/>
        <v>8.867788929434417E-2</v>
      </c>
      <c r="E730" s="7">
        <f t="shared" si="39"/>
        <v>-2.4227446958891354</v>
      </c>
    </row>
    <row r="731" spans="1:5" x14ac:dyDescent="0.15">
      <c r="A731" s="7">
        <v>724</v>
      </c>
      <c r="B731" s="7">
        <v>2</v>
      </c>
      <c r="C731" s="7">
        <f t="shared" si="37"/>
        <v>4.4066701399555049E-2</v>
      </c>
      <c r="D731" s="7">
        <f t="shared" si="38"/>
        <v>4.4062294729415093E-2</v>
      </c>
      <c r="E731" s="7">
        <f t="shared" si="39"/>
        <v>-3.1221508570437044</v>
      </c>
    </row>
    <row r="732" spans="1:5" x14ac:dyDescent="0.15">
      <c r="A732" s="7">
        <v>725</v>
      </c>
      <c r="B732" s="7">
        <v>0</v>
      </c>
      <c r="C732" s="7">
        <f t="shared" si="37"/>
        <v>0.75583605794746755</v>
      </c>
      <c r="D732" s="7">
        <f t="shared" si="38"/>
        <v>0.75586047434167281</v>
      </c>
      <c r="E732" s="7">
        <f t="shared" si="39"/>
        <v>-0.27989847758459119</v>
      </c>
    </row>
    <row r="733" spans="1:5" x14ac:dyDescent="0.15">
      <c r="A733" s="7">
        <v>726</v>
      </c>
      <c r="B733" s="7">
        <v>3</v>
      </c>
      <c r="C733" s="7">
        <f t="shared" si="37"/>
        <v>2.7470963680778882E-2</v>
      </c>
      <c r="D733" s="7">
        <f t="shared" si="38"/>
        <v>2.7468216584410805E-2</v>
      </c>
      <c r="E733" s="7">
        <f t="shared" si="39"/>
        <v>-3.5947257032827968</v>
      </c>
    </row>
    <row r="734" spans="1:5" x14ac:dyDescent="0.15">
      <c r="A734" s="7">
        <v>727</v>
      </c>
      <c r="B734" s="7">
        <v>0</v>
      </c>
      <c r="C734" s="7">
        <f t="shared" si="37"/>
        <v>0.75583605794746755</v>
      </c>
      <c r="D734" s="7">
        <f t="shared" si="38"/>
        <v>0.75586047434167281</v>
      </c>
      <c r="E734" s="7">
        <f t="shared" si="39"/>
        <v>-0.27989847758459119</v>
      </c>
    </row>
    <row r="735" spans="1:5" x14ac:dyDescent="0.15">
      <c r="A735" s="7">
        <v>728</v>
      </c>
      <c r="B735" s="7">
        <v>3</v>
      </c>
      <c r="C735" s="7">
        <f t="shared" si="37"/>
        <v>2.7470963680778882E-2</v>
      </c>
      <c r="D735" s="7">
        <f t="shared" si="38"/>
        <v>2.7468216584410805E-2</v>
      </c>
      <c r="E735" s="7">
        <f t="shared" si="39"/>
        <v>-3.5947257032827968</v>
      </c>
    </row>
    <row r="736" spans="1:5" x14ac:dyDescent="0.15">
      <c r="A736" s="7">
        <v>729</v>
      </c>
      <c r="B736" s="7">
        <v>0</v>
      </c>
      <c r="C736" s="7">
        <f t="shared" si="37"/>
        <v>0.75583605794746755</v>
      </c>
      <c r="D736" s="7">
        <f t="shared" si="38"/>
        <v>0.75586047434167281</v>
      </c>
      <c r="E736" s="7">
        <f t="shared" si="39"/>
        <v>-0.27989847758459119</v>
      </c>
    </row>
    <row r="737" spans="1:5" x14ac:dyDescent="0.15">
      <c r="A737" s="7">
        <v>730</v>
      </c>
      <c r="B737" s="7">
        <v>0</v>
      </c>
      <c r="C737" s="7">
        <f t="shared" si="37"/>
        <v>0.75583605794746755</v>
      </c>
      <c r="D737" s="7">
        <f t="shared" si="38"/>
        <v>0.75586047434167281</v>
      </c>
      <c r="E737" s="7">
        <f t="shared" si="39"/>
        <v>-0.27989847758459119</v>
      </c>
    </row>
    <row r="738" spans="1:5" x14ac:dyDescent="0.15">
      <c r="A738" s="7">
        <v>731</v>
      </c>
      <c r="B738" s="7">
        <v>0</v>
      </c>
      <c r="C738" s="7">
        <f t="shared" si="37"/>
        <v>0.75583605794746755</v>
      </c>
      <c r="D738" s="7">
        <f t="shared" si="38"/>
        <v>0.75586047434167281</v>
      </c>
      <c r="E738" s="7">
        <f t="shared" si="39"/>
        <v>-0.27989847758459119</v>
      </c>
    </row>
    <row r="739" spans="1:5" x14ac:dyDescent="0.15">
      <c r="A739" s="7">
        <v>732</v>
      </c>
      <c r="B739" s="7">
        <v>0</v>
      </c>
      <c r="C739" s="7">
        <f t="shared" si="37"/>
        <v>0.75583605794746755</v>
      </c>
      <c r="D739" s="7">
        <f t="shared" si="38"/>
        <v>0.75586047434167281</v>
      </c>
      <c r="E739" s="7">
        <f t="shared" si="39"/>
        <v>-0.27989847758459119</v>
      </c>
    </row>
    <row r="740" spans="1:5" x14ac:dyDescent="0.15">
      <c r="A740" s="7">
        <v>733</v>
      </c>
      <c r="B740" s="7">
        <v>0</v>
      </c>
      <c r="C740" s="7">
        <f t="shared" si="37"/>
        <v>0.75583605794746755</v>
      </c>
      <c r="D740" s="7">
        <f t="shared" si="38"/>
        <v>0.75586047434167281</v>
      </c>
      <c r="E740" s="7">
        <f t="shared" si="39"/>
        <v>-0.27989847758459119</v>
      </c>
    </row>
    <row r="741" spans="1:5" x14ac:dyDescent="0.15">
      <c r="A741" s="7">
        <v>734</v>
      </c>
      <c r="B741" s="7">
        <v>0</v>
      </c>
      <c r="C741" s="7">
        <f t="shared" si="37"/>
        <v>0.75583605794746755</v>
      </c>
      <c r="D741" s="7">
        <f t="shared" si="38"/>
        <v>0.75586047434167281</v>
      </c>
      <c r="E741" s="7">
        <f t="shared" si="39"/>
        <v>-0.27989847758459119</v>
      </c>
    </row>
    <row r="742" spans="1:5" x14ac:dyDescent="0.15">
      <c r="A742" s="7">
        <v>735</v>
      </c>
      <c r="B742" s="7">
        <v>0</v>
      </c>
      <c r="C742" s="7">
        <f t="shared" si="37"/>
        <v>0.75583605794746755</v>
      </c>
      <c r="D742" s="7">
        <f t="shared" si="38"/>
        <v>0.75586047434167281</v>
      </c>
      <c r="E742" s="7">
        <f t="shared" si="39"/>
        <v>-0.27989847758459119</v>
      </c>
    </row>
    <row r="743" spans="1:5" x14ac:dyDescent="0.15">
      <c r="A743" s="7">
        <v>736</v>
      </c>
      <c r="B743" s="7">
        <v>1</v>
      </c>
      <c r="C743" s="7">
        <f t="shared" si="37"/>
        <v>8.8686757970141181E-2</v>
      </c>
      <c r="D743" s="7">
        <f t="shared" si="38"/>
        <v>8.867788929434417E-2</v>
      </c>
      <c r="E743" s="7">
        <f t="shared" si="39"/>
        <v>-2.4227446958891354</v>
      </c>
    </row>
    <row r="744" spans="1:5" x14ac:dyDescent="0.15">
      <c r="A744" s="7">
        <v>737</v>
      </c>
      <c r="B744" s="7">
        <v>0</v>
      </c>
      <c r="C744" s="7">
        <f t="shared" si="37"/>
        <v>0.75583605794746755</v>
      </c>
      <c r="D744" s="7">
        <f t="shared" si="38"/>
        <v>0.75586047434167281</v>
      </c>
      <c r="E744" s="7">
        <f t="shared" si="39"/>
        <v>-0.27989847758459119</v>
      </c>
    </row>
    <row r="745" spans="1:5" x14ac:dyDescent="0.15">
      <c r="A745" s="7">
        <v>738</v>
      </c>
      <c r="B745" s="7">
        <v>0</v>
      </c>
      <c r="C745" s="7">
        <f t="shared" si="37"/>
        <v>0.75583605794746755</v>
      </c>
      <c r="D745" s="7">
        <f t="shared" si="38"/>
        <v>0.75586047434167281</v>
      </c>
      <c r="E745" s="7">
        <f t="shared" si="39"/>
        <v>-0.27989847758459119</v>
      </c>
    </row>
    <row r="746" spans="1:5" x14ac:dyDescent="0.15">
      <c r="A746" s="7">
        <v>739</v>
      </c>
      <c r="B746" s="7">
        <v>0</v>
      </c>
      <c r="C746" s="7">
        <f t="shared" si="37"/>
        <v>0.75583605794746755</v>
      </c>
      <c r="D746" s="7">
        <f t="shared" si="38"/>
        <v>0.75586047434167281</v>
      </c>
      <c r="E746" s="7">
        <f t="shared" si="39"/>
        <v>-0.27989847758459119</v>
      </c>
    </row>
    <row r="747" spans="1:5" x14ac:dyDescent="0.15">
      <c r="A747" s="7">
        <v>740</v>
      </c>
      <c r="B747" s="7">
        <v>0</v>
      </c>
      <c r="C747" s="7">
        <f t="shared" si="37"/>
        <v>0.75583605794746755</v>
      </c>
      <c r="D747" s="7">
        <f t="shared" si="38"/>
        <v>0.75586047434167281</v>
      </c>
      <c r="E747" s="7">
        <f t="shared" si="39"/>
        <v>-0.27989847758459119</v>
      </c>
    </row>
    <row r="748" spans="1:5" x14ac:dyDescent="0.15">
      <c r="A748" s="7">
        <v>741</v>
      </c>
      <c r="B748" s="7">
        <v>1</v>
      </c>
      <c r="C748" s="7">
        <f t="shared" si="37"/>
        <v>8.8686757970141181E-2</v>
      </c>
      <c r="D748" s="7">
        <f t="shared" si="38"/>
        <v>8.867788929434417E-2</v>
      </c>
      <c r="E748" s="7">
        <f t="shared" si="39"/>
        <v>-2.4227446958891354</v>
      </c>
    </row>
    <row r="749" spans="1:5" x14ac:dyDescent="0.15">
      <c r="A749" s="7">
        <v>742</v>
      </c>
      <c r="B749" s="7">
        <v>6</v>
      </c>
      <c r="C749" s="7">
        <f t="shared" si="37"/>
        <v>1.0249964283711298E-2</v>
      </c>
      <c r="D749" s="7">
        <f t="shared" si="38"/>
        <v>1.0248939287282927E-2</v>
      </c>
      <c r="E749" s="7">
        <f t="shared" si="39"/>
        <v>-4.5805810629200954</v>
      </c>
    </row>
    <row r="750" spans="1:5" x14ac:dyDescent="0.15">
      <c r="A750" s="7">
        <v>743</v>
      </c>
      <c r="B750" s="7">
        <v>4</v>
      </c>
      <c r="C750" s="7">
        <f t="shared" si="37"/>
        <v>1.8863004210024691E-2</v>
      </c>
      <c r="D750" s="7">
        <f t="shared" si="38"/>
        <v>1.8861117909603688E-2</v>
      </c>
      <c r="E750" s="7">
        <f t="shared" si="39"/>
        <v>-3.9706527294293466</v>
      </c>
    </row>
    <row r="751" spans="1:5" x14ac:dyDescent="0.15">
      <c r="A751" s="7">
        <v>744</v>
      </c>
      <c r="B751" s="7">
        <v>1</v>
      </c>
      <c r="C751" s="7">
        <f t="shared" si="37"/>
        <v>8.8686757970141181E-2</v>
      </c>
      <c r="D751" s="7">
        <f t="shared" si="38"/>
        <v>8.867788929434417E-2</v>
      </c>
      <c r="E751" s="7">
        <f t="shared" si="39"/>
        <v>-2.4227446958891354</v>
      </c>
    </row>
    <row r="752" spans="1:5" x14ac:dyDescent="0.15">
      <c r="A752" s="7">
        <v>745</v>
      </c>
      <c r="B752" s="7">
        <v>0</v>
      </c>
      <c r="C752" s="7">
        <f t="shared" si="37"/>
        <v>0.75583605794746755</v>
      </c>
      <c r="D752" s="7">
        <f t="shared" si="38"/>
        <v>0.75586047434167281</v>
      </c>
      <c r="E752" s="7">
        <f t="shared" si="39"/>
        <v>-0.27989847758459119</v>
      </c>
    </row>
    <row r="753" spans="1:5" x14ac:dyDescent="0.15">
      <c r="A753" s="7">
        <v>746</v>
      </c>
      <c r="B753" s="7">
        <v>0</v>
      </c>
      <c r="C753" s="7">
        <f t="shared" si="37"/>
        <v>0.75583605794746755</v>
      </c>
      <c r="D753" s="7">
        <f t="shared" si="38"/>
        <v>0.75586047434167281</v>
      </c>
      <c r="E753" s="7">
        <f t="shared" si="39"/>
        <v>-0.27989847758459119</v>
      </c>
    </row>
    <row r="754" spans="1:5" x14ac:dyDescent="0.15">
      <c r="A754" s="7">
        <v>747</v>
      </c>
      <c r="B754" s="7">
        <v>0</v>
      </c>
      <c r="C754" s="7">
        <f t="shared" si="37"/>
        <v>0.75583605794746755</v>
      </c>
      <c r="D754" s="7">
        <f t="shared" si="38"/>
        <v>0.75586047434167281</v>
      </c>
      <c r="E754" s="7">
        <f t="shared" si="39"/>
        <v>-0.27989847758459119</v>
      </c>
    </row>
    <row r="755" spans="1:5" x14ac:dyDescent="0.15">
      <c r="A755" s="7">
        <v>748</v>
      </c>
      <c r="B755" s="7">
        <v>1</v>
      </c>
      <c r="C755" s="7">
        <f t="shared" si="37"/>
        <v>8.8686757970141181E-2</v>
      </c>
      <c r="D755" s="7">
        <f t="shared" si="38"/>
        <v>8.867788929434417E-2</v>
      </c>
      <c r="E755" s="7">
        <f t="shared" si="39"/>
        <v>-2.4227446958891354</v>
      </c>
    </row>
    <row r="756" spans="1:5" x14ac:dyDescent="0.15">
      <c r="A756" s="7">
        <v>749</v>
      </c>
      <c r="B756" s="7">
        <v>0</v>
      </c>
      <c r="C756" s="7">
        <f t="shared" si="37"/>
        <v>0.75583605794746755</v>
      </c>
      <c r="D756" s="7">
        <f t="shared" si="38"/>
        <v>0.75586047434167281</v>
      </c>
      <c r="E756" s="7">
        <f t="shared" si="39"/>
        <v>-0.27989847758459119</v>
      </c>
    </row>
    <row r="757" spans="1:5" x14ac:dyDescent="0.15">
      <c r="A757" s="7">
        <v>750</v>
      </c>
      <c r="B757" s="7">
        <v>1</v>
      </c>
      <c r="C757" s="7">
        <f t="shared" si="37"/>
        <v>8.8686757970141181E-2</v>
      </c>
      <c r="D757" s="7">
        <f t="shared" si="38"/>
        <v>8.867788929434417E-2</v>
      </c>
      <c r="E757" s="7">
        <f t="shared" si="39"/>
        <v>-2.4227446958891354</v>
      </c>
    </row>
    <row r="758" spans="1:5" x14ac:dyDescent="0.15">
      <c r="A758" s="7">
        <v>751</v>
      </c>
      <c r="B758" s="7">
        <v>1</v>
      </c>
      <c r="C758" s="7">
        <f t="shared" si="37"/>
        <v>8.8686757970141181E-2</v>
      </c>
      <c r="D758" s="7">
        <f t="shared" si="38"/>
        <v>8.867788929434417E-2</v>
      </c>
      <c r="E758" s="7">
        <f t="shared" si="39"/>
        <v>-2.4227446958891354</v>
      </c>
    </row>
    <row r="759" spans="1:5" x14ac:dyDescent="0.15">
      <c r="A759" s="7">
        <v>752</v>
      </c>
      <c r="B759" s="7">
        <v>0</v>
      </c>
      <c r="C759" s="7">
        <f t="shared" si="37"/>
        <v>0.75583605794746755</v>
      </c>
      <c r="D759" s="7">
        <f t="shared" si="38"/>
        <v>0.75586047434167281</v>
      </c>
      <c r="E759" s="7">
        <f t="shared" si="39"/>
        <v>-0.27989847758459119</v>
      </c>
    </row>
    <row r="760" spans="1:5" x14ac:dyDescent="0.15">
      <c r="A760" s="7">
        <v>753</v>
      </c>
      <c r="B760" s="7">
        <v>1</v>
      </c>
      <c r="C760" s="7">
        <f t="shared" si="37"/>
        <v>8.8686757970141181E-2</v>
      </c>
      <c r="D760" s="7">
        <f t="shared" si="38"/>
        <v>8.867788929434417E-2</v>
      </c>
      <c r="E760" s="7">
        <f t="shared" si="39"/>
        <v>-2.4227446958891354</v>
      </c>
    </row>
    <row r="761" spans="1:5" x14ac:dyDescent="0.15">
      <c r="A761" s="7">
        <v>754</v>
      </c>
      <c r="B761" s="7">
        <v>0</v>
      </c>
      <c r="C761" s="7">
        <f t="shared" si="37"/>
        <v>0.75583605794746755</v>
      </c>
      <c r="D761" s="7">
        <f t="shared" si="38"/>
        <v>0.75586047434167281</v>
      </c>
      <c r="E761" s="7">
        <f t="shared" si="39"/>
        <v>-0.27989847758459119</v>
      </c>
    </row>
    <row r="762" spans="1:5" x14ac:dyDescent="0.15">
      <c r="A762" s="7">
        <v>755</v>
      </c>
      <c r="B762" s="7">
        <v>0</v>
      </c>
      <c r="C762" s="7">
        <f t="shared" si="37"/>
        <v>0.75583605794746755</v>
      </c>
      <c r="D762" s="7">
        <f t="shared" si="38"/>
        <v>0.75586047434167281</v>
      </c>
      <c r="E762" s="7">
        <f t="shared" si="39"/>
        <v>-0.27989847758459119</v>
      </c>
    </row>
    <row r="763" spans="1:5" x14ac:dyDescent="0.15">
      <c r="A763" s="7">
        <v>756</v>
      </c>
      <c r="B763" s="7">
        <v>0</v>
      </c>
      <c r="C763" s="7">
        <f t="shared" si="37"/>
        <v>0.75583605794746755</v>
      </c>
      <c r="D763" s="7">
        <f t="shared" si="38"/>
        <v>0.75586047434167281</v>
      </c>
      <c r="E763" s="7">
        <f t="shared" si="39"/>
        <v>-0.27989847758459119</v>
      </c>
    </row>
    <row r="764" spans="1:5" x14ac:dyDescent="0.15">
      <c r="A764" s="7">
        <v>757</v>
      </c>
      <c r="B764" s="7">
        <v>0</v>
      </c>
      <c r="C764" s="7">
        <f t="shared" si="37"/>
        <v>0.75583605794746755</v>
      </c>
      <c r="D764" s="7">
        <f t="shared" si="38"/>
        <v>0.75586047434167281</v>
      </c>
      <c r="E764" s="7">
        <f t="shared" si="39"/>
        <v>-0.27989847758459119</v>
      </c>
    </row>
    <row r="765" spans="1:5" x14ac:dyDescent="0.15">
      <c r="A765" s="7">
        <v>758</v>
      </c>
      <c r="B765" s="7">
        <v>1</v>
      </c>
      <c r="C765" s="7">
        <f t="shared" si="37"/>
        <v>8.8686757970141181E-2</v>
      </c>
      <c r="D765" s="7">
        <f t="shared" si="38"/>
        <v>8.867788929434417E-2</v>
      </c>
      <c r="E765" s="7">
        <f t="shared" si="39"/>
        <v>-2.4227446958891354</v>
      </c>
    </row>
    <row r="766" spans="1:5" x14ac:dyDescent="0.15">
      <c r="A766" s="7">
        <v>759</v>
      </c>
      <c r="B766" s="7">
        <v>0</v>
      </c>
      <c r="C766" s="7">
        <f t="shared" si="37"/>
        <v>0.75583605794746755</v>
      </c>
      <c r="D766" s="7">
        <f t="shared" si="38"/>
        <v>0.75586047434167281</v>
      </c>
      <c r="E766" s="7">
        <f t="shared" si="39"/>
        <v>-0.27989847758459119</v>
      </c>
    </row>
    <row r="767" spans="1:5" x14ac:dyDescent="0.15">
      <c r="A767" s="7">
        <v>760</v>
      </c>
      <c r="B767" s="7">
        <v>0</v>
      </c>
      <c r="C767" s="7">
        <f t="shared" si="37"/>
        <v>0.75583605794746755</v>
      </c>
      <c r="D767" s="7">
        <f t="shared" si="38"/>
        <v>0.75586047434167281</v>
      </c>
      <c r="E767" s="7">
        <f t="shared" si="39"/>
        <v>-0.27989847758459119</v>
      </c>
    </row>
    <row r="768" spans="1:5" x14ac:dyDescent="0.15">
      <c r="A768" s="7">
        <v>761</v>
      </c>
      <c r="B768" s="7">
        <v>0</v>
      </c>
      <c r="C768" s="7">
        <f t="shared" si="37"/>
        <v>0.75583605794746755</v>
      </c>
      <c r="D768" s="7">
        <f t="shared" si="38"/>
        <v>0.75586047434167281</v>
      </c>
      <c r="E768" s="7">
        <f t="shared" si="39"/>
        <v>-0.27989847758459119</v>
      </c>
    </row>
    <row r="769" spans="1:5" x14ac:dyDescent="0.15">
      <c r="A769" s="7">
        <v>762</v>
      </c>
      <c r="B769" s="7">
        <v>0</v>
      </c>
      <c r="C769" s="7">
        <f t="shared" si="37"/>
        <v>0.75583605794746755</v>
      </c>
      <c r="D769" s="7">
        <f t="shared" si="38"/>
        <v>0.75586047434167281</v>
      </c>
      <c r="E769" s="7">
        <f t="shared" si="39"/>
        <v>-0.27989847758459119</v>
      </c>
    </row>
    <row r="770" spans="1:5" x14ac:dyDescent="0.15">
      <c r="A770" s="7">
        <v>763</v>
      </c>
      <c r="B770" s="7">
        <v>0</v>
      </c>
      <c r="C770" s="7">
        <f t="shared" si="37"/>
        <v>0.75583605794746755</v>
      </c>
      <c r="D770" s="7">
        <f t="shared" si="38"/>
        <v>0.75586047434167281</v>
      </c>
      <c r="E770" s="7">
        <f t="shared" si="39"/>
        <v>-0.27989847758459119</v>
      </c>
    </row>
    <row r="771" spans="1:5" x14ac:dyDescent="0.15">
      <c r="A771" s="7">
        <v>764</v>
      </c>
      <c r="B771" s="7">
        <v>0</v>
      </c>
      <c r="C771" s="7">
        <f t="shared" si="37"/>
        <v>0.75583605794746755</v>
      </c>
      <c r="D771" s="7">
        <f t="shared" si="38"/>
        <v>0.75586047434167281</v>
      </c>
      <c r="E771" s="7">
        <f t="shared" si="39"/>
        <v>-0.27989847758459119</v>
      </c>
    </row>
    <row r="772" spans="1:5" x14ac:dyDescent="0.15">
      <c r="A772" s="7">
        <v>765</v>
      </c>
      <c r="B772" s="7">
        <v>0</v>
      </c>
      <c r="C772" s="7">
        <f t="shared" si="37"/>
        <v>0.75583605794746755</v>
      </c>
      <c r="D772" s="7">
        <f t="shared" si="38"/>
        <v>0.75586047434167281</v>
      </c>
      <c r="E772" s="7">
        <f t="shared" si="39"/>
        <v>-0.27989847758459119</v>
      </c>
    </row>
    <row r="773" spans="1:5" x14ac:dyDescent="0.15">
      <c r="A773" s="7">
        <v>766</v>
      </c>
      <c r="B773" s="7">
        <v>0</v>
      </c>
      <c r="C773" s="7">
        <f t="shared" si="37"/>
        <v>0.75583605794746755</v>
      </c>
      <c r="D773" s="7">
        <f t="shared" si="38"/>
        <v>0.75586047434167281</v>
      </c>
      <c r="E773" s="7">
        <f t="shared" si="39"/>
        <v>-0.27989847758459119</v>
      </c>
    </row>
    <row r="774" spans="1:5" x14ac:dyDescent="0.15">
      <c r="A774" s="7">
        <v>767</v>
      </c>
      <c r="B774" s="7">
        <v>0</v>
      </c>
      <c r="C774" s="7">
        <f t="shared" si="37"/>
        <v>0.75583605794746755</v>
      </c>
      <c r="D774" s="7">
        <f t="shared" si="38"/>
        <v>0.75586047434167281</v>
      </c>
      <c r="E774" s="7">
        <f t="shared" si="39"/>
        <v>-0.27989847758459119</v>
      </c>
    </row>
    <row r="775" spans="1:5" x14ac:dyDescent="0.15">
      <c r="A775" s="7">
        <v>768</v>
      </c>
      <c r="B775" s="7">
        <v>1</v>
      </c>
      <c r="C775" s="7">
        <f t="shared" si="37"/>
        <v>8.8686757970141181E-2</v>
      </c>
      <c r="D775" s="7">
        <f t="shared" si="38"/>
        <v>8.867788929434417E-2</v>
      </c>
      <c r="E775" s="7">
        <f t="shared" si="39"/>
        <v>-2.4227446958891354</v>
      </c>
    </row>
    <row r="776" spans="1:5" x14ac:dyDescent="0.15">
      <c r="A776" s="7">
        <v>769</v>
      </c>
      <c r="B776" s="7">
        <v>0</v>
      </c>
      <c r="C776" s="7">
        <f t="shared" si="37"/>
        <v>0.75583605794746755</v>
      </c>
      <c r="D776" s="7">
        <f t="shared" si="38"/>
        <v>0.75586047434167281</v>
      </c>
      <c r="E776" s="7">
        <f t="shared" si="39"/>
        <v>-0.27989847758459119</v>
      </c>
    </row>
    <row r="777" spans="1:5" x14ac:dyDescent="0.15">
      <c r="A777" s="7">
        <v>770</v>
      </c>
      <c r="B777" s="7">
        <v>1</v>
      </c>
      <c r="C777" s="7">
        <f t="shared" ref="C777:C840" si="40">(_xlfn.GAMMA($B$1+B777)/(_xlfn.GAMMA($B$1)*FACT(B777))) * ($B$2/($B$2+$B$5))^$B$1 * (1/($B$2 +$B$5))^B777</f>
        <v>8.8686757970141181E-2</v>
      </c>
      <c r="D777" s="7">
        <f t="shared" ref="D777:D840" si="41" xml:space="preserve"> IF(B777 = 0, $B$3 + (1-$B$3) * C777, (1-$B$3) *C777)</f>
        <v>8.867788929434417E-2</v>
      </c>
      <c r="E777" s="7">
        <f t="shared" ref="E777:E840" si="42">LN(D777)</f>
        <v>-2.4227446958891354</v>
      </c>
    </row>
    <row r="778" spans="1:5" x14ac:dyDescent="0.15">
      <c r="A778" s="7">
        <v>771</v>
      </c>
      <c r="B778" s="7">
        <v>10</v>
      </c>
      <c r="C778" s="7">
        <f t="shared" si="40"/>
        <v>3.9008948573815809E-3</v>
      </c>
      <c r="D778" s="7">
        <f t="shared" si="41"/>
        <v>3.9005047678958428E-3</v>
      </c>
      <c r="E778" s="7">
        <f t="shared" si="42"/>
        <v>-5.546649306555973</v>
      </c>
    </row>
    <row r="779" spans="1:5" x14ac:dyDescent="0.15">
      <c r="A779" s="7">
        <v>772</v>
      </c>
      <c r="B779" s="7">
        <v>0</v>
      </c>
      <c r="C779" s="7">
        <f t="shared" si="40"/>
        <v>0.75583605794746755</v>
      </c>
      <c r="D779" s="7">
        <f t="shared" si="41"/>
        <v>0.75586047434167281</v>
      </c>
      <c r="E779" s="7">
        <f t="shared" si="42"/>
        <v>-0.27989847758459119</v>
      </c>
    </row>
    <row r="780" spans="1:5" x14ac:dyDescent="0.15">
      <c r="A780" s="7">
        <v>773</v>
      </c>
      <c r="B780" s="7">
        <v>0</v>
      </c>
      <c r="C780" s="7">
        <f t="shared" si="40"/>
        <v>0.75583605794746755</v>
      </c>
      <c r="D780" s="7">
        <f t="shared" si="41"/>
        <v>0.75586047434167281</v>
      </c>
      <c r="E780" s="7">
        <f t="shared" si="42"/>
        <v>-0.27989847758459119</v>
      </c>
    </row>
    <row r="781" spans="1:5" x14ac:dyDescent="0.15">
      <c r="A781" s="7">
        <v>774</v>
      </c>
      <c r="B781" s="7">
        <v>0</v>
      </c>
      <c r="C781" s="7">
        <f t="shared" si="40"/>
        <v>0.75583605794746755</v>
      </c>
      <c r="D781" s="7">
        <f t="shared" si="41"/>
        <v>0.75586047434167281</v>
      </c>
      <c r="E781" s="7">
        <f t="shared" si="42"/>
        <v>-0.27989847758459119</v>
      </c>
    </row>
    <row r="782" spans="1:5" x14ac:dyDescent="0.15">
      <c r="A782" s="7">
        <v>775</v>
      </c>
      <c r="B782" s="7">
        <v>0</v>
      </c>
      <c r="C782" s="7">
        <f t="shared" si="40"/>
        <v>0.75583605794746755</v>
      </c>
      <c r="D782" s="7">
        <f t="shared" si="41"/>
        <v>0.75586047434167281</v>
      </c>
      <c r="E782" s="7">
        <f t="shared" si="42"/>
        <v>-0.27989847758459119</v>
      </c>
    </row>
    <row r="783" spans="1:5" x14ac:dyDescent="0.15">
      <c r="A783" s="7">
        <v>776</v>
      </c>
      <c r="B783" s="7">
        <v>0</v>
      </c>
      <c r="C783" s="7">
        <f t="shared" si="40"/>
        <v>0.75583605794746755</v>
      </c>
      <c r="D783" s="7">
        <f t="shared" si="41"/>
        <v>0.75586047434167281</v>
      </c>
      <c r="E783" s="7">
        <f t="shared" si="42"/>
        <v>-0.27989847758459119</v>
      </c>
    </row>
    <row r="784" spans="1:5" x14ac:dyDescent="0.15">
      <c r="A784" s="7">
        <v>777</v>
      </c>
      <c r="B784" s="7">
        <v>0</v>
      </c>
      <c r="C784" s="7">
        <f t="shared" si="40"/>
        <v>0.75583605794746755</v>
      </c>
      <c r="D784" s="7">
        <f t="shared" si="41"/>
        <v>0.75586047434167281</v>
      </c>
      <c r="E784" s="7">
        <f t="shared" si="42"/>
        <v>-0.27989847758459119</v>
      </c>
    </row>
    <row r="785" spans="1:5" x14ac:dyDescent="0.15">
      <c r="A785" s="7">
        <v>778</v>
      </c>
      <c r="B785" s="7">
        <v>0</v>
      </c>
      <c r="C785" s="7">
        <f t="shared" si="40"/>
        <v>0.75583605794746755</v>
      </c>
      <c r="D785" s="7">
        <f t="shared" si="41"/>
        <v>0.75586047434167281</v>
      </c>
      <c r="E785" s="7">
        <f t="shared" si="42"/>
        <v>-0.27989847758459119</v>
      </c>
    </row>
    <row r="786" spans="1:5" x14ac:dyDescent="0.15">
      <c r="A786" s="7">
        <v>779</v>
      </c>
      <c r="B786" s="7">
        <v>0</v>
      </c>
      <c r="C786" s="7">
        <f t="shared" si="40"/>
        <v>0.75583605794746755</v>
      </c>
      <c r="D786" s="7">
        <f t="shared" si="41"/>
        <v>0.75586047434167281</v>
      </c>
      <c r="E786" s="7">
        <f t="shared" si="42"/>
        <v>-0.27989847758459119</v>
      </c>
    </row>
    <row r="787" spans="1:5" x14ac:dyDescent="0.15">
      <c r="A787" s="7">
        <v>780</v>
      </c>
      <c r="B787" s="7">
        <v>0</v>
      </c>
      <c r="C787" s="7">
        <f t="shared" si="40"/>
        <v>0.75583605794746755</v>
      </c>
      <c r="D787" s="7">
        <f t="shared" si="41"/>
        <v>0.75586047434167281</v>
      </c>
      <c r="E787" s="7">
        <f t="shared" si="42"/>
        <v>-0.27989847758459119</v>
      </c>
    </row>
    <row r="788" spans="1:5" x14ac:dyDescent="0.15">
      <c r="A788" s="7">
        <v>781</v>
      </c>
      <c r="B788" s="7">
        <v>0</v>
      </c>
      <c r="C788" s="7">
        <f t="shared" si="40"/>
        <v>0.75583605794746755</v>
      </c>
      <c r="D788" s="7">
        <f t="shared" si="41"/>
        <v>0.75586047434167281</v>
      </c>
      <c r="E788" s="7">
        <f t="shared" si="42"/>
        <v>-0.27989847758459119</v>
      </c>
    </row>
    <row r="789" spans="1:5" x14ac:dyDescent="0.15">
      <c r="A789" s="7">
        <v>782</v>
      </c>
      <c r="B789" s="7">
        <v>0</v>
      </c>
      <c r="C789" s="7">
        <f t="shared" si="40"/>
        <v>0.75583605794746755</v>
      </c>
      <c r="D789" s="7">
        <f t="shared" si="41"/>
        <v>0.75586047434167281</v>
      </c>
      <c r="E789" s="7">
        <f t="shared" si="42"/>
        <v>-0.27989847758459119</v>
      </c>
    </row>
    <row r="790" spans="1:5" x14ac:dyDescent="0.15">
      <c r="A790" s="7">
        <v>783</v>
      </c>
      <c r="B790" s="7">
        <v>0</v>
      </c>
      <c r="C790" s="7">
        <f t="shared" si="40"/>
        <v>0.75583605794746755</v>
      </c>
      <c r="D790" s="7">
        <f t="shared" si="41"/>
        <v>0.75586047434167281</v>
      </c>
      <c r="E790" s="7">
        <f t="shared" si="42"/>
        <v>-0.27989847758459119</v>
      </c>
    </row>
    <row r="791" spans="1:5" x14ac:dyDescent="0.15">
      <c r="A791" s="7">
        <v>784</v>
      </c>
      <c r="B791" s="7">
        <v>0</v>
      </c>
      <c r="C791" s="7">
        <f t="shared" si="40"/>
        <v>0.75583605794746755</v>
      </c>
      <c r="D791" s="7">
        <f t="shared" si="41"/>
        <v>0.75586047434167281</v>
      </c>
      <c r="E791" s="7">
        <f t="shared" si="42"/>
        <v>-0.27989847758459119</v>
      </c>
    </row>
    <row r="792" spans="1:5" x14ac:dyDescent="0.15">
      <c r="A792" s="7">
        <v>785</v>
      </c>
      <c r="B792" s="7">
        <v>0</v>
      </c>
      <c r="C792" s="7">
        <f t="shared" si="40"/>
        <v>0.75583605794746755</v>
      </c>
      <c r="D792" s="7">
        <f t="shared" si="41"/>
        <v>0.75586047434167281</v>
      </c>
      <c r="E792" s="7">
        <f t="shared" si="42"/>
        <v>-0.27989847758459119</v>
      </c>
    </row>
    <row r="793" spans="1:5" x14ac:dyDescent="0.15">
      <c r="A793" s="7">
        <v>786</v>
      </c>
      <c r="B793" s="7">
        <v>0</v>
      </c>
      <c r="C793" s="7">
        <f t="shared" si="40"/>
        <v>0.75583605794746755</v>
      </c>
      <c r="D793" s="7">
        <f t="shared" si="41"/>
        <v>0.75586047434167281</v>
      </c>
      <c r="E793" s="7">
        <f t="shared" si="42"/>
        <v>-0.27989847758459119</v>
      </c>
    </row>
    <row r="794" spans="1:5" x14ac:dyDescent="0.15">
      <c r="A794" s="7">
        <v>787</v>
      </c>
      <c r="B794" s="7">
        <v>0</v>
      </c>
      <c r="C794" s="7">
        <f t="shared" si="40"/>
        <v>0.75583605794746755</v>
      </c>
      <c r="D794" s="7">
        <f t="shared" si="41"/>
        <v>0.75586047434167281</v>
      </c>
      <c r="E794" s="7">
        <f t="shared" si="42"/>
        <v>-0.27989847758459119</v>
      </c>
    </row>
    <row r="795" spans="1:5" x14ac:dyDescent="0.15">
      <c r="A795" s="7">
        <v>788</v>
      </c>
      <c r="B795" s="7">
        <v>0</v>
      </c>
      <c r="C795" s="7">
        <f t="shared" si="40"/>
        <v>0.75583605794746755</v>
      </c>
      <c r="D795" s="7">
        <f t="shared" si="41"/>
        <v>0.75586047434167281</v>
      </c>
      <c r="E795" s="7">
        <f t="shared" si="42"/>
        <v>-0.27989847758459119</v>
      </c>
    </row>
    <row r="796" spans="1:5" x14ac:dyDescent="0.15">
      <c r="A796" s="7">
        <v>789</v>
      </c>
      <c r="B796" s="7">
        <v>0</v>
      </c>
      <c r="C796" s="7">
        <f t="shared" si="40"/>
        <v>0.75583605794746755</v>
      </c>
      <c r="D796" s="7">
        <f t="shared" si="41"/>
        <v>0.75586047434167281</v>
      </c>
      <c r="E796" s="7">
        <f t="shared" si="42"/>
        <v>-0.27989847758459119</v>
      </c>
    </row>
    <row r="797" spans="1:5" x14ac:dyDescent="0.15">
      <c r="A797" s="7">
        <v>790</v>
      </c>
      <c r="B797" s="7">
        <v>0</v>
      </c>
      <c r="C797" s="7">
        <f t="shared" si="40"/>
        <v>0.75583605794746755</v>
      </c>
      <c r="D797" s="7">
        <f t="shared" si="41"/>
        <v>0.75586047434167281</v>
      </c>
      <c r="E797" s="7">
        <f t="shared" si="42"/>
        <v>-0.27989847758459119</v>
      </c>
    </row>
    <row r="798" spans="1:5" x14ac:dyDescent="0.15">
      <c r="A798" s="7">
        <v>791</v>
      </c>
      <c r="B798" s="7">
        <v>2</v>
      </c>
      <c r="C798" s="7">
        <f t="shared" si="40"/>
        <v>4.4066701399555049E-2</v>
      </c>
      <c r="D798" s="7">
        <f t="shared" si="41"/>
        <v>4.4062294729415093E-2</v>
      </c>
      <c r="E798" s="7">
        <f t="shared" si="42"/>
        <v>-3.1221508570437044</v>
      </c>
    </row>
    <row r="799" spans="1:5" x14ac:dyDescent="0.15">
      <c r="A799" s="7">
        <v>792</v>
      </c>
      <c r="B799" s="7">
        <v>0</v>
      </c>
      <c r="C799" s="7">
        <f t="shared" si="40"/>
        <v>0.75583605794746755</v>
      </c>
      <c r="D799" s="7">
        <f t="shared" si="41"/>
        <v>0.75586047434167281</v>
      </c>
      <c r="E799" s="7">
        <f t="shared" si="42"/>
        <v>-0.27989847758459119</v>
      </c>
    </row>
    <row r="800" spans="1:5" x14ac:dyDescent="0.15">
      <c r="A800" s="7">
        <v>793</v>
      </c>
      <c r="B800" s="7">
        <v>0</v>
      </c>
      <c r="C800" s="7">
        <f t="shared" si="40"/>
        <v>0.75583605794746755</v>
      </c>
      <c r="D800" s="7">
        <f t="shared" si="41"/>
        <v>0.75586047434167281</v>
      </c>
      <c r="E800" s="7">
        <f t="shared" si="42"/>
        <v>-0.27989847758459119</v>
      </c>
    </row>
    <row r="801" spans="1:5" x14ac:dyDescent="0.15">
      <c r="A801" s="7">
        <v>794</v>
      </c>
      <c r="B801" s="7">
        <v>0</v>
      </c>
      <c r="C801" s="7">
        <f t="shared" si="40"/>
        <v>0.75583605794746755</v>
      </c>
      <c r="D801" s="7">
        <f t="shared" si="41"/>
        <v>0.75586047434167281</v>
      </c>
      <c r="E801" s="7">
        <f t="shared" si="42"/>
        <v>-0.27989847758459119</v>
      </c>
    </row>
    <row r="802" spans="1:5" x14ac:dyDescent="0.15">
      <c r="A802" s="7">
        <v>795</v>
      </c>
      <c r="B802" s="7">
        <v>0</v>
      </c>
      <c r="C802" s="7">
        <f t="shared" si="40"/>
        <v>0.75583605794746755</v>
      </c>
      <c r="D802" s="7">
        <f t="shared" si="41"/>
        <v>0.75586047434167281</v>
      </c>
      <c r="E802" s="7">
        <f t="shared" si="42"/>
        <v>-0.27989847758459119</v>
      </c>
    </row>
    <row r="803" spans="1:5" x14ac:dyDescent="0.15">
      <c r="A803" s="7">
        <v>796</v>
      </c>
      <c r="B803" s="7">
        <v>0</v>
      </c>
      <c r="C803" s="7">
        <f t="shared" si="40"/>
        <v>0.75583605794746755</v>
      </c>
      <c r="D803" s="7">
        <f t="shared" si="41"/>
        <v>0.75586047434167281</v>
      </c>
      <c r="E803" s="7">
        <f t="shared" si="42"/>
        <v>-0.27989847758459119</v>
      </c>
    </row>
    <row r="804" spans="1:5" x14ac:dyDescent="0.15">
      <c r="A804" s="7">
        <v>797</v>
      </c>
      <c r="B804" s="7">
        <v>0</v>
      </c>
      <c r="C804" s="7">
        <f t="shared" si="40"/>
        <v>0.75583605794746755</v>
      </c>
      <c r="D804" s="7">
        <f t="shared" si="41"/>
        <v>0.75586047434167281</v>
      </c>
      <c r="E804" s="7">
        <f t="shared" si="42"/>
        <v>-0.27989847758459119</v>
      </c>
    </row>
    <row r="805" spans="1:5" x14ac:dyDescent="0.15">
      <c r="A805" s="7">
        <v>798</v>
      </c>
      <c r="B805" s="7">
        <v>0</v>
      </c>
      <c r="C805" s="7">
        <f t="shared" si="40"/>
        <v>0.75583605794746755</v>
      </c>
      <c r="D805" s="7">
        <f t="shared" si="41"/>
        <v>0.75586047434167281</v>
      </c>
      <c r="E805" s="7">
        <f t="shared" si="42"/>
        <v>-0.27989847758459119</v>
      </c>
    </row>
    <row r="806" spans="1:5" x14ac:dyDescent="0.15">
      <c r="A806" s="7">
        <v>799</v>
      </c>
      <c r="B806" s="7">
        <v>0</v>
      </c>
      <c r="C806" s="7">
        <f t="shared" si="40"/>
        <v>0.75583605794746755</v>
      </c>
      <c r="D806" s="7">
        <f t="shared" si="41"/>
        <v>0.75586047434167281</v>
      </c>
      <c r="E806" s="7">
        <f t="shared" si="42"/>
        <v>-0.27989847758459119</v>
      </c>
    </row>
    <row r="807" spans="1:5" x14ac:dyDescent="0.15">
      <c r="A807" s="7">
        <v>800</v>
      </c>
      <c r="B807" s="7">
        <v>0</v>
      </c>
      <c r="C807" s="7">
        <f t="shared" si="40"/>
        <v>0.75583605794746755</v>
      </c>
      <c r="D807" s="7">
        <f t="shared" si="41"/>
        <v>0.75586047434167281</v>
      </c>
      <c r="E807" s="7">
        <f t="shared" si="42"/>
        <v>-0.27989847758459119</v>
      </c>
    </row>
    <row r="808" spans="1:5" x14ac:dyDescent="0.15">
      <c r="A808" s="7">
        <v>801</v>
      </c>
      <c r="B808" s="7">
        <v>0</v>
      </c>
      <c r="C808" s="7">
        <f t="shared" si="40"/>
        <v>0.75583605794746755</v>
      </c>
      <c r="D808" s="7">
        <f t="shared" si="41"/>
        <v>0.75586047434167281</v>
      </c>
      <c r="E808" s="7">
        <f t="shared" si="42"/>
        <v>-0.27989847758459119</v>
      </c>
    </row>
    <row r="809" spans="1:5" x14ac:dyDescent="0.15">
      <c r="A809" s="7">
        <v>802</v>
      </c>
      <c r="B809" s="7">
        <v>0</v>
      </c>
      <c r="C809" s="7">
        <f t="shared" si="40"/>
        <v>0.75583605794746755</v>
      </c>
      <c r="D809" s="7">
        <f t="shared" si="41"/>
        <v>0.75586047434167281</v>
      </c>
      <c r="E809" s="7">
        <f t="shared" si="42"/>
        <v>-0.27989847758459119</v>
      </c>
    </row>
    <row r="810" spans="1:5" x14ac:dyDescent="0.15">
      <c r="A810" s="7">
        <v>803</v>
      </c>
      <c r="B810" s="7">
        <v>0</v>
      </c>
      <c r="C810" s="7">
        <f t="shared" si="40"/>
        <v>0.75583605794746755</v>
      </c>
      <c r="D810" s="7">
        <f t="shared" si="41"/>
        <v>0.75586047434167281</v>
      </c>
      <c r="E810" s="7">
        <f t="shared" si="42"/>
        <v>-0.27989847758459119</v>
      </c>
    </row>
    <row r="811" spans="1:5" x14ac:dyDescent="0.15">
      <c r="A811" s="7">
        <v>804</v>
      </c>
      <c r="B811" s="7">
        <v>0</v>
      </c>
      <c r="C811" s="7">
        <f t="shared" si="40"/>
        <v>0.75583605794746755</v>
      </c>
      <c r="D811" s="7">
        <f t="shared" si="41"/>
        <v>0.75586047434167281</v>
      </c>
      <c r="E811" s="7">
        <f t="shared" si="42"/>
        <v>-0.27989847758459119</v>
      </c>
    </row>
    <row r="812" spans="1:5" x14ac:dyDescent="0.15">
      <c r="A812" s="7">
        <v>805</v>
      </c>
      <c r="B812" s="7">
        <v>0</v>
      </c>
      <c r="C812" s="7">
        <f t="shared" si="40"/>
        <v>0.75583605794746755</v>
      </c>
      <c r="D812" s="7">
        <f t="shared" si="41"/>
        <v>0.75586047434167281</v>
      </c>
      <c r="E812" s="7">
        <f t="shared" si="42"/>
        <v>-0.27989847758459119</v>
      </c>
    </row>
    <row r="813" spans="1:5" x14ac:dyDescent="0.15">
      <c r="A813" s="7">
        <v>806</v>
      </c>
      <c r="B813" s="7">
        <v>0</v>
      </c>
      <c r="C813" s="7">
        <f t="shared" si="40"/>
        <v>0.75583605794746755</v>
      </c>
      <c r="D813" s="7">
        <f t="shared" si="41"/>
        <v>0.75586047434167281</v>
      </c>
      <c r="E813" s="7">
        <f t="shared" si="42"/>
        <v>-0.27989847758459119</v>
      </c>
    </row>
    <row r="814" spans="1:5" x14ac:dyDescent="0.15">
      <c r="A814" s="7">
        <v>807</v>
      </c>
      <c r="B814" s="7">
        <v>0</v>
      </c>
      <c r="C814" s="7">
        <f t="shared" si="40"/>
        <v>0.75583605794746755</v>
      </c>
      <c r="D814" s="7">
        <f t="shared" si="41"/>
        <v>0.75586047434167281</v>
      </c>
      <c r="E814" s="7">
        <f t="shared" si="42"/>
        <v>-0.27989847758459119</v>
      </c>
    </row>
    <row r="815" spans="1:5" x14ac:dyDescent="0.15">
      <c r="A815" s="7">
        <v>808</v>
      </c>
      <c r="B815" s="7">
        <v>0</v>
      </c>
      <c r="C815" s="7">
        <f t="shared" si="40"/>
        <v>0.75583605794746755</v>
      </c>
      <c r="D815" s="7">
        <f t="shared" si="41"/>
        <v>0.75586047434167281</v>
      </c>
      <c r="E815" s="7">
        <f t="shared" si="42"/>
        <v>-0.27989847758459119</v>
      </c>
    </row>
    <row r="816" spans="1:5" x14ac:dyDescent="0.15">
      <c r="A816" s="7">
        <v>809</v>
      </c>
      <c r="B816" s="7">
        <v>0</v>
      </c>
      <c r="C816" s="7">
        <f t="shared" si="40"/>
        <v>0.75583605794746755</v>
      </c>
      <c r="D816" s="7">
        <f t="shared" si="41"/>
        <v>0.75586047434167281</v>
      </c>
      <c r="E816" s="7">
        <f t="shared" si="42"/>
        <v>-0.27989847758459119</v>
      </c>
    </row>
    <row r="817" spans="1:5" x14ac:dyDescent="0.15">
      <c r="A817" s="7">
        <v>810</v>
      </c>
      <c r="B817" s="7">
        <v>0</v>
      </c>
      <c r="C817" s="7">
        <f t="shared" si="40"/>
        <v>0.75583605794746755</v>
      </c>
      <c r="D817" s="7">
        <f t="shared" si="41"/>
        <v>0.75586047434167281</v>
      </c>
      <c r="E817" s="7">
        <f t="shared" si="42"/>
        <v>-0.27989847758459119</v>
      </c>
    </row>
    <row r="818" spans="1:5" x14ac:dyDescent="0.15">
      <c r="A818" s="7">
        <v>811</v>
      </c>
      <c r="B818" s="7">
        <v>0</v>
      </c>
      <c r="C818" s="7">
        <f t="shared" si="40"/>
        <v>0.75583605794746755</v>
      </c>
      <c r="D818" s="7">
        <f t="shared" si="41"/>
        <v>0.75586047434167281</v>
      </c>
      <c r="E818" s="7">
        <f t="shared" si="42"/>
        <v>-0.27989847758459119</v>
      </c>
    </row>
    <row r="819" spans="1:5" x14ac:dyDescent="0.15">
      <c r="A819" s="7">
        <v>812</v>
      </c>
      <c r="B819" s="7">
        <v>0</v>
      </c>
      <c r="C819" s="7">
        <f t="shared" si="40"/>
        <v>0.75583605794746755</v>
      </c>
      <c r="D819" s="7">
        <f t="shared" si="41"/>
        <v>0.75586047434167281</v>
      </c>
      <c r="E819" s="7">
        <f t="shared" si="42"/>
        <v>-0.27989847758459119</v>
      </c>
    </row>
    <row r="820" spans="1:5" x14ac:dyDescent="0.15">
      <c r="A820" s="7">
        <v>813</v>
      </c>
      <c r="B820" s="7">
        <v>0</v>
      </c>
      <c r="C820" s="7">
        <f t="shared" si="40"/>
        <v>0.75583605794746755</v>
      </c>
      <c r="D820" s="7">
        <f t="shared" si="41"/>
        <v>0.75586047434167281</v>
      </c>
      <c r="E820" s="7">
        <f t="shared" si="42"/>
        <v>-0.27989847758459119</v>
      </c>
    </row>
    <row r="821" spans="1:5" x14ac:dyDescent="0.15">
      <c r="A821" s="7">
        <v>814</v>
      </c>
      <c r="B821" s="7">
        <v>0</v>
      </c>
      <c r="C821" s="7">
        <f t="shared" si="40"/>
        <v>0.75583605794746755</v>
      </c>
      <c r="D821" s="7">
        <f t="shared" si="41"/>
        <v>0.75586047434167281</v>
      </c>
      <c r="E821" s="7">
        <f t="shared" si="42"/>
        <v>-0.27989847758459119</v>
      </c>
    </row>
    <row r="822" spans="1:5" x14ac:dyDescent="0.15">
      <c r="A822" s="7">
        <v>815</v>
      </c>
      <c r="B822" s="7">
        <v>3</v>
      </c>
      <c r="C822" s="7">
        <f t="shared" si="40"/>
        <v>2.7470963680778882E-2</v>
      </c>
      <c r="D822" s="7">
        <f t="shared" si="41"/>
        <v>2.7468216584410805E-2</v>
      </c>
      <c r="E822" s="7">
        <f t="shared" si="42"/>
        <v>-3.5947257032827968</v>
      </c>
    </row>
    <row r="823" spans="1:5" x14ac:dyDescent="0.15">
      <c r="A823" s="7">
        <v>816</v>
      </c>
      <c r="B823" s="7">
        <v>2</v>
      </c>
      <c r="C823" s="7">
        <f t="shared" si="40"/>
        <v>4.4066701399555049E-2</v>
      </c>
      <c r="D823" s="7">
        <f t="shared" si="41"/>
        <v>4.4062294729415093E-2</v>
      </c>
      <c r="E823" s="7">
        <f t="shared" si="42"/>
        <v>-3.1221508570437044</v>
      </c>
    </row>
    <row r="824" spans="1:5" x14ac:dyDescent="0.15">
      <c r="A824" s="7">
        <v>817</v>
      </c>
      <c r="B824" s="7">
        <v>1</v>
      </c>
      <c r="C824" s="7">
        <f t="shared" si="40"/>
        <v>8.8686757970141181E-2</v>
      </c>
      <c r="D824" s="7">
        <f t="shared" si="41"/>
        <v>8.867788929434417E-2</v>
      </c>
      <c r="E824" s="7">
        <f t="shared" si="42"/>
        <v>-2.4227446958891354</v>
      </c>
    </row>
    <row r="825" spans="1:5" x14ac:dyDescent="0.15">
      <c r="A825" s="7">
        <v>818</v>
      </c>
      <c r="B825" s="7">
        <v>10</v>
      </c>
      <c r="C825" s="7">
        <f t="shared" si="40"/>
        <v>3.9008948573815809E-3</v>
      </c>
      <c r="D825" s="7">
        <f t="shared" si="41"/>
        <v>3.9005047678958428E-3</v>
      </c>
      <c r="E825" s="7">
        <f t="shared" si="42"/>
        <v>-5.546649306555973</v>
      </c>
    </row>
    <row r="826" spans="1:5" x14ac:dyDescent="0.15">
      <c r="A826" s="7">
        <v>819</v>
      </c>
      <c r="B826" s="7">
        <v>0</v>
      </c>
      <c r="C826" s="7">
        <f t="shared" si="40"/>
        <v>0.75583605794746755</v>
      </c>
      <c r="D826" s="7">
        <f t="shared" si="41"/>
        <v>0.75586047434167281</v>
      </c>
      <c r="E826" s="7">
        <f t="shared" si="42"/>
        <v>-0.27989847758459119</v>
      </c>
    </row>
    <row r="827" spans="1:5" x14ac:dyDescent="0.15">
      <c r="A827" s="7">
        <v>820</v>
      </c>
      <c r="B827" s="7">
        <v>1</v>
      </c>
      <c r="C827" s="7">
        <f t="shared" si="40"/>
        <v>8.8686757970141181E-2</v>
      </c>
      <c r="D827" s="7">
        <f t="shared" si="41"/>
        <v>8.867788929434417E-2</v>
      </c>
      <c r="E827" s="7">
        <f t="shared" si="42"/>
        <v>-2.4227446958891354</v>
      </c>
    </row>
    <row r="828" spans="1:5" x14ac:dyDescent="0.15">
      <c r="A828" s="7">
        <v>821</v>
      </c>
      <c r="B828" s="7">
        <v>0</v>
      </c>
      <c r="C828" s="7">
        <f t="shared" si="40"/>
        <v>0.75583605794746755</v>
      </c>
      <c r="D828" s="7">
        <f t="shared" si="41"/>
        <v>0.75586047434167281</v>
      </c>
      <c r="E828" s="7">
        <f t="shared" si="42"/>
        <v>-0.27989847758459119</v>
      </c>
    </row>
    <row r="829" spans="1:5" x14ac:dyDescent="0.15">
      <c r="A829" s="7">
        <v>822</v>
      </c>
      <c r="B829" s="7">
        <v>1</v>
      </c>
      <c r="C829" s="7">
        <f t="shared" si="40"/>
        <v>8.8686757970141181E-2</v>
      </c>
      <c r="D829" s="7">
        <f t="shared" si="41"/>
        <v>8.867788929434417E-2</v>
      </c>
      <c r="E829" s="7">
        <f t="shared" si="42"/>
        <v>-2.4227446958891354</v>
      </c>
    </row>
    <row r="830" spans="1:5" x14ac:dyDescent="0.15">
      <c r="A830" s="7">
        <v>823</v>
      </c>
      <c r="B830" s="7">
        <v>0</v>
      </c>
      <c r="C830" s="7">
        <f t="shared" si="40"/>
        <v>0.75583605794746755</v>
      </c>
      <c r="D830" s="7">
        <f t="shared" si="41"/>
        <v>0.75586047434167281</v>
      </c>
      <c r="E830" s="7">
        <f t="shared" si="42"/>
        <v>-0.27989847758459119</v>
      </c>
    </row>
    <row r="831" spans="1:5" x14ac:dyDescent="0.15">
      <c r="A831" s="7">
        <v>824</v>
      </c>
      <c r="B831" s="7">
        <v>0</v>
      </c>
      <c r="C831" s="7">
        <f t="shared" si="40"/>
        <v>0.75583605794746755</v>
      </c>
      <c r="D831" s="7">
        <f t="shared" si="41"/>
        <v>0.75586047434167281</v>
      </c>
      <c r="E831" s="7">
        <f t="shared" si="42"/>
        <v>-0.27989847758459119</v>
      </c>
    </row>
    <row r="832" spans="1:5" x14ac:dyDescent="0.15">
      <c r="A832" s="7">
        <v>825</v>
      </c>
      <c r="B832" s="7">
        <v>1</v>
      </c>
      <c r="C832" s="7">
        <f t="shared" si="40"/>
        <v>8.8686757970141181E-2</v>
      </c>
      <c r="D832" s="7">
        <f t="shared" si="41"/>
        <v>8.867788929434417E-2</v>
      </c>
      <c r="E832" s="7">
        <f t="shared" si="42"/>
        <v>-2.4227446958891354</v>
      </c>
    </row>
    <row r="833" spans="1:5" x14ac:dyDescent="0.15">
      <c r="A833" s="7">
        <v>826</v>
      </c>
      <c r="B833" s="7">
        <v>1</v>
      </c>
      <c r="C833" s="7">
        <f t="shared" si="40"/>
        <v>8.8686757970141181E-2</v>
      </c>
      <c r="D833" s="7">
        <f t="shared" si="41"/>
        <v>8.867788929434417E-2</v>
      </c>
      <c r="E833" s="7">
        <f t="shared" si="42"/>
        <v>-2.4227446958891354</v>
      </c>
    </row>
    <row r="834" spans="1:5" x14ac:dyDescent="0.15">
      <c r="A834" s="7">
        <v>827</v>
      </c>
      <c r="B834" s="7">
        <v>0</v>
      </c>
      <c r="C834" s="7">
        <f t="shared" si="40"/>
        <v>0.75583605794746755</v>
      </c>
      <c r="D834" s="7">
        <f t="shared" si="41"/>
        <v>0.75586047434167281</v>
      </c>
      <c r="E834" s="7">
        <f t="shared" si="42"/>
        <v>-0.27989847758459119</v>
      </c>
    </row>
    <row r="835" spans="1:5" x14ac:dyDescent="0.15">
      <c r="A835" s="7">
        <v>828</v>
      </c>
      <c r="B835" s="7">
        <v>0</v>
      </c>
      <c r="C835" s="7">
        <f t="shared" si="40"/>
        <v>0.75583605794746755</v>
      </c>
      <c r="D835" s="7">
        <f t="shared" si="41"/>
        <v>0.75586047434167281</v>
      </c>
      <c r="E835" s="7">
        <f t="shared" si="42"/>
        <v>-0.27989847758459119</v>
      </c>
    </row>
    <row r="836" spans="1:5" x14ac:dyDescent="0.15">
      <c r="A836" s="7">
        <v>829</v>
      </c>
      <c r="B836" s="7">
        <v>0</v>
      </c>
      <c r="C836" s="7">
        <f t="shared" si="40"/>
        <v>0.75583605794746755</v>
      </c>
      <c r="D836" s="7">
        <f t="shared" si="41"/>
        <v>0.75586047434167281</v>
      </c>
      <c r="E836" s="7">
        <f t="shared" si="42"/>
        <v>-0.27989847758459119</v>
      </c>
    </row>
    <row r="837" spans="1:5" x14ac:dyDescent="0.15">
      <c r="A837" s="7">
        <v>830</v>
      </c>
      <c r="B837" s="7">
        <v>0</v>
      </c>
      <c r="C837" s="7">
        <f t="shared" si="40"/>
        <v>0.75583605794746755</v>
      </c>
      <c r="D837" s="7">
        <f t="shared" si="41"/>
        <v>0.75586047434167281</v>
      </c>
      <c r="E837" s="7">
        <f t="shared" si="42"/>
        <v>-0.27989847758459119</v>
      </c>
    </row>
    <row r="838" spans="1:5" x14ac:dyDescent="0.15">
      <c r="A838" s="7">
        <v>831</v>
      </c>
      <c r="B838" s="7">
        <v>0</v>
      </c>
      <c r="C838" s="7">
        <f t="shared" si="40"/>
        <v>0.75583605794746755</v>
      </c>
      <c r="D838" s="7">
        <f t="shared" si="41"/>
        <v>0.75586047434167281</v>
      </c>
      <c r="E838" s="7">
        <f t="shared" si="42"/>
        <v>-0.27989847758459119</v>
      </c>
    </row>
    <row r="839" spans="1:5" x14ac:dyDescent="0.15">
      <c r="A839" s="7">
        <v>832</v>
      </c>
      <c r="B839" s="7">
        <v>0</v>
      </c>
      <c r="C839" s="7">
        <f t="shared" si="40"/>
        <v>0.75583605794746755</v>
      </c>
      <c r="D839" s="7">
        <f t="shared" si="41"/>
        <v>0.75586047434167281</v>
      </c>
      <c r="E839" s="7">
        <f t="shared" si="42"/>
        <v>-0.27989847758459119</v>
      </c>
    </row>
    <row r="840" spans="1:5" x14ac:dyDescent="0.15">
      <c r="A840" s="7">
        <v>833</v>
      </c>
      <c r="B840" s="7">
        <v>0</v>
      </c>
      <c r="C840" s="7">
        <f t="shared" si="40"/>
        <v>0.75583605794746755</v>
      </c>
      <c r="D840" s="7">
        <f t="shared" si="41"/>
        <v>0.75586047434167281</v>
      </c>
      <c r="E840" s="7">
        <f t="shared" si="42"/>
        <v>-0.27989847758459119</v>
      </c>
    </row>
    <row r="841" spans="1:5" x14ac:dyDescent="0.15">
      <c r="A841" s="7">
        <v>834</v>
      </c>
      <c r="B841" s="7">
        <v>0</v>
      </c>
      <c r="C841" s="7">
        <f t="shared" ref="C841:C904" si="43">(_xlfn.GAMMA($B$1+B841)/(_xlfn.GAMMA($B$1)*FACT(B841))) * ($B$2/($B$2+$B$5))^$B$1 * (1/($B$2 +$B$5))^B841</f>
        <v>0.75583605794746755</v>
      </c>
      <c r="D841" s="7">
        <f t="shared" ref="D841:D904" si="44" xml:space="preserve"> IF(B841 = 0, $B$3 + (1-$B$3) * C841, (1-$B$3) *C841)</f>
        <v>0.75586047434167281</v>
      </c>
      <c r="E841" s="7">
        <f t="shared" ref="E841:E904" si="45">LN(D841)</f>
        <v>-0.27989847758459119</v>
      </c>
    </row>
    <row r="842" spans="1:5" x14ac:dyDescent="0.15">
      <c r="A842" s="7">
        <v>835</v>
      </c>
      <c r="B842" s="7">
        <v>8</v>
      </c>
      <c r="C842" s="7">
        <f t="shared" si="43"/>
        <v>6.1521164907488192E-3</v>
      </c>
      <c r="D842" s="7">
        <f t="shared" si="44"/>
        <v>6.1515012790997444E-3</v>
      </c>
      <c r="E842" s="7">
        <f t="shared" si="45"/>
        <v>-5.0910591165310892</v>
      </c>
    </row>
    <row r="843" spans="1:5" x14ac:dyDescent="0.15">
      <c r="A843" s="7">
        <v>836</v>
      </c>
      <c r="B843" s="7">
        <v>0</v>
      </c>
      <c r="C843" s="7">
        <f t="shared" si="43"/>
        <v>0.75583605794746755</v>
      </c>
      <c r="D843" s="7">
        <f t="shared" si="44"/>
        <v>0.75586047434167281</v>
      </c>
      <c r="E843" s="7">
        <f t="shared" si="45"/>
        <v>-0.27989847758459119</v>
      </c>
    </row>
    <row r="844" spans="1:5" x14ac:dyDescent="0.15">
      <c r="A844" s="7">
        <v>837</v>
      </c>
      <c r="B844" s="7">
        <v>0</v>
      </c>
      <c r="C844" s="7">
        <f t="shared" si="43"/>
        <v>0.75583605794746755</v>
      </c>
      <c r="D844" s="7">
        <f t="shared" si="44"/>
        <v>0.75586047434167281</v>
      </c>
      <c r="E844" s="7">
        <f t="shared" si="45"/>
        <v>-0.27989847758459119</v>
      </c>
    </row>
    <row r="845" spans="1:5" x14ac:dyDescent="0.15">
      <c r="A845" s="7">
        <v>838</v>
      </c>
      <c r="B845" s="7">
        <v>1</v>
      </c>
      <c r="C845" s="7">
        <f t="shared" si="43"/>
        <v>8.8686757970141181E-2</v>
      </c>
      <c r="D845" s="7">
        <f t="shared" si="44"/>
        <v>8.867788929434417E-2</v>
      </c>
      <c r="E845" s="7">
        <f t="shared" si="45"/>
        <v>-2.4227446958891354</v>
      </c>
    </row>
    <row r="846" spans="1:5" x14ac:dyDescent="0.15">
      <c r="A846" s="7">
        <v>839</v>
      </c>
      <c r="B846" s="7">
        <v>2</v>
      </c>
      <c r="C846" s="7">
        <f t="shared" si="43"/>
        <v>4.4066701399555049E-2</v>
      </c>
      <c r="D846" s="7">
        <f t="shared" si="44"/>
        <v>4.4062294729415093E-2</v>
      </c>
      <c r="E846" s="7">
        <f t="shared" si="45"/>
        <v>-3.1221508570437044</v>
      </c>
    </row>
    <row r="847" spans="1:5" x14ac:dyDescent="0.15">
      <c r="A847" s="7">
        <v>840</v>
      </c>
      <c r="B847" s="7">
        <v>7</v>
      </c>
      <c r="C847" s="7">
        <f t="shared" si="43"/>
        <v>7.8718020395525893E-3</v>
      </c>
      <c r="D847" s="7">
        <f t="shared" si="44"/>
        <v>7.8710148593486347E-3</v>
      </c>
      <c r="E847" s="7">
        <f t="shared" si="45"/>
        <v>-4.8445682719632792</v>
      </c>
    </row>
    <row r="848" spans="1:5" x14ac:dyDescent="0.15">
      <c r="A848" s="7">
        <v>841</v>
      </c>
      <c r="B848" s="7">
        <v>0</v>
      </c>
      <c r="C848" s="7">
        <f t="shared" si="43"/>
        <v>0.75583605794746755</v>
      </c>
      <c r="D848" s="7">
        <f t="shared" si="44"/>
        <v>0.75586047434167281</v>
      </c>
      <c r="E848" s="7">
        <f t="shared" si="45"/>
        <v>-0.27989847758459119</v>
      </c>
    </row>
    <row r="849" spans="1:5" x14ac:dyDescent="0.15">
      <c r="A849" s="7">
        <v>842</v>
      </c>
      <c r="B849" s="7">
        <v>1</v>
      </c>
      <c r="C849" s="7">
        <f t="shared" si="43"/>
        <v>8.8686757970141181E-2</v>
      </c>
      <c r="D849" s="7">
        <f t="shared" si="44"/>
        <v>8.867788929434417E-2</v>
      </c>
      <c r="E849" s="7">
        <f t="shared" si="45"/>
        <v>-2.4227446958891354</v>
      </c>
    </row>
    <row r="850" spans="1:5" x14ac:dyDescent="0.15">
      <c r="A850" s="7">
        <v>843</v>
      </c>
      <c r="B850" s="7">
        <v>0</v>
      </c>
      <c r="C850" s="7">
        <f t="shared" si="43"/>
        <v>0.75583605794746755</v>
      </c>
      <c r="D850" s="7">
        <f t="shared" si="44"/>
        <v>0.75586047434167281</v>
      </c>
      <c r="E850" s="7">
        <f t="shared" si="45"/>
        <v>-0.27989847758459119</v>
      </c>
    </row>
    <row r="851" spans="1:5" x14ac:dyDescent="0.15">
      <c r="A851" s="7">
        <v>844</v>
      </c>
      <c r="B851" s="7">
        <v>6</v>
      </c>
      <c r="C851" s="7">
        <f t="shared" si="43"/>
        <v>1.0249964283711298E-2</v>
      </c>
      <c r="D851" s="7">
        <f t="shared" si="44"/>
        <v>1.0248939287282927E-2</v>
      </c>
      <c r="E851" s="7">
        <f t="shared" si="45"/>
        <v>-4.5805810629200954</v>
      </c>
    </row>
    <row r="852" spans="1:5" x14ac:dyDescent="0.15">
      <c r="A852" s="7">
        <v>845</v>
      </c>
      <c r="B852" s="7">
        <v>0</v>
      </c>
      <c r="C852" s="7">
        <f t="shared" si="43"/>
        <v>0.75583605794746755</v>
      </c>
      <c r="D852" s="7">
        <f t="shared" si="44"/>
        <v>0.75586047434167281</v>
      </c>
      <c r="E852" s="7">
        <f t="shared" si="45"/>
        <v>-0.27989847758459119</v>
      </c>
    </row>
    <row r="853" spans="1:5" x14ac:dyDescent="0.15">
      <c r="A853" s="7">
        <v>846</v>
      </c>
      <c r="B853" s="7">
        <v>0</v>
      </c>
      <c r="C853" s="7">
        <f t="shared" si="43"/>
        <v>0.75583605794746755</v>
      </c>
      <c r="D853" s="7">
        <f t="shared" si="44"/>
        <v>0.75586047434167281</v>
      </c>
      <c r="E853" s="7">
        <f t="shared" si="45"/>
        <v>-0.27989847758459119</v>
      </c>
    </row>
    <row r="854" spans="1:5" x14ac:dyDescent="0.15">
      <c r="A854" s="7">
        <v>847</v>
      </c>
      <c r="B854" s="7">
        <v>0</v>
      </c>
      <c r="C854" s="7">
        <f t="shared" si="43"/>
        <v>0.75583605794746755</v>
      </c>
      <c r="D854" s="7">
        <f t="shared" si="44"/>
        <v>0.75586047434167281</v>
      </c>
      <c r="E854" s="7">
        <f t="shared" si="45"/>
        <v>-0.27989847758459119</v>
      </c>
    </row>
    <row r="855" spans="1:5" x14ac:dyDescent="0.15">
      <c r="A855" s="7">
        <v>848</v>
      </c>
      <c r="B855" s="7">
        <v>0</v>
      </c>
      <c r="C855" s="7">
        <f t="shared" si="43"/>
        <v>0.75583605794746755</v>
      </c>
      <c r="D855" s="7">
        <f t="shared" si="44"/>
        <v>0.75586047434167281</v>
      </c>
      <c r="E855" s="7">
        <f t="shared" si="45"/>
        <v>-0.27989847758459119</v>
      </c>
    </row>
    <row r="856" spans="1:5" x14ac:dyDescent="0.15">
      <c r="A856" s="7">
        <v>849</v>
      </c>
      <c r="B856" s="7">
        <v>0</v>
      </c>
      <c r="C856" s="7">
        <f t="shared" si="43"/>
        <v>0.75583605794746755</v>
      </c>
      <c r="D856" s="7">
        <f t="shared" si="44"/>
        <v>0.75586047434167281</v>
      </c>
      <c r="E856" s="7">
        <f t="shared" si="45"/>
        <v>-0.27989847758459119</v>
      </c>
    </row>
    <row r="857" spans="1:5" x14ac:dyDescent="0.15">
      <c r="A857" s="7">
        <v>850</v>
      </c>
      <c r="B857" s="7">
        <v>0</v>
      </c>
      <c r="C857" s="7">
        <f t="shared" si="43"/>
        <v>0.75583605794746755</v>
      </c>
      <c r="D857" s="7">
        <f t="shared" si="44"/>
        <v>0.75586047434167281</v>
      </c>
      <c r="E857" s="7">
        <f t="shared" si="45"/>
        <v>-0.27989847758459119</v>
      </c>
    </row>
    <row r="858" spans="1:5" x14ac:dyDescent="0.15">
      <c r="A858" s="7">
        <v>851</v>
      </c>
      <c r="B858" s="7">
        <v>1</v>
      </c>
      <c r="C858" s="7">
        <f t="shared" si="43"/>
        <v>8.8686757970141181E-2</v>
      </c>
      <c r="D858" s="7">
        <f t="shared" si="44"/>
        <v>8.867788929434417E-2</v>
      </c>
      <c r="E858" s="7">
        <f t="shared" si="45"/>
        <v>-2.4227446958891354</v>
      </c>
    </row>
    <row r="859" spans="1:5" x14ac:dyDescent="0.15">
      <c r="A859" s="7">
        <v>852</v>
      </c>
      <c r="B859" s="7">
        <v>1</v>
      </c>
      <c r="C859" s="7">
        <f t="shared" si="43"/>
        <v>8.8686757970141181E-2</v>
      </c>
      <c r="D859" s="7">
        <f t="shared" si="44"/>
        <v>8.867788929434417E-2</v>
      </c>
      <c r="E859" s="7">
        <f t="shared" si="45"/>
        <v>-2.4227446958891354</v>
      </c>
    </row>
    <row r="860" spans="1:5" x14ac:dyDescent="0.15">
      <c r="A860" s="7">
        <v>853</v>
      </c>
      <c r="B860" s="7">
        <v>0</v>
      </c>
      <c r="C860" s="7">
        <f t="shared" si="43"/>
        <v>0.75583605794746755</v>
      </c>
      <c r="D860" s="7">
        <f t="shared" si="44"/>
        <v>0.75586047434167281</v>
      </c>
      <c r="E860" s="7">
        <f t="shared" si="45"/>
        <v>-0.27989847758459119</v>
      </c>
    </row>
    <row r="861" spans="1:5" x14ac:dyDescent="0.15">
      <c r="A861" s="7">
        <v>854</v>
      </c>
      <c r="B861" s="7">
        <v>0</v>
      </c>
      <c r="C861" s="7">
        <f t="shared" si="43"/>
        <v>0.75583605794746755</v>
      </c>
      <c r="D861" s="7">
        <f t="shared" si="44"/>
        <v>0.75586047434167281</v>
      </c>
      <c r="E861" s="7">
        <f t="shared" si="45"/>
        <v>-0.27989847758459119</v>
      </c>
    </row>
    <row r="862" spans="1:5" x14ac:dyDescent="0.15">
      <c r="A862" s="7">
        <v>855</v>
      </c>
      <c r="B862" s="7">
        <v>0</v>
      </c>
      <c r="C862" s="7">
        <f t="shared" si="43"/>
        <v>0.75583605794746755</v>
      </c>
      <c r="D862" s="7">
        <f t="shared" si="44"/>
        <v>0.75586047434167281</v>
      </c>
      <c r="E862" s="7">
        <f t="shared" si="45"/>
        <v>-0.27989847758459119</v>
      </c>
    </row>
    <row r="863" spans="1:5" x14ac:dyDescent="0.15">
      <c r="A863" s="7">
        <v>856</v>
      </c>
      <c r="B863" s="7">
        <v>0</v>
      </c>
      <c r="C863" s="7">
        <f t="shared" si="43"/>
        <v>0.75583605794746755</v>
      </c>
      <c r="D863" s="7">
        <f t="shared" si="44"/>
        <v>0.75586047434167281</v>
      </c>
      <c r="E863" s="7">
        <f t="shared" si="45"/>
        <v>-0.27989847758459119</v>
      </c>
    </row>
    <row r="864" spans="1:5" x14ac:dyDescent="0.15">
      <c r="A864" s="7">
        <v>857</v>
      </c>
      <c r="B864" s="7">
        <v>0</v>
      </c>
      <c r="C864" s="7">
        <f t="shared" si="43"/>
        <v>0.75583605794746755</v>
      </c>
      <c r="D864" s="7">
        <f t="shared" si="44"/>
        <v>0.75586047434167281</v>
      </c>
      <c r="E864" s="7">
        <f t="shared" si="45"/>
        <v>-0.27989847758459119</v>
      </c>
    </row>
    <row r="865" spans="1:5" x14ac:dyDescent="0.15">
      <c r="A865" s="7">
        <v>858</v>
      </c>
      <c r="B865" s="7">
        <v>0</v>
      </c>
      <c r="C865" s="7">
        <f t="shared" si="43"/>
        <v>0.75583605794746755</v>
      </c>
      <c r="D865" s="7">
        <f t="shared" si="44"/>
        <v>0.75586047434167281</v>
      </c>
      <c r="E865" s="7">
        <f t="shared" si="45"/>
        <v>-0.27989847758459119</v>
      </c>
    </row>
    <row r="866" spans="1:5" x14ac:dyDescent="0.15">
      <c r="A866" s="7">
        <v>859</v>
      </c>
      <c r="B866" s="7">
        <v>0</v>
      </c>
      <c r="C866" s="7">
        <f t="shared" si="43"/>
        <v>0.75583605794746755</v>
      </c>
      <c r="D866" s="7">
        <f t="shared" si="44"/>
        <v>0.75586047434167281</v>
      </c>
      <c r="E866" s="7">
        <f t="shared" si="45"/>
        <v>-0.27989847758459119</v>
      </c>
    </row>
    <row r="867" spans="1:5" x14ac:dyDescent="0.15">
      <c r="A867" s="7">
        <v>860</v>
      </c>
      <c r="B867" s="7">
        <v>0</v>
      </c>
      <c r="C867" s="7">
        <f t="shared" si="43"/>
        <v>0.75583605794746755</v>
      </c>
      <c r="D867" s="7">
        <f t="shared" si="44"/>
        <v>0.75586047434167281</v>
      </c>
      <c r="E867" s="7">
        <f t="shared" si="45"/>
        <v>-0.27989847758459119</v>
      </c>
    </row>
    <row r="868" spans="1:5" x14ac:dyDescent="0.15">
      <c r="A868" s="7">
        <v>861</v>
      </c>
      <c r="B868" s="7">
        <v>0</v>
      </c>
      <c r="C868" s="7">
        <f t="shared" si="43"/>
        <v>0.75583605794746755</v>
      </c>
      <c r="D868" s="7">
        <f t="shared" si="44"/>
        <v>0.75586047434167281</v>
      </c>
      <c r="E868" s="7">
        <f t="shared" si="45"/>
        <v>-0.27989847758459119</v>
      </c>
    </row>
    <row r="869" spans="1:5" x14ac:dyDescent="0.15">
      <c r="A869" s="7">
        <v>862</v>
      </c>
      <c r="B869" s="7">
        <v>0</v>
      </c>
      <c r="C869" s="7">
        <f t="shared" si="43"/>
        <v>0.75583605794746755</v>
      </c>
      <c r="D869" s="7">
        <f t="shared" si="44"/>
        <v>0.75586047434167281</v>
      </c>
      <c r="E869" s="7">
        <f t="shared" si="45"/>
        <v>-0.27989847758459119</v>
      </c>
    </row>
    <row r="870" spans="1:5" x14ac:dyDescent="0.15">
      <c r="A870" s="7">
        <v>863</v>
      </c>
      <c r="B870" s="7">
        <v>0</v>
      </c>
      <c r="C870" s="7">
        <f t="shared" si="43"/>
        <v>0.75583605794746755</v>
      </c>
      <c r="D870" s="7">
        <f t="shared" si="44"/>
        <v>0.75586047434167281</v>
      </c>
      <c r="E870" s="7">
        <f t="shared" si="45"/>
        <v>-0.27989847758459119</v>
      </c>
    </row>
    <row r="871" spans="1:5" x14ac:dyDescent="0.15">
      <c r="A871" s="7">
        <v>864</v>
      </c>
      <c r="B871" s="7">
        <v>0</v>
      </c>
      <c r="C871" s="7">
        <f t="shared" si="43"/>
        <v>0.75583605794746755</v>
      </c>
      <c r="D871" s="7">
        <f t="shared" si="44"/>
        <v>0.75586047434167281</v>
      </c>
      <c r="E871" s="7">
        <f t="shared" si="45"/>
        <v>-0.27989847758459119</v>
      </c>
    </row>
    <row r="872" spans="1:5" x14ac:dyDescent="0.15">
      <c r="A872" s="7">
        <v>865</v>
      </c>
      <c r="B872" s="7">
        <v>2</v>
      </c>
      <c r="C872" s="7">
        <f t="shared" si="43"/>
        <v>4.4066701399555049E-2</v>
      </c>
      <c r="D872" s="7">
        <f t="shared" si="44"/>
        <v>4.4062294729415093E-2</v>
      </c>
      <c r="E872" s="7">
        <f t="shared" si="45"/>
        <v>-3.1221508570437044</v>
      </c>
    </row>
    <row r="873" spans="1:5" x14ac:dyDescent="0.15">
      <c r="A873" s="7">
        <v>866</v>
      </c>
      <c r="B873" s="7">
        <v>1</v>
      </c>
      <c r="C873" s="7">
        <f t="shared" si="43"/>
        <v>8.8686757970141181E-2</v>
      </c>
      <c r="D873" s="7">
        <f t="shared" si="44"/>
        <v>8.867788929434417E-2</v>
      </c>
      <c r="E873" s="7">
        <f t="shared" si="45"/>
        <v>-2.4227446958891354</v>
      </c>
    </row>
    <row r="874" spans="1:5" x14ac:dyDescent="0.15">
      <c r="A874" s="7">
        <v>867</v>
      </c>
      <c r="B874" s="7">
        <v>1</v>
      </c>
      <c r="C874" s="7">
        <f t="shared" si="43"/>
        <v>8.8686757970141181E-2</v>
      </c>
      <c r="D874" s="7">
        <f t="shared" si="44"/>
        <v>8.867788929434417E-2</v>
      </c>
      <c r="E874" s="7">
        <f t="shared" si="45"/>
        <v>-2.4227446958891354</v>
      </c>
    </row>
    <row r="875" spans="1:5" x14ac:dyDescent="0.15">
      <c r="A875" s="7">
        <v>868</v>
      </c>
      <c r="B875" s="7">
        <v>2</v>
      </c>
      <c r="C875" s="7">
        <f t="shared" si="43"/>
        <v>4.4066701399555049E-2</v>
      </c>
      <c r="D875" s="7">
        <f t="shared" si="44"/>
        <v>4.4062294729415093E-2</v>
      </c>
      <c r="E875" s="7">
        <f t="shared" si="45"/>
        <v>-3.1221508570437044</v>
      </c>
    </row>
    <row r="876" spans="1:5" x14ac:dyDescent="0.15">
      <c r="A876" s="7">
        <v>869</v>
      </c>
      <c r="B876" s="7">
        <v>0</v>
      </c>
      <c r="C876" s="7">
        <f t="shared" si="43"/>
        <v>0.75583605794746755</v>
      </c>
      <c r="D876" s="7">
        <f t="shared" si="44"/>
        <v>0.75586047434167281</v>
      </c>
      <c r="E876" s="7">
        <f t="shared" si="45"/>
        <v>-0.27989847758459119</v>
      </c>
    </row>
    <row r="877" spans="1:5" x14ac:dyDescent="0.15">
      <c r="A877" s="7">
        <v>870</v>
      </c>
      <c r="B877" s="7">
        <v>0</v>
      </c>
      <c r="C877" s="7">
        <f t="shared" si="43"/>
        <v>0.75583605794746755</v>
      </c>
      <c r="D877" s="7">
        <f t="shared" si="44"/>
        <v>0.75586047434167281</v>
      </c>
      <c r="E877" s="7">
        <f t="shared" si="45"/>
        <v>-0.27989847758459119</v>
      </c>
    </row>
    <row r="878" spans="1:5" x14ac:dyDescent="0.15">
      <c r="A878" s="7">
        <v>871</v>
      </c>
      <c r="B878" s="7">
        <v>1</v>
      </c>
      <c r="C878" s="7">
        <f t="shared" si="43"/>
        <v>8.8686757970141181E-2</v>
      </c>
      <c r="D878" s="7">
        <f t="shared" si="44"/>
        <v>8.867788929434417E-2</v>
      </c>
      <c r="E878" s="7">
        <f t="shared" si="45"/>
        <v>-2.4227446958891354</v>
      </c>
    </row>
    <row r="879" spans="1:5" x14ac:dyDescent="0.15">
      <c r="A879" s="7">
        <v>872</v>
      </c>
      <c r="B879" s="7">
        <v>0</v>
      </c>
      <c r="C879" s="7">
        <f t="shared" si="43"/>
        <v>0.75583605794746755</v>
      </c>
      <c r="D879" s="7">
        <f t="shared" si="44"/>
        <v>0.75586047434167281</v>
      </c>
      <c r="E879" s="7">
        <f t="shared" si="45"/>
        <v>-0.27989847758459119</v>
      </c>
    </row>
    <row r="880" spans="1:5" x14ac:dyDescent="0.15">
      <c r="A880" s="7">
        <v>873</v>
      </c>
      <c r="B880" s="7">
        <v>0</v>
      </c>
      <c r="C880" s="7">
        <f t="shared" si="43"/>
        <v>0.75583605794746755</v>
      </c>
      <c r="D880" s="7">
        <f t="shared" si="44"/>
        <v>0.75586047434167281</v>
      </c>
      <c r="E880" s="7">
        <f t="shared" si="45"/>
        <v>-0.27989847758459119</v>
      </c>
    </row>
    <row r="881" spans="1:5" x14ac:dyDescent="0.15">
      <c r="A881" s="7">
        <v>874</v>
      </c>
      <c r="B881" s="7">
        <v>0</v>
      </c>
      <c r="C881" s="7">
        <f t="shared" si="43"/>
        <v>0.75583605794746755</v>
      </c>
      <c r="D881" s="7">
        <f t="shared" si="44"/>
        <v>0.75586047434167281</v>
      </c>
      <c r="E881" s="7">
        <f t="shared" si="45"/>
        <v>-0.27989847758459119</v>
      </c>
    </row>
    <row r="882" spans="1:5" x14ac:dyDescent="0.15">
      <c r="A882" s="7">
        <v>875</v>
      </c>
      <c r="B882" s="7">
        <v>0</v>
      </c>
      <c r="C882" s="7">
        <f t="shared" si="43"/>
        <v>0.75583605794746755</v>
      </c>
      <c r="D882" s="7">
        <f t="shared" si="44"/>
        <v>0.75586047434167281</v>
      </c>
      <c r="E882" s="7">
        <f t="shared" si="45"/>
        <v>-0.27989847758459119</v>
      </c>
    </row>
    <row r="883" spans="1:5" x14ac:dyDescent="0.15">
      <c r="A883" s="7">
        <v>876</v>
      </c>
      <c r="B883" s="7">
        <v>0</v>
      </c>
      <c r="C883" s="7">
        <f t="shared" si="43"/>
        <v>0.75583605794746755</v>
      </c>
      <c r="D883" s="7">
        <f t="shared" si="44"/>
        <v>0.75586047434167281</v>
      </c>
      <c r="E883" s="7">
        <f t="shared" si="45"/>
        <v>-0.27989847758459119</v>
      </c>
    </row>
    <row r="884" spans="1:5" x14ac:dyDescent="0.15">
      <c r="A884" s="7">
        <v>877</v>
      </c>
      <c r="B884" s="7">
        <v>0</v>
      </c>
      <c r="C884" s="7">
        <f t="shared" si="43"/>
        <v>0.75583605794746755</v>
      </c>
      <c r="D884" s="7">
        <f t="shared" si="44"/>
        <v>0.75586047434167281</v>
      </c>
      <c r="E884" s="7">
        <f t="shared" si="45"/>
        <v>-0.27989847758459119</v>
      </c>
    </row>
    <row r="885" spans="1:5" x14ac:dyDescent="0.15">
      <c r="A885" s="7">
        <v>878</v>
      </c>
      <c r="B885" s="7">
        <v>0</v>
      </c>
      <c r="C885" s="7">
        <f t="shared" si="43"/>
        <v>0.75583605794746755</v>
      </c>
      <c r="D885" s="7">
        <f t="shared" si="44"/>
        <v>0.75586047434167281</v>
      </c>
      <c r="E885" s="7">
        <f t="shared" si="45"/>
        <v>-0.27989847758459119</v>
      </c>
    </row>
    <row r="886" spans="1:5" x14ac:dyDescent="0.15">
      <c r="A886" s="7">
        <v>879</v>
      </c>
      <c r="B886" s="7">
        <v>2</v>
      </c>
      <c r="C886" s="7">
        <f t="shared" si="43"/>
        <v>4.4066701399555049E-2</v>
      </c>
      <c r="D886" s="7">
        <f t="shared" si="44"/>
        <v>4.4062294729415093E-2</v>
      </c>
      <c r="E886" s="7">
        <f t="shared" si="45"/>
        <v>-3.1221508570437044</v>
      </c>
    </row>
    <row r="887" spans="1:5" x14ac:dyDescent="0.15">
      <c r="A887" s="7">
        <v>880</v>
      </c>
      <c r="B887" s="7">
        <v>2</v>
      </c>
      <c r="C887" s="7">
        <f t="shared" si="43"/>
        <v>4.4066701399555049E-2</v>
      </c>
      <c r="D887" s="7">
        <f t="shared" si="44"/>
        <v>4.4062294729415093E-2</v>
      </c>
      <c r="E887" s="7">
        <f t="shared" si="45"/>
        <v>-3.1221508570437044</v>
      </c>
    </row>
    <row r="888" spans="1:5" x14ac:dyDescent="0.15">
      <c r="A888" s="7">
        <v>881</v>
      </c>
      <c r="B888" s="7">
        <v>0</v>
      </c>
      <c r="C888" s="7">
        <f t="shared" si="43"/>
        <v>0.75583605794746755</v>
      </c>
      <c r="D888" s="7">
        <f t="shared" si="44"/>
        <v>0.75586047434167281</v>
      </c>
      <c r="E888" s="7">
        <f t="shared" si="45"/>
        <v>-0.27989847758459119</v>
      </c>
    </row>
    <row r="889" spans="1:5" x14ac:dyDescent="0.15">
      <c r="A889" s="7">
        <v>882</v>
      </c>
      <c r="B889" s="7">
        <v>2</v>
      </c>
      <c r="C889" s="7">
        <f t="shared" si="43"/>
        <v>4.4066701399555049E-2</v>
      </c>
      <c r="D889" s="7">
        <f t="shared" si="44"/>
        <v>4.4062294729415093E-2</v>
      </c>
      <c r="E889" s="7">
        <f t="shared" si="45"/>
        <v>-3.1221508570437044</v>
      </c>
    </row>
    <row r="890" spans="1:5" x14ac:dyDescent="0.15">
      <c r="A890" s="7">
        <v>883</v>
      </c>
      <c r="B890" s="7">
        <v>0</v>
      </c>
      <c r="C890" s="7">
        <f t="shared" si="43"/>
        <v>0.75583605794746755</v>
      </c>
      <c r="D890" s="7">
        <f t="shared" si="44"/>
        <v>0.75586047434167281</v>
      </c>
      <c r="E890" s="7">
        <f t="shared" si="45"/>
        <v>-0.27989847758459119</v>
      </c>
    </row>
    <row r="891" spans="1:5" x14ac:dyDescent="0.15">
      <c r="A891" s="7">
        <v>884</v>
      </c>
      <c r="B891" s="7">
        <v>0</v>
      </c>
      <c r="C891" s="7">
        <f t="shared" si="43"/>
        <v>0.75583605794746755</v>
      </c>
      <c r="D891" s="7">
        <f t="shared" si="44"/>
        <v>0.75586047434167281</v>
      </c>
      <c r="E891" s="7">
        <f t="shared" si="45"/>
        <v>-0.27989847758459119</v>
      </c>
    </row>
    <row r="892" spans="1:5" x14ac:dyDescent="0.15">
      <c r="A892" s="7">
        <v>885</v>
      </c>
      <c r="B892" s="7">
        <v>0</v>
      </c>
      <c r="C892" s="7">
        <f t="shared" si="43"/>
        <v>0.75583605794746755</v>
      </c>
      <c r="D892" s="7">
        <f t="shared" si="44"/>
        <v>0.75586047434167281</v>
      </c>
      <c r="E892" s="7">
        <f t="shared" si="45"/>
        <v>-0.27989847758459119</v>
      </c>
    </row>
    <row r="893" spans="1:5" x14ac:dyDescent="0.15">
      <c r="A893" s="7">
        <v>886</v>
      </c>
      <c r="B893" s="7">
        <v>1</v>
      </c>
      <c r="C893" s="7">
        <f t="shared" si="43"/>
        <v>8.8686757970141181E-2</v>
      </c>
      <c r="D893" s="7">
        <f t="shared" si="44"/>
        <v>8.867788929434417E-2</v>
      </c>
      <c r="E893" s="7">
        <f t="shared" si="45"/>
        <v>-2.4227446958891354</v>
      </c>
    </row>
    <row r="894" spans="1:5" x14ac:dyDescent="0.15">
      <c r="A894" s="7">
        <v>887</v>
      </c>
      <c r="B894" s="7">
        <v>0</v>
      </c>
      <c r="C894" s="7">
        <f t="shared" si="43"/>
        <v>0.75583605794746755</v>
      </c>
      <c r="D894" s="7">
        <f t="shared" si="44"/>
        <v>0.75586047434167281</v>
      </c>
      <c r="E894" s="7">
        <f t="shared" si="45"/>
        <v>-0.27989847758459119</v>
      </c>
    </row>
    <row r="895" spans="1:5" x14ac:dyDescent="0.15">
      <c r="A895" s="7">
        <v>888</v>
      </c>
      <c r="B895" s="7">
        <v>0</v>
      </c>
      <c r="C895" s="7">
        <f t="shared" si="43"/>
        <v>0.75583605794746755</v>
      </c>
      <c r="D895" s="7">
        <f t="shared" si="44"/>
        <v>0.75586047434167281</v>
      </c>
      <c r="E895" s="7">
        <f t="shared" si="45"/>
        <v>-0.27989847758459119</v>
      </c>
    </row>
    <row r="896" spans="1:5" x14ac:dyDescent="0.15">
      <c r="A896" s="7">
        <v>889</v>
      </c>
      <c r="B896" s="7">
        <v>2</v>
      </c>
      <c r="C896" s="7">
        <f t="shared" si="43"/>
        <v>4.4066701399555049E-2</v>
      </c>
      <c r="D896" s="7">
        <f t="shared" si="44"/>
        <v>4.4062294729415093E-2</v>
      </c>
      <c r="E896" s="7">
        <f t="shared" si="45"/>
        <v>-3.1221508570437044</v>
      </c>
    </row>
    <row r="897" spans="1:5" x14ac:dyDescent="0.15">
      <c r="A897" s="7">
        <v>890</v>
      </c>
      <c r="B897" s="7">
        <v>0</v>
      </c>
      <c r="C897" s="7">
        <f t="shared" si="43"/>
        <v>0.75583605794746755</v>
      </c>
      <c r="D897" s="7">
        <f t="shared" si="44"/>
        <v>0.75586047434167281</v>
      </c>
      <c r="E897" s="7">
        <f t="shared" si="45"/>
        <v>-0.27989847758459119</v>
      </c>
    </row>
    <row r="898" spans="1:5" x14ac:dyDescent="0.15">
      <c r="A898" s="7">
        <v>891</v>
      </c>
      <c r="B898" s="7">
        <v>0</v>
      </c>
      <c r="C898" s="7">
        <f t="shared" si="43"/>
        <v>0.75583605794746755</v>
      </c>
      <c r="D898" s="7">
        <f t="shared" si="44"/>
        <v>0.75586047434167281</v>
      </c>
      <c r="E898" s="7">
        <f t="shared" si="45"/>
        <v>-0.27989847758459119</v>
      </c>
    </row>
    <row r="899" spans="1:5" x14ac:dyDescent="0.15">
      <c r="A899" s="7">
        <v>892</v>
      </c>
      <c r="B899" s="7">
        <v>0</v>
      </c>
      <c r="C899" s="7">
        <f t="shared" si="43"/>
        <v>0.75583605794746755</v>
      </c>
      <c r="D899" s="7">
        <f t="shared" si="44"/>
        <v>0.75586047434167281</v>
      </c>
      <c r="E899" s="7">
        <f t="shared" si="45"/>
        <v>-0.27989847758459119</v>
      </c>
    </row>
    <row r="900" spans="1:5" x14ac:dyDescent="0.15">
      <c r="A900" s="7">
        <v>893</v>
      </c>
      <c r="B900" s="7">
        <v>0</v>
      </c>
      <c r="C900" s="7">
        <f t="shared" si="43"/>
        <v>0.75583605794746755</v>
      </c>
      <c r="D900" s="7">
        <f t="shared" si="44"/>
        <v>0.75586047434167281</v>
      </c>
      <c r="E900" s="7">
        <f t="shared" si="45"/>
        <v>-0.27989847758459119</v>
      </c>
    </row>
    <row r="901" spans="1:5" x14ac:dyDescent="0.15">
      <c r="A901" s="7">
        <v>894</v>
      </c>
      <c r="B901" s="7">
        <v>0</v>
      </c>
      <c r="C901" s="7">
        <f t="shared" si="43"/>
        <v>0.75583605794746755</v>
      </c>
      <c r="D901" s="7">
        <f t="shared" si="44"/>
        <v>0.75586047434167281</v>
      </c>
      <c r="E901" s="7">
        <f t="shared" si="45"/>
        <v>-0.27989847758459119</v>
      </c>
    </row>
    <row r="902" spans="1:5" x14ac:dyDescent="0.15">
      <c r="A902" s="7">
        <v>895</v>
      </c>
      <c r="B902" s="7">
        <v>0</v>
      </c>
      <c r="C902" s="7">
        <f t="shared" si="43"/>
        <v>0.75583605794746755</v>
      </c>
      <c r="D902" s="7">
        <f t="shared" si="44"/>
        <v>0.75586047434167281</v>
      </c>
      <c r="E902" s="7">
        <f t="shared" si="45"/>
        <v>-0.27989847758459119</v>
      </c>
    </row>
    <row r="903" spans="1:5" x14ac:dyDescent="0.15">
      <c r="A903" s="7">
        <v>896</v>
      </c>
      <c r="B903" s="7">
        <v>0</v>
      </c>
      <c r="C903" s="7">
        <f t="shared" si="43"/>
        <v>0.75583605794746755</v>
      </c>
      <c r="D903" s="7">
        <f t="shared" si="44"/>
        <v>0.75586047434167281</v>
      </c>
      <c r="E903" s="7">
        <f t="shared" si="45"/>
        <v>-0.27989847758459119</v>
      </c>
    </row>
    <row r="904" spans="1:5" x14ac:dyDescent="0.15">
      <c r="A904" s="7">
        <v>897</v>
      </c>
      <c r="B904" s="7">
        <v>0</v>
      </c>
      <c r="C904" s="7">
        <f t="shared" si="43"/>
        <v>0.75583605794746755</v>
      </c>
      <c r="D904" s="7">
        <f t="shared" si="44"/>
        <v>0.75586047434167281</v>
      </c>
      <c r="E904" s="7">
        <f t="shared" si="45"/>
        <v>-0.27989847758459119</v>
      </c>
    </row>
    <row r="905" spans="1:5" x14ac:dyDescent="0.15">
      <c r="A905" s="7">
        <v>898</v>
      </c>
      <c r="B905" s="7">
        <v>0</v>
      </c>
      <c r="C905" s="7">
        <f t="shared" ref="C905:C968" si="46">(_xlfn.GAMMA($B$1+B905)/(_xlfn.GAMMA($B$1)*FACT(B905))) * ($B$2/($B$2+$B$5))^$B$1 * (1/($B$2 +$B$5))^B905</f>
        <v>0.75583605794746755</v>
      </c>
      <c r="D905" s="7">
        <f t="shared" ref="D905:D968" si="47" xml:space="preserve"> IF(B905 = 0, $B$3 + (1-$B$3) * C905, (1-$B$3) *C905)</f>
        <v>0.75586047434167281</v>
      </c>
      <c r="E905" s="7">
        <f t="shared" ref="E905:E968" si="48">LN(D905)</f>
        <v>-0.27989847758459119</v>
      </c>
    </row>
    <row r="906" spans="1:5" x14ac:dyDescent="0.15">
      <c r="A906" s="7">
        <v>899</v>
      </c>
      <c r="B906" s="7">
        <v>0</v>
      </c>
      <c r="C906" s="7">
        <f t="shared" si="46"/>
        <v>0.75583605794746755</v>
      </c>
      <c r="D906" s="7">
        <f t="shared" si="47"/>
        <v>0.75586047434167281</v>
      </c>
      <c r="E906" s="7">
        <f t="shared" si="48"/>
        <v>-0.27989847758459119</v>
      </c>
    </row>
    <row r="907" spans="1:5" x14ac:dyDescent="0.15">
      <c r="A907" s="7">
        <v>900</v>
      </c>
      <c r="B907" s="7">
        <v>2</v>
      </c>
      <c r="C907" s="7">
        <f t="shared" si="46"/>
        <v>4.4066701399555049E-2</v>
      </c>
      <c r="D907" s="7">
        <f t="shared" si="47"/>
        <v>4.4062294729415093E-2</v>
      </c>
      <c r="E907" s="7">
        <f t="shared" si="48"/>
        <v>-3.1221508570437044</v>
      </c>
    </row>
    <row r="908" spans="1:5" x14ac:dyDescent="0.15">
      <c r="A908" s="7">
        <v>901</v>
      </c>
      <c r="B908" s="7">
        <v>3</v>
      </c>
      <c r="C908" s="7">
        <f t="shared" si="46"/>
        <v>2.7470963680778882E-2</v>
      </c>
      <c r="D908" s="7">
        <f t="shared" si="47"/>
        <v>2.7468216584410805E-2</v>
      </c>
      <c r="E908" s="7">
        <f t="shared" si="48"/>
        <v>-3.5947257032827968</v>
      </c>
    </row>
    <row r="909" spans="1:5" x14ac:dyDescent="0.15">
      <c r="A909" s="7">
        <v>902</v>
      </c>
      <c r="B909" s="7">
        <v>4</v>
      </c>
      <c r="C909" s="7">
        <f t="shared" si="46"/>
        <v>1.8863004210024691E-2</v>
      </c>
      <c r="D909" s="7">
        <f t="shared" si="47"/>
        <v>1.8861117909603688E-2</v>
      </c>
      <c r="E909" s="7">
        <f t="shared" si="48"/>
        <v>-3.9706527294293466</v>
      </c>
    </row>
    <row r="910" spans="1:5" x14ac:dyDescent="0.15">
      <c r="A910" s="7">
        <v>903</v>
      </c>
      <c r="B910" s="7">
        <v>4</v>
      </c>
      <c r="C910" s="7">
        <f t="shared" si="46"/>
        <v>1.8863004210024691E-2</v>
      </c>
      <c r="D910" s="7">
        <f t="shared" si="47"/>
        <v>1.8861117909603688E-2</v>
      </c>
      <c r="E910" s="7">
        <f t="shared" si="48"/>
        <v>-3.9706527294293466</v>
      </c>
    </row>
    <row r="911" spans="1:5" x14ac:dyDescent="0.15">
      <c r="A911" s="7">
        <v>904</v>
      </c>
      <c r="B911" s="7">
        <v>0</v>
      </c>
      <c r="C911" s="7">
        <f t="shared" si="46"/>
        <v>0.75583605794746755</v>
      </c>
      <c r="D911" s="7">
        <f t="shared" si="47"/>
        <v>0.75586047434167281</v>
      </c>
      <c r="E911" s="7">
        <f t="shared" si="48"/>
        <v>-0.27989847758459119</v>
      </c>
    </row>
    <row r="912" spans="1:5" x14ac:dyDescent="0.15">
      <c r="A912" s="7">
        <v>905</v>
      </c>
      <c r="B912" s="7">
        <v>0</v>
      </c>
      <c r="C912" s="7">
        <f t="shared" si="46"/>
        <v>0.75583605794746755</v>
      </c>
      <c r="D912" s="7">
        <f t="shared" si="47"/>
        <v>0.75586047434167281</v>
      </c>
      <c r="E912" s="7">
        <f t="shared" si="48"/>
        <v>-0.27989847758459119</v>
      </c>
    </row>
    <row r="913" spans="1:5" x14ac:dyDescent="0.15">
      <c r="A913" s="7">
        <v>906</v>
      </c>
      <c r="B913" s="7">
        <v>6</v>
      </c>
      <c r="C913" s="7">
        <f t="shared" si="46"/>
        <v>1.0249964283711298E-2</v>
      </c>
      <c r="D913" s="7">
        <f t="shared" si="47"/>
        <v>1.0248939287282927E-2</v>
      </c>
      <c r="E913" s="7">
        <f t="shared" si="48"/>
        <v>-4.5805810629200954</v>
      </c>
    </row>
    <row r="914" spans="1:5" x14ac:dyDescent="0.15">
      <c r="A914" s="7">
        <v>907</v>
      </c>
      <c r="B914" s="7">
        <v>4</v>
      </c>
      <c r="C914" s="7">
        <f t="shared" si="46"/>
        <v>1.8863004210024691E-2</v>
      </c>
      <c r="D914" s="7">
        <f t="shared" si="47"/>
        <v>1.8861117909603688E-2</v>
      </c>
      <c r="E914" s="7">
        <f t="shared" si="48"/>
        <v>-3.9706527294293466</v>
      </c>
    </row>
    <row r="915" spans="1:5" x14ac:dyDescent="0.15">
      <c r="A915" s="7">
        <v>908</v>
      </c>
      <c r="B915" s="7">
        <v>14</v>
      </c>
      <c r="C915" s="7">
        <f t="shared" si="46"/>
        <v>1.7226308754647042E-3</v>
      </c>
      <c r="D915" s="7">
        <f t="shared" si="47"/>
        <v>1.7224586123771577E-3</v>
      </c>
      <c r="E915" s="7">
        <f t="shared" si="48"/>
        <v>-6.3640025830126428</v>
      </c>
    </row>
    <row r="916" spans="1:5" x14ac:dyDescent="0.15">
      <c r="A916" s="7">
        <v>909</v>
      </c>
      <c r="B916" s="7">
        <v>0</v>
      </c>
      <c r="C916" s="7">
        <f t="shared" si="46"/>
        <v>0.75583605794746755</v>
      </c>
      <c r="D916" s="7">
        <f t="shared" si="47"/>
        <v>0.75586047434167281</v>
      </c>
      <c r="E916" s="7">
        <f t="shared" si="48"/>
        <v>-0.27989847758459119</v>
      </c>
    </row>
    <row r="917" spans="1:5" x14ac:dyDescent="0.15">
      <c r="A917" s="7">
        <v>910</v>
      </c>
      <c r="B917" s="7">
        <v>1</v>
      </c>
      <c r="C917" s="7">
        <f t="shared" si="46"/>
        <v>8.8686757970141181E-2</v>
      </c>
      <c r="D917" s="7">
        <f t="shared" si="47"/>
        <v>8.867788929434417E-2</v>
      </c>
      <c r="E917" s="7">
        <f t="shared" si="48"/>
        <v>-2.4227446958891354</v>
      </c>
    </row>
    <row r="918" spans="1:5" x14ac:dyDescent="0.15">
      <c r="A918" s="7">
        <v>911</v>
      </c>
      <c r="B918" s="7">
        <v>0</v>
      </c>
      <c r="C918" s="7">
        <f t="shared" si="46"/>
        <v>0.75583605794746755</v>
      </c>
      <c r="D918" s="7">
        <f t="shared" si="47"/>
        <v>0.75586047434167281</v>
      </c>
      <c r="E918" s="7">
        <f t="shared" si="48"/>
        <v>-0.27989847758459119</v>
      </c>
    </row>
    <row r="919" spans="1:5" x14ac:dyDescent="0.15">
      <c r="A919" s="7">
        <v>912</v>
      </c>
      <c r="B919" s="7">
        <v>4</v>
      </c>
      <c r="C919" s="7">
        <f t="shared" si="46"/>
        <v>1.8863004210024691E-2</v>
      </c>
      <c r="D919" s="7">
        <f t="shared" si="47"/>
        <v>1.8861117909603688E-2</v>
      </c>
      <c r="E919" s="7">
        <f t="shared" si="48"/>
        <v>-3.9706527294293466</v>
      </c>
    </row>
    <row r="920" spans="1:5" x14ac:dyDescent="0.15">
      <c r="A920" s="7">
        <v>913</v>
      </c>
      <c r="B920" s="7">
        <v>16</v>
      </c>
      <c r="C920" s="7">
        <f t="shared" si="46"/>
        <v>1.1792932174368418E-3</v>
      </c>
      <c r="D920" s="7">
        <f t="shared" si="47"/>
        <v>1.1791752881150982E-3</v>
      </c>
      <c r="E920" s="7">
        <f t="shared" si="48"/>
        <v>-6.7429399932319178</v>
      </c>
    </row>
    <row r="921" spans="1:5" x14ac:dyDescent="0.15">
      <c r="A921" s="7">
        <v>914</v>
      </c>
      <c r="B921" s="7">
        <v>1</v>
      </c>
      <c r="C921" s="7">
        <f t="shared" si="46"/>
        <v>8.8686757970141181E-2</v>
      </c>
      <c r="D921" s="7">
        <f t="shared" si="47"/>
        <v>8.867788929434417E-2</v>
      </c>
      <c r="E921" s="7">
        <f t="shared" si="48"/>
        <v>-2.4227446958891354</v>
      </c>
    </row>
    <row r="922" spans="1:5" x14ac:dyDescent="0.15">
      <c r="A922" s="7">
        <v>915</v>
      </c>
      <c r="B922" s="7">
        <v>0</v>
      </c>
      <c r="C922" s="7">
        <f t="shared" si="46"/>
        <v>0.75583605794746755</v>
      </c>
      <c r="D922" s="7">
        <f t="shared" si="47"/>
        <v>0.75586047434167281</v>
      </c>
      <c r="E922" s="7">
        <f t="shared" si="48"/>
        <v>-0.27989847758459119</v>
      </c>
    </row>
    <row r="923" spans="1:5" x14ac:dyDescent="0.15">
      <c r="A923" s="7">
        <v>916</v>
      </c>
      <c r="B923" s="7">
        <v>1</v>
      </c>
      <c r="C923" s="7">
        <f t="shared" si="46"/>
        <v>8.8686757970141181E-2</v>
      </c>
      <c r="D923" s="7">
        <f t="shared" si="47"/>
        <v>8.867788929434417E-2</v>
      </c>
      <c r="E923" s="7">
        <f t="shared" si="48"/>
        <v>-2.4227446958891354</v>
      </c>
    </row>
    <row r="924" spans="1:5" x14ac:dyDescent="0.15">
      <c r="A924" s="7">
        <v>917</v>
      </c>
      <c r="B924" s="7">
        <v>0</v>
      </c>
      <c r="C924" s="7">
        <f t="shared" si="46"/>
        <v>0.75583605794746755</v>
      </c>
      <c r="D924" s="7">
        <f t="shared" si="47"/>
        <v>0.75586047434167281</v>
      </c>
      <c r="E924" s="7">
        <f t="shared" si="48"/>
        <v>-0.27989847758459119</v>
      </c>
    </row>
    <row r="925" spans="1:5" x14ac:dyDescent="0.15">
      <c r="A925" s="7">
        <v>918</v>
      </c>
      <c r="B925" s="7">
        <v>0</v>
      </c>
      <c r="C925" s="7">
        <f t="shared" si="46"/>
        <v>0.75583605794746755</v>
      </c>
      <c r="D925" s="7">
        <f t="shared" si="47"/>
        <v>0.75586047434167281</v>
      </c>
      <c r="E925" s="7">
        <f t="shared" si="48"/>
        <v>-0.27989847758459119</v>
      </c>
    </row>
    <row r="926" spans="1:5" x14ac:dyDescent="0.15">
      <c r="A926" s="7">
        <v>919</v>
      </c>
      <c r="B926" s="7">
        <v>0</v>
      </c>
      <c r="C926" s="7">
        <f t="shared" si="46"/>
        <v>0.75583605794746755</v>
      </c>
      <c r="D926" s="7">
        <f t="shared" si="47"/>
        <v>0.75586047434167281</v>
      </c>
      <c r="E926" s="7">
        <f t="shared" si="48"/>
        <v>-0.27989847758459119</v>
      </c>
    </row>
    <row r="927" spans="1:5" x14ac:dyDescent="0.15">
      <c r="A927" s="7">
        <v>920</v>
      </c>
      <c r="B927" s="7">
        <v>0</v>
      </c>
      <c r="C927" s="7">
        <f t="shared" si="46"/>
        <v>0.75583605794746755</v>
      </c>
      <c r="D927" s="7">
        <f t="shared" si="47"/>
        <v>0.75586047434167281</v>
      </c>
      <c r="E927" s="7">
        <f t="shared" si="48"/>
        <v>-0.27989847758459119</v>
      </c>
    </row>
    <row r="928" spans="1:5" x14ac:dyDescent="0.15">
      <c r="A928" s="7">
        <v>921</v>
      </c>
      <c r="B928" s="7">
        <v>0</v>
      </c>
      <c r="C928" s="7">
        <f t="shared" si="46"/>
        <v>0.75583605794746755</v>
      </c>
      <c r="D928" s="7">
        <f t="shared" si="47"/>
        <v>0.75586047434167281</v>
      </c>
      <c r="E928" s="7">
        <f t="shared" si="48"/>
        <v>-0.27989847758459119</v>
      </c>
    </row>
    <row r="929" spans="1:5" x14ac:dyDescent="0.15">
      <c r="A929" s="7">
        <v>922</v>
      </c>
      <c r="B929" s="7">
        <v>0</v>
      </c>
      <c r="C929" s="7">
        <f t="shared" si="46"/>
        <v>0.75583605794746755</v>
      </c>
      <c r="D929" s="7">
        <f t="shared" si="47"/>
        <v>0.75586047434167281</v>
      </c>
      <c r="E929" s="7">
        <f t="shared" si="48"/>
        <v>-0.27989847758459119</v>
      </c>
    </row>
    <row r="930" spans="1:5" x14ac:dyDescent="0.15">
      <c r="A930" s="7">
        <v>923</v>
      </c>
      <c r="B930" s="7">
        <v>0</v>
      </c>
      <c r="C930" s="7">
        <f t="shared" si="46"/>
        <v>0.75583605794746755</v>
      </c>
      <c r="D930" s="7">
        <f t="shared" si="47"/>
        <v>0.75586047434167281</v>
      </c>
      <c r="E930" s="7">
        <f t="shared" si="48"/>
        <v>-0.27989847758459119</v>
      </c>
    </row>
    <row r="931" spans="1:5" x14ac:dyDescent="0.15">
      <c r="A931" s="7">
        <v>924</v>
      </c>
      <c r="B931" s="7">
        <v>0</v>
      </c>
      <c r="C931" s="7">
        <f t="shared" si="46"/>
        <v>0.75583605794746755</v>
      </c>
      <c r="D931" s="7">
        <f t="shared" si="47"/>
        <v>0.75586047434167281</v>
      </c>
      <c r="E931" s="7">
        <f t="shared" si="48"/>
        <v>-0.27989847758459119</v>
      </c>
    </row>
    <row r="932" spans="1:5" x14ac:dyDescent="0.15">
      <c r="A932" s="7">
        <v>925</v>
      </c>
      <c r="B932" s="7">
        <v>0</v>
      </c>
      <c r="C932" s="7">
        <f t="shared" si="46"/>
        <v>0.75583605794746755</v>
      </c>
      <c r="D932" s="7">
        <f t="shared" si="47"/>
        <v>0.75586047434167281</v>
      </c>
      <c r="E932" s="7">
        <f t="shared" si="48"/>
        <v>-0.27989847758459119</v>
      </c>
    </row>
    <row r="933" spans="1:5" x14ac:dyDescent="0.15">
      <c r="A933" s="7">
        <v>926</v>
      </c>
      <c r="B933" s="7">
        <v>0</v>
      </c>
      <c r="C933" s="7">
        <f t="shared" si="46"/>
        <v>0.75583605794746755</v>
      </c>
      <c r="D933" s="7">
        <f t="shared" si="47"/>
        <v>0.75586047434167281</v>
      </c>
      <c r="E933" s="7">
        <f t="shared" si="48"/>
        <v>-0.27989847758459119</v>
      </c>
    </row>
    <row r="934" spans="1:5" x14ac:dyDescent="0.15">
      <c r="A934" s="7">
        <v>927</v>
      </c>
      <c r="B934" s="7">
        <v>4</v>
      </c>
      <c r="C934" s="7">
        <f t="shared" si="46"/>
        <v>1.8863004210024691E-2</v>
      </c>
      <c r="D934" s="7">
        <f t="shared" si="47"/>
        <v>1.8861117909603688E-2</v>
      </c>
      <c r="E934" s="7">
        <f t="shared" si="48"/>
        <v>-3.9706527294293466</v>
      </c>
    </row>
    <row r="935" spans="1:5" x14ac:dyDescent="0.15">
      <c r="A935" s="7">
        <v>928</v>
      </c>
      <c r="B935" s="7">
        <v>0</v>
      </c>
      <c r="C935" s="7">
        <f t="shared" si="46"/>
        <v>0.75583605794746755</v>
      </c>
      <c r="D935" s="7">
        <f t="shared" si="47"/>
        <v>0.75586047434167281</v>
      </c>
      <c r="E935" s="7">
        <f t="shared" si="48"/>
        <v>-0.27989847758459119</v>
      </c>
    </row>
    <row r="936" spans="1:5" x14ac:dyDescent="0.15">
      <c r="A936" s="7">
        <v>929</v>
      </c>
      <c r="B936" s="7">
        <v>0</v>
      </c>
      <c r="C936" s="7">
        <f t="shared" si="46"/>
        <v>0.75583605794746755</v>
      </c>
      <c r="D936" s="7">
        <f t="shared" si="47"/>
        <v>0.75586047434167281</v>
      </c>
      <c r="E936" s="7">
        <f t="shared" si="48"/>
        <v>-0.27989847758459119</v>
      </c>
    </row>
    <row r="937" spans="1:5" x14ac:dyDescent="0.15">
      <c r="A937" s="7">
        <v>930</v>
      </c>
      <c r="B937" s="7">
        <v>0</v>
      </c>
      <c r="C937" s="7">
        <f t="shared" si="46"/>
        <v>0.75583605794746755</v>
      </c>
      <c r="D937" s="7">
        <f t="shared" si="47"/>
        <v>0.75586047434167281</v>
      </c>
      <c r="E937" s="7">
        <f t="shared" si="48"/>
        <v>-0.27989847758459119</v>
      </c>
    </row>
    <row r="938" spans="1:5" x14ac:dyDescent="0.15">
      <c r="A938" s="7">
        <v>931</v>
      </c>
      <c r="B938" s="7">
        <v>0</v>
      </c>
      <c r="C938" s="7">
        <f t="shared" si="46"/>
        <v>0.75583605794746755</v>
      </c>
      <c r="D938" s="7">
        <f t="shared" si="47"/>
        <v>0.75586047434167281</v>
      </c>
      <c r="E938" s="7">
        <f t="shared" si="48"/>
        <v>-0.27989847758459119</v>
      </c>
    </row>
    <row r="939" spans="1:5" x14ac:dyDescent="0.15">
      <c r="A939" s="7">
        <v>932</v>
      </c>
      <c r="B939" s="7">
        <v>0</v>
      </c>
      <c r="C939" s="7">
        <f t="shared" si="46"/>
        <v>0.75583605794746755</v>
      </c>
      <c r="D939" s="7">
        <f t="shared" si="47"/>
        <v>0.75586047434167281</v>
      </c>
      <c r="E939" s="7">
        <f t="shared" si="48"/>
        <v>-0.27989847758459119</v>
      </c>
    </row>
    <row r="940" spans="1:5" x14ac:dyDescent="0.15">
      <c r="A940" s="7">
        <v>933</v>
      </c>
      <c r="B940" s="7">
        <v>0</v>
      </c>
      <c r="C940" s="7">
        <f t="shared" si="46"/>
        <v>0.75583605794746755</v>
      </c>
      <c r="D940" s="7">
        <f t="shared" si="47"/>
        <v>0.75586047434167281</v>
      </c>
      <c r="E940" s="7">
        <f t="shared" si="48"/>
        <v>-0.27989847758459119</v>
      </c>
    </row>
    <row r="941" spans="1:5" x14ac:dyDescent="0.15">
      <c r="A941" s="7">
        <v>934</v>
      </c>
      <c r="B941" s="7">
        <v>0</v>
      </c>
      <c r="C941" s="7">
        <f t="shared" si="46"/>
        <v>0.75583605794746755</v>
      </c>
      <c r="D941" s="7">
        <f t="shared" si="47"/>
        <v>0.75586047434167281</v>
      </c>
      <c r="E941" s="7">
        <f t="shared" si="48"/>
        <v>-0.27989847758459119</v>
      </c>
    </row>
    <row r="942" spans="1:5" x14ac:dyDescent="0.15">
      <c r="A942" s="7">
        <v>935</v>
      </c>
      <c r="B942" s="7">
        <v>0</v>
      </c>
      <c r="C942" s="7">
        <f t="shared" si="46"/>
        <v>0.75583605794746755</v>
      </c>
      <c r="D942" s="7">
        <f t="shared" si="47"/>
        <v>0.75586047434167281</v>
      </c>
      <c r="E942" s="7">
        <f t="shared" si="48"/>
        <v>-0.27989847758459119</v>
      </c>
    </row>
    <row r="943" spans="1:5" x14ac:dyDescent="0.15">
      <c r="A943" s="7">
        <v>936</v>
      </c>
      <c r="B943" s="7">
        <v>0</v>
      </c>
      <c r="C943" s="7">
        <f t="shared" si="46"/>
        <v>0.75583605794746755</v>
      </c>
      <c r="D943" s="7">
        <f t="shared" si="47"/>
        <v>0.75586047434167281</v>
      </c>
      <c r="E943" s="7">
        <f t="shared" si="48"/>
        <v>-0.27989847758459119</v>
      </c>
    </row>
    <row r="944" spans="1:5" x14ac:dyDescent="0.15">
      <c r="A944" s="7">
        <v>937</v>
      </c>
      <c r="B944" s="7">
        <v>0</v>
      </c>
      <c r="C944" s="7">
        <f t="shared" si="46"/>
        <v>0.75583605794746755</v>
      </c>
      <c r="D944" s="7">
        <f t="shared" si="47"/>
        <v>0.75586047434167281</v>
      </c>
      <c r="E944" s="7">
        <f t="shared" si="48"/>
        <v>-0.27989847758459119</v>
      </c>
    </row>
    <row r="945" spans="1:5" x14ac:dyDescent="0.15">
      <c r="A945" s="7">
        <v>938</v>
      </c>
      <c r="B945" s="7">
        <v>0</v>
      </c>
      <c r="C945" s="7">
        <f t="shared" si="46"/>
        <v>0.75583605794746755</v>
      </c>
      <c r="D945" s="7">
        <f t="shared" si="47"/>
        <v>0.75586047434167281</v>
      </c>
      <c r="E945" s="7">
        <f t="shared" si="48"/>
        <v>-0.27989847758459119</v>
      </c>
    </row>
    <row r="946" spans="1:5" x14ac:dyDescent="0.15">
      <c r="A946" s="7">
        <v>939</v>
      </c>
      <c r="B946" s="7">
        <v>3</v>
      </c>
      <c r="C946" s="7">
        <f t="shared" si="46"/>
        <v>2.7470963680778882E-2</v>
      </c>
      <c r="D946" s="7">
        <f t="shared" si="47"/>
        <v>2.7468216584410805E-2</v>
      </c>
      <c r="E946" s="7">
        <f t="shared" si="48"/>
        <v>-3.5947257032827968</v>
      </c>
    </row>
    <row r="947" spans="1:5" x14ac:dyDescent="0.15">
      <c r="A947" s="7">
        <v>940</v>
      </c>
      <c r="B947" s="7">
        <v>0</v>
      </c>
      <c r="C947" s="7">
        <f t="shared" si="46"/>
        <v>0.75583605794746755</v>
      </c>
      <c r="D947" s="7">
        <f t="shared" si="47"/>
        <v>0.75586047434167281</v>
      </c>
      <c r="E947" s="7">
        <f t="shared" si="48"/>
        <v>-0.27989847758459119</v>
      </c>
    </row>
    <row r="948" spans="1:5" x14ac:dyDescent="0.15">
      <c r="A948" s="7">
        <v>941</v>
      </c>
      <c r="B948" s="7">
        <v>0</v>
      </c>
      <c r="C948" s="7">
        <f t="shared" si="46"/>
        <v>0.75583605794746755</v>
      </c>
      <c r="D948" s="7">
        <f t="shared" si="47"/>
        <v>0.75586047434167281</v>
      </c>
      <c r="E948" s="7">
        <f t="shared" si="48"/>
        <v>-0.27989847758459119</v>
      </c>
    </row>
    <row r="949" spans="1:5" x14ac:dyDescent="0.15">
      <c r="A949" s="7">
        <v>942</v>
      </c>
      <c r="B949" s="7">
        <v>0</v>
      </c>
      <c r="C949" s="7">
        <f t="shared" si="46"/>
        <v>0.75583605794746755</v>
      </c>
      <c r="D949" s="7">
        <f t="shared" si="47"/>
        <v>0.75586047434167281</v>
      </c>
      <c r="E949" s="7">
        <f t="shared" si="48"/>
        <v>-0.27989847758459119</v>
      </c>
    </row>
    <row r="950" spans="1:5" x14ac:dyDescent="0.15">
      <c r="A950" s="7">
        <v>943</v>
      </c>
      <c r="B950" s="7">
        <v>1</v>
      </c>
      <c r="C950" s="7">
        <f t="shared" si="46"/>
        <v>8.8686757970141181E-2</v>
      </c>
      <c r="D950" s="7">
        <f t="shared" si="47"/>
        <v>8.867788929434417E-2</v>
      </c>
      <c r="E950" s="7">
        <f t="shared" si="48"/>
        <v>-2.4227446958891354</v>
      </c>
    </row>
    <row r="951" spans="1:5" x14ac:dyDescent="0.15">
      <c r="A951" s="7">
        <v>944</v>
      </c>
      <c r="B951" s="7">
        <v>0</v>
      </c>
      <c r="C951" s="7">
        <f t="shared" si="46"/>
        <v>0.75583605794746755</v>
      </c>
      <c r="D951" s="7">
        <f t="shared" si="47"/>
        <v>0.75586047434167281</v>
      </c>
      <c r="E951" s="7">
        <f t="shared" si="48"/>
        <v>-0.27989847758459119</v>
      </c>
    </row>
    <row r="952" spans="1:5" x14ac:dyDescent="0.15">
      <c r="A952" s="7">
        <v>945</v>
      </c>
      <c r="B952" s="7">
        <v>2</v>
      </c>
      <c r="C952" s="7">
        <f t="shared" si="46"/>
        <v>4.4066701399555049E-2</v>
      </c>
      <c r="D952" s="7">
        <f t="shared" si="47"/>
        <v>4.4062294729415093E-2</v>
      </c>
      <c r="E952" s="7">
        <f t="shared" si="48"/>
        <v>-3.1221508570437044</v>
      </c>
    </row>
    <row r="953" spans="1:5" x14ac:dyDescent="0.15">
      <c r="A953" s="7">
        <v>946</v>
      </c>
      <c r="B953" s="7">
        <v>1</v>
      </c>
      <c r="C953" s="7">
        <f t="shared" si="46"/>
        <v>8.8686757970141181E-2</v>
      </c>
      <c r="D953" s="7">
        <f t="shared" si="47"/>
        <v>8.867788929434417E-2</v>
      </c>
      <c r="E953" s="7">
        <f t="shared" si="48"/>
        <v>-2.4227446958891354</v>
      </c>
    </row>
    <row r="954" spans="1:5" x14ac:dyDescent="0.15">
      <c r="A954" s="7">
        <v>947</v>
      </c>
      <c r="B954" s="7">
        <v>4</v>
      </c>
      <c r="C954" s="7">
        <f t="shared" si="46"/>
        <v>1.8863004210024691E-2</v>
      </c>
      <c r="D954" s="7">
        <f t="shared" si="47"/>
        <v>1.8861117909603688E-2</v>
      </c>
      <c r="E954" s="7">
        <f t="shared" si="48"/>
        <v>-3.9706527294293466</v>
      </c>
    </row>
    <row r="955" spans="1:5" x14ac:dyDescent="0.15">
      <c r="A955" s="7">
        <v>948</v>
      </c>
      <c r="B955" s="7">
        <v>5</v>
      </c>
      <c r="C955" s="7">
        <f t="shared" si="46"/>
        <v>1.366826244062944E-2</v>
      </c>
      <c r="D955" s="7">
        <f t="shared" si="47"/>
        <v>1.3666895614385376E-2</v>
      </c>
      <c r="E955" s="7">
        <f t="shared" si="48"/>
        <v>-4.2927787488141558</v>
      </c>
    </row>
    <row r="956" spans="1:5" x14ac:dyDescent="0.15">
      <c r="A956" s="7">
        <v>949</v>
      </c>
      <c r="B956" s="7">
        <v>0</v>
      </c>
      <c r="C956" s="7">
        <f t="shared" si="46"/>
        <v>0.75583605794746755</v>
      </c>
      <c r="D956" s="7">
        <f t="shared" si="47"/>
        <v>0.75586047434167281</v>
      </c>
      <c r="E956" s="7">
        <f t="shared" si="48"/>
        <v>-0.27989847758459119</v>
      </c>
    </row>
    <row r="957" spans="1:5" x14ac:dyDescent="0.15">
      <c r="A957" s="7">
        <v>950</v>
      </c>
      <c r="B957" s="7">
        <v>16</v>
      </c>
      <c r="C957" s="7">
        <f t="shared" si="46"/>
        <v>1.1792932174368418E-3</v>
      </c>
      <c r="D957" s="7">
        <f t="shared" si="47"/>
        <v>1.1791752881150982E-3</v>
      </c>
      <c r="E957" s="7">
        <f t="shared" si="48"/>
        <v>-6.7429399932319178</v>
      </c>
    </row>
    <row r="958" spans="1:5" x14ac:dyDescent="0.15">
      <c r="A958" s="7">
        <v>951</v>
      </c>
      <c r="B958" s="7">
        <v>1</v>
      </c>
      <c r="C958" s="7">
        <f t="shared" si="46"/>
        <v>8.8686757970141181E-2</v>
      </c>
      <c r="D958" s="7">
        <f t="shared" si="47"/>
        <v>8.867788929434417E-2</v>
      </c>
      <c r="E958" s="7">
        <f t="shared" si="48"/>
        <v>-2.4227446958891354</v>
      </c>
    </row>
    <row r="959" spans="1:5" x14ac:dyDescent="0.15">
      <c r="A959" s="7">
        <v>952</v>
      </c>
      <c r="B959" s="7">
        <v>0</v>
      </c>
      <c r="C959" s="7">
        <f t="shared" si="46"/>
        <v>0.75583605794746755</v>
      </c>
      <c r="D959" s="7">
        <f t="shared" si="47"/>
        <v>0.75586047434167281</v>
      </c>
      <c r="E959" s="7">
        <f t="shared" si="48"/>
        <v>-0.27989847758459119</v>
      </c>
    </row>
    <row r="960" spans="1:5" x14ac:dyDescent="0.15">
      <c r="A960" s="7">
        <v>953</v>
      </c>
      <c r="B960" s="7">
        <v>0</v>
      </c>
      <c r="C960" s="7">
        <f t="shared" si="46"/>
        <v>0.75583605794746755</v>
      </c>
      <c r="D960" s="7">
        <f t="shared" si="47"/>
        <v>0.75586047434167281</v>
      </c>
      <c r="E960" s="7">
        <f t="shared" si="48"/>
        <v>-0.27989847758459119</v>
      </c>
    </row>
    <row r="961" spans="1:5" x14ac:dyDescent="0.15">
      <c r="A961" s="7">
        <v>954</v>
      </c>
      <c r="B961" s="7">
        <v>0</v>
      </c>
      <c r="C961" s="7">
        <f t="shared" si="46"/>
        <v>0.75583605794746755</v>
      </c>
      <c r="D961" s="7">
        <f t="shared" si="47"/>
        <v>0.75586047434167281</v>
      </c>
      <c r="E961" s="7">
        <f t="shared" si="48"/>
        <v>-0.27989847758459119</v>
      </c>
    </row>
    <row r="962" spans="1:5" x14ac:dyDescent="0.15">
      <c r="A962" s="7">
        <v>955</v>
      </c>
      <c r="B962" s="7">
        <v>0</v>
      </c>
      <c r="C962" s="7">
        <f t="shared" si="46"/>
        <v>0.75583605794746755</v>
      </c>
      <c r="D962" s="7">
        <f t="shared" si="47"/>
        <v>0.75586047434167281</v>
      </c>
      <c r="E962" s="7">
        <f t="shared" si="48"/>
        <v>-0.27989847758459119</v>
      </c>
    </row>
    <row r="963" spans="1:5" x14ac:dyDescent="0.15">
      <c r="A963" s="7">
        <v>956</v>
      </c>
      <c r="B963" s="7">
        <v>2</v>
      </c>
      <c r="C963" s="7">
        <f t="shared" si="46"/>
        <v>4.4066701399555049E-2</v>
      </c>
      <c r="D963" s="7">
        <f t="shared" si="47"/>
        <v>4.4062294729415093E-2</v>
      </c>
      <c r="E963" s="7">
        <f t="shared" si="48"/>
        <v>-3.1221508570437044</v>
      </c>
    </row>
    <row r="964" spans="1:5" x14ac:dyDescent="0.15">
      <c r="A964" s="7">
        <v>957</v>
      </c>
      <c r="B964" s="7">
        <v>0</v>
      </c>
      <c r="C964" s="7">
        <f t="shared" si="46"/>
        <v>0.75583605794746755</v>
      </c>
      <c r="D964" s="7">
        <f t="shared" si="47"/>
        <v>0.75586047434167281</v>
      </c>
      <c r="E964" s="7">
        <f t="shared" si="48"/>
        <v>-0.27989847758459119</v>
      </c>
    </row>
    <row r="965" spans="1:5" x14ac:dyDescent="0.15">
      <c r="A965" s="7">
        <v>958</v>
      </c>
      <c r="B965" s="7">
        <v>0</v>
      </c>
      <c r="C965" s="7">
        <f t="shared" si="46"/>
        <v>0.75583605794746755</v>
      </c>
      <c r="D965" s="7">
        <f t="shared" si="47"/>
        <v>0.75586047434167281</v>
      </c>
      <c r="E965" s="7">
        <f t="shared" si="48"/>
        <v>-0.27989847758459119</v>
      </c>
    </row>
    <row r="966" spans="1:5" x14ac:dyDescent="0.15">
      <c r="A966" s="7">
        <v>959</v>
      </c>
      <c r="B966" s="7">
        <v>0</v>
      </c>
      <c r="C966" s="7">
        <f t="shared" si="46"/>
        <v>0.75583605794746755</v>
      </c>
      <c r="D966" s="7">
        <f t="shared" si="47"/>
        <v>0.75586047434167281</v>
      </c>
      <c r="E966" s="7">
        <f t="shared" si="48"/>
        <v>-0.27989847758459119</v>
      </c>
    </row>
    <row r="967" spans="1:5" x14ac:dyDescent="0.15">
      <c r="A967" s="7">
        <v>960</v>
      </c>
      <c r="B967" s="7">
        <v>0</v>
      </c>
      <c r="C967" s="7">
        <f t="shared" si="46"/>
        <v>0.75583605794746755</v>
      </c>
      <c r="D967" s="7">
        <f t="shared" si="47"/>
        <v>0.75586047434167281</v>
      </c>
      <c r="E967" s="7">
        <f t="shared" si="48"/>
        <v>-0.27989847758459119</v>
      </c>
    </row>
    <row r="968" spans="1:5" x14ac:dyDescent="0.15">
      <c r="A968" s="7">
        <v>961</v>
      </c>
      <c r="B968" s="7">
        <v>0</v>
      </c>
      <c r="C968" s="7">
        <f t="shared" si="46"/>
        <v>0.75583605794746755</v>
      </c>
      <c r="D968" s="7">
        <f t="shared" si="47"/>
        <v>0.75586047434167281</v>
      </c>
      <c r="E968" s="7">
        <f t="shared" si="48"/>
        <v>-0.27989847758459119</v>
      </c>
    </row>
    <row r="969" spans="1:5" x14ac:dyDescent="0.15">
      <c r="A969" s="7">
        <v>962</v>
      </c>
      <c r="B969" s="7">
        <v>0</v>
      </c>
      <c r="C969" s="7">
        <f t="shared" ref="C969:C1032" si="49">(_xlfn.GAMMA($B$1+B969)/(_xlfn.GAMMA($B$1)*FACT(B969))) * ($B$2/($B$2+$B$5))^$B$1 * (1/($B$2 +$B$5))^B969</f>
        <v>0.75583605794746755</v>
      </c>
      <c r="D969" s="7">
        <f t="shared" ref="D969:D1032" si="50" xml:space="preserve"> IF(B969 = 0, $B$3 + (1-$B$3) * C969, (1-$B$3) *C969)</f>
        <v>0.75586047434167281</v>
      </c>
      <c r="E969" s="7">
        <f t="shared" ref="E969:E1032" si="51">LN(D969)</f>
        <v>-0.27989847758459119</v>
      </c>
    </row>
    <row r="970" spans="1:5" x14ac:dyDescent="0.15">
      <c r="A970" s="7">
        <v>963</v>
      </c>
      <c r="B970" s="7">
        <v>0</v>
      </c>
      <c r="C970" s="7">
        <f t="shared" si="49"/>
        <v>0.75583605794746755</v>
      </c>
      <c r="D970" s="7">
        <f t="shared" si="50"/>
        <v>0.75586047434167281</v>
      </c>
      <c r="E970" s="7">
        <f t="shared" si="51"/>
        <v>-0.27989847758459119</v>
      </c>
    </row>
    <row r="971" spans="1:5" x14ac:dyDescent="0.15">
      <c r="A971" s="7">
        <v>964</v>
      </c>
      <c r="B971" s="7">
        <v>0</v>
      </c>
      <c r="C971" s="7">
        <f t="shared" si="49"/>
        <v>0.75583605794746755</v>
      </c>
      <c r="D971" s="7">
        <f t="shared" si="50"/>
        <v>0.75586047434167281</v>
      </c>
      <c r="E971" s="7">
        <f t="shared" si="51"/>
        <v>-0.27989847758459119</v>
      </c>
    </row>
    <row r="972" spans="1:5" x14ac:dyDescent="0.15">
      <c r="A972" s="7">
        <v>965</v>
      </c>
      <c r="B972" s="7">
        <v>0</v>
      </c>
      <c r="C972" s="7">
        <f t="shared" si="49"/>
        <v>0.75583605794746755</v>
      </c>
      <c r="D972" s="7">
        <f t="shared" si="50"/>
        <v>0.75586047434167281</v>
      </c>
      <c r="E972" s="7">
        <f t="shared" si="51"/>
        <v>-0.27989847758459119</v>
      </c>
    </row>
    <row r="973" spans="1:5" x14ac:dyDescent="0.15">
      <c r="A973" s="7">
        <v>966</v>
      </c>
      <c r="B973" s="7">
        <v>0</v>
      </c>
      <c r="C973" s="7">
        <f t="shared" si="49"/>
        <v>0.75583605794746755</v>
      </c>
      <c r="D973" s="7">
        <f t="shared" si="50"/>
        <v>0.75586047434167281</v>
      </c>
      <c r="E973" s="7">
        <f t="shared" si="51"/>
        <v>-0.27989847758459119</v>
      </c>
    </row>
    <row r="974" spans="1:5" x14ac:dyDescent="0.15">
      <c r="A974" s="7">
        <v>967</v>
      </c>
      <c r="B974" s="7">
        <v>0</v>
      </c>
      <c r="C974" s="7">
        <f t="shared" si="49"/>
        <v>0.75583605794746755</v>
      </c>
      <c r="D974" s="7">
        <f t="shared" si="50"/>
        <v>0.75586047434167281</v>
      </c>
      <c r="E974" s="7">
        <f t="shared" si="51"/>
        <v>-0.27989847758459119</v>
      </c>
    </row>
    <row r="975" spans="1:5" x14ac:dyDescent="0.15">
      <c r="A975" s="7">
        <v>968</v>
      </c>
      <c r="B975" s="7">
        <v>3</v>
      </c>
      <c r="C975" s="7">
        <f t="shared" si="49"/>
        <v>2.7470963680778882E-2</v>
      </c>
      <c r="D975" s="7">
        <f t="shared" si="50"/>
        <v>2.7468216584410805E-2</v>
      </c>
      <c r="E975" s="7">
        <f t="shared" si="51"/>
        <v>-3.5947257032827968</v>
      </c>
    </row>
    <row r="976" spans="1:5" x14ac:dyDescent="0.15">
      <c r="A976" s="7">
        <v>969</v>
      </c>
      <c r="B976" s="7">
        <v>0</v>
      </c>
      <c r="C976" s="7">
        <f t="shared" si="49"/>
        <v>0.75583605794746755</v>
      </c>
      <c r="D976" s="7">
        <f t="shared" si="50"/>
        <v>0.75586047434167281</v>
      </c>
      <c r="E976" s="7">
        <f t="shared" si="51"/>
        <v>-0.27989847758459119</v>
      </c>
    </row>
    <row r="977" spans="1:5" x14ac:dyDescent="0.15">
      <c r="A977" s="7">
        <v>970</v>
      </c>
      <c r="B977" s="7">
        <v>0</v>
      </c>
      <c r="C977" s="7">
        <f t="shared" si="49"/>
        <v>0.75583605794746755</v>
      </c>
      <c r="D977" s="7">
        <f t="shared" si="50"/>
        <v>0.75586047434167281</v>
      </c>
      <c r="E977" s="7">
        <f t="shared" si="51"/>
        <v>-0.27989847758459119</v>
      </c>
    </row>
    <row r="978" spans="1:5" x14ac:dyDescent="0.15">
      <c r="A978" s="7">
        <v>971</v>
      </c>
      <c r="B978" s="7">
        <v>0</v>
      </c>
      <c r="C978" s="7">
        <f t="shared" si="49"/>
        <v>0.75583605794746755</v>
      </c>
      <c r="D978" s="7">
        <f t="shared" si="50"/>
        <v>0.75586047434167281</v>
      </c>
      <c r="E978" s="7">
        <f t="shared" si="51"/>
        <v>-0.27989847758459119</v>
      </c>
    </row>
    <row r="979" spans="1:5" x14ac:dyDescent="0.15">
      <c r="A979" s="7">
        <v>972</v>
      </c>
      <c r="B979" s="7">
        <v>0</v>
      </c>
      <c r="C979" s="7">
        <f t="shared" si="49"/>
        <v>0.75583605794746755</v>
      </c>
      <c r="D979" s="7">
        <f t="shared" si="50"/>
        <v>0.75586047434167281</v>
      </c>
      <c r="E979" s="7">
        <f t="shared" si="51"/>
        <v>-0.27989847758459119</v>
      </c>
    </row>
    <row r="980" spans="1:5" x14ac:dyDescent="0.15">
      <c r="A980" s="7">
        <v>973</v>
      </c>
      <c r="B980" s="7">
        <v>0</v>
      </c>
      <c r="C980" s="7">
        <f t="shared" si="49"/>
        <v>0.75583605794746755</v>
      </c>
      <c r="D980" s="7">
        <f t="shared" si="50"/>
        <v>0.75586047434167281</v>
      </c>
      <c r="E980" s="7">
        <f t="shared" si="51"/>
        <v>-0.27989847758459119</v>
      </c>
    </row>
    <row r="981" spans="1:5" x14ac:dyDescent="0.15">
      <c r="A981" s="7">
        <v>974</v>
      </c>
      <c r="B981" s="7">
        <v>0</v>
      </c>
      <c r="C981" s="7">
        <f t="shared" si="49"/>
        <v>0.75583605794746755</v>
      </c>
      <c r="D981" s="7">
        <f t="shared" si="50"/>
        <v>0.75586047434167281</v>
      </c>
      <c r="E981" s="7">
        <f t="shared" si="51"/>
        <v>-0.27989847758459119</v>
      </c>
    </row>
    <row r="982" spans="1:5" x14ac:dyDescent="0.15">
      <c r="A982" s="7">
        <v>975</v>
      </c>
      <c r="B982" s="7">
        <v>0</v>
      </c>
      <c r="C982" s="7">
        <f t="shared" si="49"/>
        <v>0.75583605794746755</v>
      </c>
      <c r="D982" s="7">
        <f t="shared" si="50"/>
        <v>0.75586047434167281</v>
      </c>
      <c r="E982" s="7">
        <f t="shared" si="51"/>
        <v>-0.27989847758459119</v>
      </c>
    </row>
    <row r="983" spans="1:5" x14ac:dyDescent="0.15">
      <c r="A983" s="7">
        <v>976</v>
      </c>
      <c r="B983" s="7">
        <v>2</v>
      </c>
      <c r="C983" s="7">
        <f t="shared" si="49"/>
        <v>4.4066701399555049E-2</v>
      </c>
      <c r="D983" s="7">
        <f t="shared" si="50"/>
        <v>4.4062294729415093E-2</v>
      </c>
      <c r="E983" s="7">
        <f t="shared" si="51"/>
        <v>-3.1221508570437044</v>
      </c>
    </row>
    <row r="984" spans="1:5" x14ac:dyDescent="0.15">
      <c r="A984" s="7">
        <v>977</v>
      </c>
      <c r="B984" s="7">
        <v>0</v>
      </c>
      <c r="C984" s="7">
        <f t="shared" si="49"/>
        <v>0.75583605794746755</v>
      </c>
      <c r="D984" s="7">
        <f t="shared" si="50"/>
        <v>0.75586047434167281</v>
      </c>
      <c r="E984" s="7">
        <f t="shared" si="51"/>
        <v>-0.27989847758459119</v>
      </c>
    </row>
    <row r="985" spans="1:5" x14ac:dyDescent="0.15">
      <c r="A985" s="7">
        <v>978</v>
      </c>
      <c r="B985" s="7">
        <v>0</v>
      </c>
      <c r="C985" s="7">
        <f t="shared" si="49"/>
        <v>0.75583605794746755</v>
      </c>
      <c r="D985" s="7">
        <f t="shared" si="50"/>
        <v>0.75586047434167281</v>
      </c>
      <c r="E985" s="7">
        <f t="shared" si="51"/>
        <v>-0.27989847758459119</v>
      </c>
    </row>
    <row r="986" spans="1:5" x14ac:dyDescent="0.15">
      <c r="A986" s="7">
        <v>979</v>
      </c>
      <c r="B986" s="7">
        <v>0</v>
      </c>
      <c r="C986" s="7">
        <f t="shared" si="49"/>
        <v>0.75583605794746755</v>
      </c>
      <c r="D986" s="7">
        <f t="shared" si="50"/>
        <v>0.75586047434167281</v>
      </c>
      <c r="E986" s="7">
        <f t="shared" si="51"/>
        <v>-0.27989847758459119</v>
      </c>
    </row>
    <row r="987" spans="1:5" x14ac:dyDescent="0.15">
      <c r="A987" s="7">
        <v>980</v>
      </c>
      <c r="B987" s="7">
        <v>1</v>
      </c>
      <c r="C987" s="7">
        <f t="shared" si="49"/>
        <v>8.8686757970141181E-2</v>
      </c>
      <c r="D987" s="7">
        <f t="shared" si="50"/>
        <v>8.867788929434417E-2</v>
      </c>
      <c r="E987" s="7">
        <f t="shared" si="51"/>
        <v>-2.4227446958891354</v>
      </c>
    </row>
    <row r="988" spans="1:5" x14ac:dyDescent="0.15">
      <c r="A988" s="7">
        <v>981</v>
      </c>
      <c r="B988" s="7">
        <v>0</v>
      </c>
      <c r="C988" s="7">
        <f t="shared" si="49"/>
        <v>0.75583605794746755</v>
      </c>
      <c r="D988" s="7">
        <f t="shared" si="50"/>
        <v>0.75586047434167281</v>
      </c>
      <c r="E988" s="7">
        <f t="shared" si="51"/>
        <v>-0.27989847758459119</v>
      </c>
    </row>
    <row r="989" spans="1:5" x14ac:dyDescent="0.15">
      <c r="A989" s="7">
        <v>982</v>
      </c>
      <c r="B989" s="7">
        <v>0</v>
      </c>
      <c r="C989" s="7">
        <f t="shared" si="49"/>
        <v>0.75583605794746755</v>
      </c>
      <c r="D989" s="7">
        <f t="shared" si="50"/>
        <v>0.75586047434167281</v>
      </c>
      <c r="E989" s="7">
        <f t="shared" si="51"/>
        <v>-0.27989847758459119</v>
      </c>
    </row>
    <row r="990" spans="1:5" x14ac:dyDescent="0.15">
      <c r="A990" s="7">
        <v>983</v>
      </c>
      <c r="B990" s="7">
        <v>1</v>
      </c>
      <c r="C990" s="7">
        <f t="shared" si="49"/>
        <v>8.8686757970141181E-2</v>
      </c>
      <c r="D990" s="7">
        <f t="shared" si="50"/>
        <v>8.867788929434417E-2</v>
      </c>
      <c r="E990" s="7">
        <f t="shared" si="51"/>
        <v>-2.4227446958891354</v>
      </c>
    </row>
    <row r="991" spans="1:5" x14ac:dyDescent="0.15">
      <c r="A991" s="7">
        <v>984</v>
      </c>
      <c r="B991" s="7">
        <v>0</v>
      </c>
      <c r="C991" s="7">
        <f t="shared" si="49"/>
        <v>0.75583605794746755</v>
      </c>
      <c r="D991" s="7">
        <f t="shared" si="50"/>
        <v>0.75586047434167281</v>
      </c>
      <c r="E991" s="7">
        <f t="shared" si="51"/>
        <v>-0.27989847758459119</v>
      </c>
    </row>
    <row r="992" spans="1:5" x14ac:dyDescent="0.15">
      <c r="A992" s="7">
        <v>985</v>
      </c>
      <c r="B992" s="7">
        <v>0</v>
      </c>
      <c r="C992" s="7">
        <f t="shared" si="49"/>
        <v>0.75583605794746755</v>
      </c>
      <c r="D992" s="7">
        <f t="shared" si="50"/>
        <v>0.75586047434167281</v>
      </c>
      <c r="E992" s="7">
        <f t="shared" si="51"/>
        <v>-0.27989847758459119</v>
      </c>
    </row>
    <row r="993" spans="1:5" x14ac:dyDescent="0.15">
      <c r="A993" s="7">
        <v>986</v>
      </c>
      <c r="B993" s="7">
        <v>0</v>
      </c>
      <c r="C993" s="7">
        <f t="shared" si="49"/>
        <v>0.75583605794746755</v>
      </c>
      <c r="D993" s="7">
        <f t="shared" si="50"/>
        <v>0.75586047434167281</v>
      </c>
      <c r="E993" s="7">
        <f t="shared" si="51"/>
        <v>-0.27989847758459119</v>
      </c>
    </row>
    <row r="994" spans="1:5" x14ac:dyDescent="0.15">
      <c r="A994" s="7">
        <v>987</v>
      </c>
      <c r="B994" s="7">
        <v>5</v>
      </c>
      <c r="C994" s="7">
        <f t="shared" si="49"/>
        <v>1.366826244062944E-2</v>
      </c>
      <c r="D994" s="7">
        <f t="shared" si="50"/>
        <v>1.3666895614385376E-2</v>
      </c>
      <c r="E994" s="7">
        <f t="shared" si="51"/>
        <v>-4.2927787488141558</v>
      </c>
    </row>
    <row r="995" spans="1:5" x14ac:dyDescent="0.15">
      <c r="A995" s="7">
        <v>988</v>
      </c>
      <c r="B995" s="7">
        <v>0</v>
      </c>
      <c r="C995" s="7">
        <f t="shared" si="49"/>
        <v>0.75583605794746755</v>
      </c>
      <c r="D995" s="7">
        <f t="shared" si="50"/>
        <v>0.75586047434167281</v>
      </c>
      <c r="E995" s="7">
        <f t="shared" si="51"/>
        <v>-0.27989847758459119</v>
      </c>
    </row>
    <row r="996" spans="1:5" x14ac:dyDescent="0.15">
      <c r="A996" s="7">
        <v>989</v>
      </c>
      <c r="B996" s="7">
        <v>0</v>
      </c>
      <c r="C996" s="7">
        <f t="shared" si="49"/>
        <v>0.75583605794746755</v>
      </c>
      <c r="D996" s="7">
        <f t="shared" si="50"/>
        <v>0.75586047434167281</v>
      </c>
      <c r="E996" s="7">
        <f t="shared" si="51"/>
        <v>-0.27989847758459119</v>
      </c>
    </row>
    <row r="997" spans="1:5" x14ac:dyDescent="0.15">
      <c r="A997" s="7">
        <v>990</v>
      </c>
      <c r="B997" s="7">
        <v>2</v>
      </c>
      <c r="C997" s="7">
        <f t="shared" si="49"/>
        <v>4.4066701399555049E-2</v>
      </c>
      <c r="D997" s="7">
        <f t="shared" si="50"/>
        <v>4.4062294729415093E-2</v>
      </c>
      <c r="E997" s="7">
        <f t="shared" si="51"/>
        <v>-3.1221508570437044</v>
      </c>
    </row>
    <row r="998" spans="1:5" x14ac:dyDescent="0.15">
      <c r="A998" s="7">
        <v>991</v>
      </c>
      <c r="B998" s="7">
        <v>0</v>
      </c>
      <c r="C998" s="7">
        <f t="shared" si="49"/>
        <v>0.75583605794746755</v>
      </c>
      <c r="D998" s="7">
        <f t="shared" si="50"/>
        <v>0.75586047434167281</v>
      </c>
      <c r="E998" s="7">
        <f t="shared" si="51"/>
        <v>-0.27989847758459119</v>
      </c>
    </row>
    <row r="999" spans="1:5" x14ac:dyDescent="0.15">
      <c r="A999" s="7">
        <v>992</v>
      </c>
      <c r="B999" s="7">
        <v>1</v>
      </c>
      <c r="C999" s="7">
        <f t="shared" si="49"/>
        <v>8.8686757970141181E-2</v>
      </c>
      <c r="D999" s="7">
        <f t="shared" si="50"/>
        <v>8.867788929434417E-2</v>
      </c>
      <c r="E999" s="7">
        <f t="shared" si="51"/>
        <v>-2.4227446958891354</v>
      </c>
    </row>
    <row r="1000" spans="1:5" x14ac:dyDescent="0.15">
      <c r="A1000" s="7">
        <v>993</v>
      </c>
      <c r="B1000" s="7">
        <v>0</v>
      </c>
      <c r="C1000" s="7">
        <f t="shared" si="49"/>
        <v>0.75583605794746755</v>
      </c>
      <c r="D1000" s="7">
        <f t="shared" si="50"/>
        <v>0.75586047434167281</v>
      </c>
      <c r="E1000" s="7">
        <f t="shared" si="51"/>
        <v>-0.27989847758459119</v>
      </c>
    </row>
    <row r="1001" spans="1:5" x14ac:dyDescent="0.15">
      <c r="A1001" s="7">
        <v>994</v>
      </c>
      <c r="B1001" s="7">
        <v>0</v>
      </c>
      <c r="C1001" s="7">
        <f t="shared" si="49"/>
        <v>0.75583605794746755</v>
      </c>
      <c r="D1001" s="7">
        <f t="shared" si="50"/>
        <v>0.75586047434167281</v>
      </c>
      <c r="E1001" s="7">
        <f t="shared" si="51"/>
        <v>-0.27989847758459119</v>
      </c>
    </row>
    <row r="1002" spans="1:5" x14ac:dyDescent="0.15">
      <c r="A1002" s="7">
        <v>995</v>
      </c>
      <c r="B1002" s="7">
        <v>0</v>
      </c>
      <c r="C1002" s="7">
        <f t="shared" si="49"/>
        <v>0.75583605794746755</v>
      </c>
      <c r="D1002" s="7">
        <f t="shared" si="50"/>
        <v>0.75586047434167281</v>
      </c>
      <c r="E1002" s="7">
        <f t="shared" si="51"/>
        <v>-0.27989847758459119</v>
      </c>
    </row>
    <row r="1003" spans="1:5" x14ac:dyDescent="0.15">
      <c r="A1003" s="7">
        <v>996</v>
      </c>
      <c r="B1003" s="7">
        <v>34</v>
      </c>
      <c r="C1003" s="7">
        <f t="shared" si="49"/>
        <v>5.7252462528276814E-5</v>
      </c>
      <c r="D1003" s="7">
        <f t="shared" si="50"/>
        <v>5.7246737282023987E-5</v>
      </c>
      <c r="E1003" s="7">
        <f t="shared" si="51"/>
        <v>-9.7681399078609612</v>
      </c>
    </row>
    <row r="1004" spans="1:5" x14ac:dyDescent="0.15">
      <c r="A1004" s="7">
        <v>997</v>
      </c>
      <c r="B1004" s="7">
        <v>0</v>
      </c>
      <c r="C1004" s="7">
        <f t="shared" si="49"/>
        <v>0.75583605794746755</v>
      </c>
      <c r="D1004" s="7">
        <f t="shared" si="50"/>
        <v>0.75586047434167281</v>
      </c>
      <c r="E1004" s="7">
        <f t="shared" si="51"/>
        <v>-0.27989847758459119</v>
      </c>
    </row>
    <row r="1005" spans="1:5" x14ac:dyDescent="0.15">
      <c r="A1005" s="7">
        <v>998</v>
      </c>
      <c r="B1005" s="7">
        <v>0</v>
      </c>
      <c r="C1005" s="7">
        <f t="shared" si="49"/>
        <v>0.75583605794746755</v>
      </c>
      <c r="D1005" s="7">
        <f t="shared" si="50"/>
        <v>0.75586047434167281</v>
      </c>
      <c r="E1005" s="7">
        <f t="shared" si="51"/>
        <v>-0.27989847758459119</v>
      </c>
    </row>
    <row r="1006" spans="1:5" x14ac:dyDescent="0.15">
      <c r="A1006" s="7">
        <v>999</v>
      </c>
      <c r="B1006" s="7">
        <v>0</v>
      </c>
      <c r="C1006" s="7">
        <f t="shared" si="49"/>
        <v>0.75583605794746755</v>
      </c>
      <c r="D1006" s="7">
        <f t="shared" si="50"/>
        <v>0.75586047434167281</v>
      </c>
      <c r="E1006" s="7">
        <f t="shared" si="51"/>
        <v>-0.27989847758459119</v>
      </c>
    </row>
    <row r="1007" spans="1:5" x14ac:dyDescent="0.15">
      <c r="A1007" s="7">
        <v>1000</v>
      </c>
      <c r="B1007" s="7">
        <v>1</v>
      </c>
      <c r="C1007" s="7">
        <f t="shared" si="49"/>
        <v>8.8686757970141181E-2</v>
      </c>
      <c r="D1007" s="7">
        <f t="shared" si="50"/>
        <v>8.867788929434417E-2</v>
      </c>
      <c r="E1007" s="7">
        <f t="shared" si="51"/>
        <v>-2.4227446958891354</v>
      </c>
    </row>
    <row r="1008" spans="1:5" x14ac:dyDescent="0.15">
      <c r="A1008" s="7">
        <v>1001</v>
      </c>
      <c r="B1008" s="7">
        <v>0</v>
      </c>
      <c r="C1008" s="7">
        <f t="shared" si="49"/>
        <v>0.75583605794746755</v>
      </c>
      <c r="D1008" s="7">
        <f t="shared" si="50"/>
        <v>0.75586047434167281</v>
      </c>
      <c r="E1008" s="7">
        <f t="shared" si="51"/>
        <v>-0.27989847758459119</v>
      </c>
    </row>
    <row r="1009" spans="1:5" x14ac:dyDescent="0.15">
      <c r="A1009" s="7">
        <v>1002</v>
      </c>
      <c r="B1009" s="7">
        <v>0</v>
      </c>
      <c r="C1009" s="7">
        <f t="shared" si="49"/>
        <v>0.75583605794746755</v>
      </c>
      <c r="D1009" s="7">
        <f t="shared" si="50"/>
        <v>0.75586047434167281</v>
      </c>
      <c r="E1009" s="7">
        <f t="shared" si="51"/>
        <v>-0.27989847758459119</v>
      </c>
    </row>
    <row r="1010" spans="1:5" x14ac:dyDescent="0.15">
      <c r="A1010" s="7">
        <v>1003</v>
      </c>
      <c r="B1010" s="7">
        <v>0</v>
      </c>
      <c r="C1010" s="7">
        <f t="shared" si="49"/>
        <v>0.75583605794746755</v>
      </c>
      <c r="D1010" s="7">
        <f t="shared" si="50"/>
        <v>0.75586047434167281</v>
      </c>
      <c r="E1010" s="7">
        <f t="shared" si="51"/>
        <v>-0.27989847758459119</v>
      </c>
    </row>
    <row r="1011" spans="1:5" x14ac:dyDescent="0.15">
      <c r="A1011" s="7">
        <v>1004</v>
      </c>
      <c r="B1011" s="7">
        <v>0</v>
      </c>
      <c r="C1011" s="7">
        <f t="shared" si="49"/>
        <v>0.75583605794746755</v>
      </c>
      <c r="D1011" s="7">
        <f t="shared" si="50"/>
        <v>0.75586047434167281</v>
      </c>
      <c r="E1011" s="7">
        <f t="shared" si="51"/>
        <v>-0.27989847758459119</v>
      </c>
    </row>
    <row r="1012" spans="1:5" x14ac:dyDescent="0.15">
      <c r="A1012" s="7">
        <v>1005</v>
      </c>
      <c r="B1012" s="7">
        <v>4</v>
      </c>
      <c r="C1012" s="7">
        <f t="shared" si="49"/>
        <v>1.8863004210024691E-2</v>
      </c>
      <c r="D1012" s="7">
        <f t="shared" si="50"/>
        <v>1.8861117909603688E-2</v>
      </c>
      <c r="E1012" s="7">
        <f t="shared" si="51"/>
        <v>-3.9706527294293466</v>
      </c>
    </row>
    <row r="1013" spans="1:5" x14ac:dyDescent="0.15">
      <c r="A1013" s="7">
        <v>1006</v>
      </c>
      <c r="B1013" s="7">
        <v>2</v>
      </c>
      <c r="C1013" s="7">
        <f t="shared" si="49"/>
        <v>4.4066701399555049E-2</v>
      </c>
      <c r="D1013" s="7">
        <f t="shared" si="50"/>
        <v>4.4062294729415093E-2</v>
      </c>
      <c r="E1013" s="7">
        <f t="shared" si="51"/>
        <v>-3.1221508570437044</v>
      </c>
    </row>
    <row r="1014" spans="1:5" x14ac:dyDescent="0.15">
      <c r="A1014" s="7">
        <v>1007</v>
      </c>
      <c r="B1014" s="7">
        <v>0</v>
      </c>
      <c r="C1014" s="7">
        <f t="shared" si="49"/>
        <v>0.75583605794746755</v>
      </c>
      <c r="D1014" s="7">
        <f t="shared" si="50"/>
        <v>0.75586047434167281</v>
      </c>
      <c r="E1014" s="7">
        <f t="shared" si="51"/>
        <v>-0.27989847758459119</v>
      </c>
    </row>
    <row r="1015" spans="1:5" x14ac:dyDescent="0.15">
      <c r="A1015" s="7">
        <v>1008</v>
      </c>
      <c r="B1015" s="7">
        <v>2</v>
      </c>
      <c r="C1015" s="7">
        <f t="shared" si="49"/>
        <v>4.4066701399555049E-2</v>
      </c>
      <c r="D1015" s="7">
        <f t="shared" si="50"/>
        <v>4.4062294729415093E-2</v>
      </c>
      <c r="E1015" s="7">
        <f t="shared" si="51"/>
        <v>-3.1221508570437044</v>
      </c>
    </row>
    <row r="1016" spans="1:5" x14ac:dyDescent="0.15">
      <c r="A1016" s="7">
        <v>1009</v>
      </c>
      <c r="B1016" s="7">
        <v>0</v>
      </c>
      <c r="C1016" s="7">
        <f t="shared" si="49"/>
        <v>0.75583605794746755</v>
      </c>
      <c r="D1016" s="7">
        <f t="shared" si="50"/>
        <v>0.75586047434167281</v>
      </c>
      <c r="E1016" s="7">
        <f t="shared" si="51"/>
        <v>-0.27989847758459119</v>
      </c>
    </row>
    <row r="1017" spans="1:5" x14ac:dyDescent="0.15">
      <c r="A1017" s="7">
        <v>1010</v>
      </c>
      <c r="B1017" s="7">
        <v>0</v>
      </c>
      <c r="C1017" s="7">
        <f t="shared" si="49"/>
        <v>0.75583605794746755</v>
      </c>
      <c r="D1017" s="7">
        <f t="shared" si="50"/>
        <v>0.75586047434167281</v>
      </c>
      <c r="E1017" s="7">
        <f t="shared" si="51"/>
        <v>-0.27989847758459119</v>
      </c>
    </row>
    <row r="1018" spans="1:5" x14ac:dyDescent="0.15">
      <c r="A1018" s="7">
        <v>1011</v>
      </c>
      <c r="B1018" s="7">
        <v>0</v>
      </c>
      <c r="C1018" s="7">
        <f t="shared" si="49"/>
        <v>0.75583605794746755</v>
      </c>
      <c r="D1018" s="7">
        <f t="shared" si="50"/>
        <v>0.75586047434167281</v>
      </c>
      <c r="E1018" s="7">
        <f t="shared" si="51"/>
        <v>-0.27989847758459119</v>
      </c>
    </row>
    <row r="1019" spans="1:5" x14ac:dyDescent="0.15">
      <c r="A1019" s="7">
        <v>1012</v>
      </c>
      <c r="B1019" s="7">
        <v>0</v>
      </c>
      <c r="C1019" s="7">
        <f t="shared" si="49"/>
        <v>0.75583605794746755</v>
      </c>
      <c r="D1019" s="7">
        <f t="shared" si="50"/>
        <v>0.75586047434167281</v>
      </c>
      <c r="E1019" s="7">
        <f t="shared" si="51"/>
        <v>-0.27989847758459119</v>
      </c>
    </row>
    <row r="1020" spans="1:5" x14ac:dyDescent="0.15">
      <c r="A1020" s="7">
        <v>1013</v>
      </c>
      <c r="B1020" s="7">
        <v>0</v>
      </c>
      <c r="C1020" s="7">
        <f t="shared" si="49"/>
        <v>0.75583605794746755</v>
      </c>
      <c r="D1020" s="7">
        <f t="shared" si="50"/>
        <v>0.75586047434167281</v>
      </c>
      <c r="E1020" s="7">
        <f t="shared" si="51"/>
        <v>-0.27989847758459119</v>
      </c>
    </row>
    <row r="1021" spans="1:5" x14ac:dyDescent="0.15">
      <c r="A1021" s="7">
        <v>1014</v>
      </c>
      <c r="B1021" s="7">
        <v>0</v>
      </c>
      <c r="C1021" s="7">
        <f t="shared" si="49"/>
        <v>0.75583605794746755</v>
      </c>
      <c r="D1021" s="7">
        <f t="shared" si="50"/>
        <v>0.75586047434167281</v>
      </c>
      <c r="E1021" s="7">
        <f t="shared" si="51"/>
        <v>-0.27989847758459119</v>
      </c>
    </row>
    <row r="1022" spans="1:5" x14ac:dyDescent="0.15">
      <c r="A1022" s="7">
        <v>1015</v>
      </c>
      <c r="B1022" s="7">
        <v>0</v>
      </c>
      <c r="C1022" s="7">
        <f t="shared" si="49"/>
        <v>0.75583605794746755</v>
      </c>
      <c r="D1022" s="7">
        <f t="shared" si="50"/>
        <v>0.75586047434167281</v>
      </c>
      <c r="E1022" s="7">
        <f t="shared" si="51"/>
        <v>-0.27989847758459119</v>
      </c>
    </row>
    <row r="1023" spans="1:5" x14ac:dyDescent="0.15">
      <c r="A1023" s="7">
        <v>1016</v>
      </c>
      <c r="B1023" s="7">
        <v>0</v>
      </c>
      <c r="C1023" s="7">
        <f t="shared" si="49"/>
        <v>0.75583605794746755</v>
      </c>
      <c r="D1023" s="7">
        <f t="shared" si="50"/>
        <v>0.75586047434167281</v>
      </c>
      <c r="E1023" s="7">
        <f t="shared" si="51"/>
        <v>-0.27989847758459119</v>
      </c>
    </row>
    <row r="1024" spans="1:5" x14ac:dyDescent="0.15">
      <c r="A1024" s="7">
        <v>1017</v>
      </c>
      <c r="B1024" s="7">
        <v>0</v>
      </c>
      <c r="C1024" s="7">
        <f t="shared" si="49"/>
        <v>0.75583605794746755</v>
      </c>
      <c r="D1024" s="7">
        <f t="shared" si="50"/>
        <v>0.75586047434167281</v>
      </c>
      <c r="E1024" s="7">
        <f t="shared" si="51"/>
        <v>-0.27989847758459119</v>
      </c>
    </row>
    <row r="1025" spans="1:5" x14ac:dyDescent="0.15">
      <c r="A1025" s="7">
        <v>1018</v>
      </c>
      <c r="B1025" s="7">
        <v>0</v>
      </c>
      <c r="C1025" s="7">
        <f t="shared" si="49"/>
        <v>0.75583605794746755</v>
      </c>
      <c r="D1025" s="7">
        <f t="shared" si="50"/>
        <v>0.75586047434167281</v>
      </c>
      <c r="E1025" s="7">
        <f t="shared" si="51"/>
        <v>-0.27989847758459119</v>
      </c>
    </row>
    <row r="1026" spans="1:5" x14ac:dyDescent="0.15">
      <c r="A1026" s="7">
        <v>1019</v>
      </c>
      <c r="B1026" s="7">
        <v>0</v>
      </c>
      <c r="C1026" s="7">
        <f t="shared" si="49"/>
        <v>0.75583605794746755</v>
      </c>
      <c r="D1026" s="7">
        <f t="shared" si="50"/>
        <v>0.75586047434167281</v>
      </c>
      <c r="E1026" s="7">
        <f t="shared" si="51"/>
        <v>-0.27989847758459119</v>
      </c>
    </row>
    <row r="1027" spans="1:5" x14ac:dyDescent="0.15">
      <c r="A1027" s="7">
        <v>1020</v>
      </c>
      <c r="B1027" s="7">
        <v>0</v>
      </c>
      <c r="C1027" s="7">
        <f t="shared" si="49"/>
        <v>0.75583605794746755</v>
      </c>
      <c r="D1027" s="7">
        <f t="shared" si="50"/>
        <v>0.75586047434167281</v>
      </c>
      <c r="E1027" s="7">
        <f t="shared" si="51"/>
        <v>-0.27989847758459119</v>
      </c>
    </row>
    <row r="1028" spans="1:5" x14ac:dyDescent="0.15">
      <c r="A1028" s="7">
        <v>1021</v>
      </c>
      <c r="B1028" s="7">
        <v>1</v>
      </c>
      <c r="C1028" s="7">
        <f t="shared" si="49"/>
        <v>8.8686757970141181E-2</v>
      </c>
      <c r="D1028" s="7">
        <f t="shared" si="50"/>
        <v>8.867788929434417E-2</v>
      </c>
      <c r="E1028" s="7">
        <f t="shared" si="51"/>
        <v>-2.4227446958891354</v>
      </c>
    </row>
    <row r="1029" spans="1:5" x14ac:dyDescent="0.15">
      <c r="A1029" s="7">
        <v>1022</v>
      </c>
      <c r="B1029" s="7">
        <v>1</v>
      </c>
      <c r="C1029" s="7">
        <f t="shared" si="49"/>
        <v>8.8686757970141181E-2</v>
      </c>
      <c r="D1029" s="7">
        <f t="shared" si="50"/>
        <v>8.867788929434417E-2</v>
      </c>
      <c r="E1029" s="7">
        <f t="shared" si="51"/>
        <v>-2.4227446958891354</v>
      </c>
    </row>
    <row r="1030" spans="1:5" x14ac:dyDescent="0.15">
      <c r="A1030" s="7">
        <v>1023</v>
      </c>
      <c r="B1030" s="7">
        <v>20</v>
      </c>
      <c r="C1030" s="7">
        <f t="shared" si="49"/>
        <v>5.739358567558205E-4</v>
      </c>
      <c r="D1030" s="7">
        <f t="shared" si="50"/>
        <v>5.7387846317014492E-4</v>
      </c>
      <c r="E1030" s="7">
        <f t="shared" si="51"/>
        <v>-7.4630929207014525</v>
      </c>
    </row>
    <row r="1031" spans="1:5" x14ac:dyDescent="0.15">
      <c r="A1031" s="7">
        <v>1024</v>
      </c>
      <c r="B1031" s="7">
        <v>1</v>
      </c>
      <c r="C1031" s="7">
        <f t="shared" si="49"/>
        <v>8.8686757970141181E-2</v>
      </c>
      <c r="D1031" s="7">
        <f t="shared" si="50"/>
        <v>8.867788929434417E-2</v>
      </c>
      <c r="E1031" s="7">
        <f t="shared" si="51"/>
        <v>-2.4227446958891354</v>
      </c>
    </row>
    <row r="1032" spans="1:5" x14ac:dyDescent="0.15">
      <c r="A1032" s="7">
        <v>1025</v>
      </c>
      <c r="B1032" s="7">
        <v>0</v>
      </c>
      <c r="C1032" s="7">
        <f t="shared" si="49"/>
        <v>0.75583605794746755</v>
      </c>
      <c r="D1032" s="7">
        <f t="shared" si="50"/>
        <v>0.75586047434167281</v>
      </c>
      <c r="E1032" s="7">
        <f t="shared" si="51"/>
        <v>-0.27989847758459119</v>
      </c>
    </row>
    <row r="1033" spans="1:5" x14ac:dyDescent="0.15">
      <c r="A1033" s="7">
        <v>1026</v>
      </c>
      <c r="B1033" s="7">
        <v>2</v>
      </c>
      <c r="C1033" s="7">
        <f t="shared" ref="C1033:C1096" si="52">(_xlfn.GAMMA($B$1+B1033)/(_xlfn.GAMMA($B$1)*FACT(B1033))) * ($B$2/($B$2+$B$5))^$B$1 * (1/($B$2 +$B$5))^B1033</f>
        <v>4.4066701399555049E-2</v>
      </c>
      <c r="D1033" s="7">
        <f t="shared" ref="D1033:D1096" si="53" xml:space="preserve"> IF(B1033 = 0, $B$3 + (1-$B$3) * C1033, (1-$B$3) *C1033)</f>
        <v>4.4062294729415093E-2</v>
      </c>
      <c r="E1033" s="7">
        <f t="shared" ref="E1033:E1096" si="54">LN(D1033)</f>
        <v>-3.1221508570437044</v>
      </c>
    </row>
    <row r="1034" spans="1:5" x14ac:dyDescent="0.15">
      <c r="A1034" s="7">
        <v>1027</v>
      </c>
      <c r="B1034" s="7">
        <v>0</v>
      </c>
      <c r="C1034" s="7">
        <f t="shared" si="52"/>
        <v>0.75583605794746755</v>
      </c>
      <c r="D1034" s="7">
        <f t="shared" si="53"/>
        <v>0.75586047434167281</v>
      </c>
      <c r="E1034" s="7">
        <f t="shared" si="54"/>
        <v>-0.27989847758459119</v>
      </c>
    </row>
    <row r="1035" spans="1:5" x14ac:dyDescent="0.15">
      <c r="A1035" s="7">
        <v>1028</v>
      </c>
      <c r="B1035" s="7">
        <v>0</v>
      </c>
      <c r="C1035" s="7">
        <f t="shared" si="52"/>
        <v>0.75583605794746755</v>
      </c>
      <c r="D1035" s="7">
        <f t="shared" si="53"/>
        <v>0.75586047434167281</v>
      </c>
      <c r="E1035" s="7">
        <f t="shared" si="54"/>
        <v>-0.27989847758459119</v>
      </c>
    </row>
    <row r="1036" spans="1:5" x14ac:dyDescent="0.15">
      <c r="A1036" s="7">
        <v>1029</v>
      </c>
      <c r="B1036" s="7">
        <v>1</v>
      </c>
      <c r="C1036" s="7">
        <f t="shared" si="52"/>
        <v>8.8686757970141181E-2</v>
      </c>
      <c r="D1036" s="7">
        <f t="shared" si="53"/>
        <v>8.867788929434417E-2</v>
      </c>
      <c r="E1036" s="7">
        <f t="shared" si="54"/>
        <v>-2.4227446958891354</v>
      </c>
    </row>
    <row r="1037" spans="1:5" x14ac:dyDescent="0.15">
      <c r="A1037" s="7">
        <v>1030</v>
      </c>
      <c r="B1037" s="7">
        <v>1</v>
      </c>
      <c r="C1037" s="7">
        <f t="shared" si="52"/>
        <v>8.8686757970141181E-2</v>
      </c>
      <c r="D1037" s="7">
        <f t="shared" si="53"/>
        <v>8.867788929434417E-2</v>
      </c>
      <c r="E1037" s="7">
        <f t="shared" si="54"/>
        <v>-2.4227446958891354</v>
      </c>
    </row>
    <row r="1038" spans="1:5" x14ac:dyDescent="0.15">
      <c r="A1038" s="7">
        <v>1031</v>
      </c>
      <c r="B1038" s="7">
        <v>1</v>
      </c>
      <c r="C1038" s="7">
        <f t="shared" si="52"/>
        <v>8.8686757970141181E-2</v>
      </c>
      <c r="D1038" s="7">
        <f t="shared" si="53"/>
        <v>8.867788929434417E-2</v>
      </c>
      <c r="E1038" s="7">
        <f t="shared" si="54"/>
        <v>-2.4227446958891354</v>
      </c>
    </row>
    <row r="1039" spans="1:5" x14ac:dyDescent="0.15">
      <c r="A1039" s="7">
        <v>1032</v>
      </c>
      <c r="B1039" s="7">
        <v>1</v>
      </c>
      <c r="C1039" s="7">
        <f t="shared" si="52"/>
        <v>8.8686757970141181E-2</v>
      </c>
      <c r="D1039" s="7">
        <f t="shared" si="53"/>
        <v>8.867788929434417E-2</v>
      </c>
      <c r="E1039" s="7">
        <f t="shared" si="54"/>
        <v>-2.4227446958891354</v>
      </c>
    </row>
    <row r="1040" spans="1:5" x14ac:dyDescent="0.15">
      <c r="A1040" s="7">
        <v>1033</v>
      </c>
      <c r="B1040" s="7">
        <v>3</v>
      </c>
      <c r="C1040" s="7">
        <f t="shared" si="52"/>
        <v>2.7470963680778882E-2</v>
      </c>
      <c r="D1040" s="7">
        <f t="shared" si="53"/>
        <v>2.7468216584410805E-2</v>
      </c>
      <c r="E1040" s="7">
        <f t="shared" si="54"/>
        <v>-3.5947257032827968</v>
      </c>
    </row>
    <row r="1041" spans="1:5" x14ac:dyDescent="0.15">
      <c r="A1041" s="7">
        <v>1034</v>
      </c>
      <c r="B1041" s="7">
        <v>4</v>
      </c>
      <c r="C1041" s="7">
        <f t="shared" si="52"/>
        <v>1.8863004210024691E-2</v>
      </c>
      <c r="D1041" s="7">
        <f t="shared" si="53"/>
        <v>1.8861117909603688E-2</v>
      </c>
      <c r="E1041" s="7">
        <f t="shared" si="54"/>
        <v>-3.9706527294293466</v>
      </c>
    </row>
    <row r="1042" spans="1:5" x14ac:dyDescent="0.15">
      <c r="A1042" s="7">
        <v>1035</v>
      </c>
      <c r="B1042" s="7">
        <v>0</v>
      </c>
      <c r="C1042" s="7">
        <f t="shared" si="52"/>
        <v>0.75583605794746755</v>
      </c>
      <c r="D1042" s="7">
        <f t="shared" si="53"/>
        <v>0.75586047434167281</v>
      </c>
      <c r="E1042" s="7">
        <f t="shared" si="54"/>
        <v>-0.27989847758459119</v>
      </c>
    </row>
    <row r="1043" spans="1:5" x14ac:dyDescent="0.15">
      <c r="A1043" s="7">
        <v>1036</v>
      </c>
      <c r="B1043" s="7">
        <v>0</v>
      </c>
      <c r="C1043" s="7">
        <f t="shared" si="52"/>
        <v>0.75583605794746755</v>
      </c>
      <c r="D1043" s="7">
        <f t="shared" si="53"/>
        <v>0.75586047434167281</v>
      </c>
      <c r="E1043" s="7">
        <f t="shared" si="54"/>
        <v>-0.27989847758459119</v>
      </c>
    </row>
    <row r="1044" spans="1:5" x14ac:dyDescent="0.15">
      <c r="A1044" s="7">
        <v>1037</v>
      </c>
      <c r="B1044" s="7">
        <v>0</v>
      </c>
      <c r="C1044" s="7">
        <f t="shared" si="52"/>
        <v>0.75583605794746755</v>
      </c>
      <c r="D1044" s="7">
        <f t="shared" si="53"/>
        <v>0.75586047434167281</v>
      </c>
      <c r="E1044" s="7">
        <f t="shared" si="54"/>
        <v>-0.27989847758459119</v>
      </c>
    </row>
    <row r="1045" spans="1:5" x14ac:dyDescent="0.15">
      <c r="A1045" s="7">
        <v>1038</v>
      </c>
      <c r="B1045" s="7">
        <v>0</v>
      </c>
      <c r="C1045" s="7">
        <f t="shared" si="52"/>
        <v>0.75583605794746755</v>
      </c>
      <c r="D1045" s="7">
        <f t="shared" si="53"/>
        <v>0.75586047434167281</v>
      </c>
      <c r="E1045" s="7">
        <f t="shared" si="54"/>
        <v>-0.27989847758459119</v>
      </c>
    </row>
    <row r="1046" spans="1:5" x14ac:dyDescent="0.15">
      <c r="A1046" s="7">
        <v>1039</v>
      </c>
      <c r="B1046" s="7">
        <v>0</v>
      </c>
      <c r="C1046" s="7">
        <f t="shared" si="52"/>
        <v>0.75583605794746755</v>
      </c>
      <c r="D1046" s="7">
        <f t="shared" si="53"/>
        <v>0.75586047434167281</v>
      </c>
      <c r="E1046" s="7">
        <f t="shared" si="54"/>
        <v>-0.27989847758459119</v>
      </c>
    </row>
    <row r="1047" spans="1:5" x14ac:dyDescent="0.15">
      <c r="A1047" s="7">
        <v>1040</v>
      </c>
      <c r="B1047" s="7">
        <v>0</v>
      </c>
      <c r="C1047" s="7">
        <f t="shared" si="52"/>
        <v>0.75583605794746755</v>
      </c>
      <c r="D1047" s="7">
        <f t="shared" si="53"/>
        <v>0.75586047434167281</v>
      </c>
      <c r="E1047" s="7">
        <f t="shared" si="54"/>
        <v>-0.27989847758459119</v>
      </c>
    </row>
    <row r="1048" spans="1:5" x14ac:dyDescent="0.15">
      <c r="A1048" s="7">
        <v>1041</v>
      </c>
      <c r="B1048" s="7">
        <v>0</v>
      </c>
      <c r="C1048" s="7">
        <f t="shared" si="52"/>
        <v>0.75583605794746755</v>
      </c>
      <c r="D1048" s="7">
        <f t="shared" si="53"/>
        <v>0.75586047434167281</v>
      </c>
      <c r="E1048" s="7">
        <f t="shared" si="54"/>
        <v>-0.27989847758459119</v>
      </c>
    </row>
    <row r="1049" spans="1:5" x14ac:dyDescent="0.15">
      <c r="A1049" s="7">
        <v>1042</v>
      </c>
      <c r="B1049" s="7">
        <v>0</v>
      </c>
      <c r="C1049" s="7">
        <f t="shared" si="52"/>
        <v>0.75583605794746755</v>
      </c>
      <c r="D1049" s="7">
        <f t="shared" si="53"/>
        <v>0.75586047434167281</v>
      </c>
      <c r="E1049" s="7">
        <f t="shared" si="54"/>
        <v>-0.27989847758459119</v>
      </c>
    </row>
    <row r="1050" spans="1:5" x14ac:dyDescent="0.15">
      <c r="A1050" s="7">
        <v>1043</v>
      </c>
      <c r="B1050" s="7">
        <v>0</v>
      </c>
      <c r="C1050" s="7">
        <f t="shared" si="52"/>
        <v>0.75583605794746755</v>
      </c>
      <c r="D1050" s="7">
        <f t="shared" si="53"/>
        <v>0.75586047434167281</v>
      </c>
      <c r="E1050" s="7">
        <f t="shared" si="54"/>
        <v>-0.27989847758459119</v>
      </c>
    </row>
    <row r="1051" spans="1:5" x14ac:dyDescent="0.15">
      <c r="A1051" s="7">
        <v>1044</v>
      </c>
      <c r="B1051" s="7">
        <v>5</v>
      </c>
      <c r="C1051" s="7">
        <f t="shared" si="52"/>
        <v>1.366826244062944E-2</v>
      </c>
      <c r="D1051" s="7">
        <f t="shared" si="53"/>
        <v>1.3666895614385376E-2</v>
      </c>
      <c r="E1051" s="7">
        <f t="shared" si="54"/>
        <v>-4.2927787488141558</v>
      </c>
    </row>
    <row r="1052" spans="1:5" x14ac:dyDescent="0.15">
      <c r="A1052" s="7">
        <v>1045</v>
      </c>
      <c r="B1052" s="7">
        <v>0</v>
      </c>
      <c r="C1052" s="7">
        <f t="shared" si="52"/>
        <v>0.75583605794746755</v>
      </c>
      <c r="D1052" s="7">
        <f t="shared" si="53"/>
        <v>0.75586047434167281</v>
      </c>
      <c r="E1052" s="7">
        <f t="shared" si="54"/>
        <v>-0.27989847758459119</v>
      </c>
    </row>
    <row r="1053" spans="1:5" x14ac:dyDescent="0.15">
      <c r="A1053" s="7">
        <v>1046</v>
      </c>
      <c r="B1053" s="7">
        <v>0</v>
      </c>
      <c r="C1053" s="7">
        <f t="shared" si="52"/>
        <v>0.75583605794746755</v>
      </c>
      <c r="D1053" s="7">
        <f t="shared" si="53"/>
        <v>0.75586047434167281</v>
      </c>
      <c r="E1053" s="7">
        <f t="shared" si="54"/>
        <v>-0.27989847758459119</v>
      </c>
    </row>
    <row r="1054" spans="1:5" x14ac:dyDescent="0.15">
      <c r="A1054" s="7">
        <v>1047</v>
      </c>
      <c r="B1054" s="7">
        <v>0</v>
      </c>
      <c r="C1054" s="7">
        <f t="shared" si="52"/>
        <v>0.75583605794746755</v>
      </c>
      <c r="D1054" s="7">
        <f t="shared" si="53"/>
        <v>0.75586047434167281</v>
      </c>
      <c r="E1054" s="7">
        <f t="shared" si="54"/>
        <v>-0.27989847758459119</v>
      </c>
    </row>
    <row r="1055" spans="1:5" x14ac:dyDescent="0.15">
      <c r="A1055" s="7">
        <v>1048</v>
      </c>
      <c r="B1055" s="7">
        <v>0</v>
      </c>
      <c r="C1055" s="7">
        <f t="shared" si="52"/>
        <v>0.75583605794746755</v>
      </c>
      <c r="D1055" s="7">
        <f t="shared" si="53"/>
        <v>0.75586047434167281</v>
      </c>
      <c r="E1055" s="7">
        <f t="shared" si="54"/>
        <v>-0.27989847758459119</v>
      </c>
    </row>
    <row r="1056" spans="1:5" x14ac:dyDescent="0.15">
      <c r="A1056" s="7">
        <v>1049</v>
      </c>
      <c r="B1056" s="7">
        <v>0</v>
      </c>
      <c r="C1056" s="7">
        <f t="shared" si="52"/>
        <v>0.75583605794746755</v>
      </c>
      <c r="D1056" s="7">
        <f t="shared" si="53"/>
        <v>0.75586047434167281</v>
      </c>
      <c r="E1056" s="7">
        <f t="shared" si="54"/>
        <v>-0.27989847758459119</v>
      </c>
    </row>
    <row r="1057" spans="1:5" x14ac:dyDescent="0.15">
      <c r="A1057" s="7">
        <v>1050</v>
      </c>
      <c r="B1057" s="7">
        <v>0</v>
      </c>
      <c r="C1057" s="7">
        <f t="shared" si="52"/>
        <v>0.75583605794746755</v>
      </c>
      <c r="D1057" s="7">
        <f t="shared" si="53"/>
        <v>0.75586047434167281</v>
      </c>
      <c r="E1057" s="7">
        <f t="shared" si="54"/>
        <v>-0.27989847758459119</v>
      </c>
    </row>
    <row r="1058" spans="1:5" x14ac:dyDescent="0.15">
      <c r="A1058" s="7">
        <v>1051</v>
      </c>
      <c r="B1058" s="7">
        <v>0</v>
      </c>
      <c r="C1058" s="7">
        <f t="shared" si="52"/>
        <v>0.75583605794746755</v>
      </c>
      <c r="D1058" s="7">
        <f t="shared" si="53"/>
        <v>0.75586047434167281</v>
      </c>
      <c r="E1058" s="7">
        <f t="shared" si="54"/>
        <v>-0.27989847758459119</v>
      </c>
    </row>
    <row r="1059" spans="1:5" x14ac:dyDescent="0.15">
      <c r="A1059" s="7">
        <v>1052</v>
      </c>
      <c r="B1059" s="7">
        <v>0</v>
      </c>
      <c r="C1059" s="7">
        <f t="shared" si="52"/>
        <v>0.75583605794746755</v>
      </c>
      <c r="D1059" s="7">
        <f t="shared" si="53"/>
        <v>0.75586047434167281</v>
      </c>
      <c r="E1059" s="7">
        <f t="shared" si="54"/>
        <v>-0.27989847758459119</v>
      </c>
    </row>
    <row r="1060" spans="1:5" x14ac:dyDescent="0.15">
      <c r="A1060" s="7">
        <v>1053</v>
      </c>
      <c r="B1060" s="7">
        <v>1</v>
      </c>
      <c r="C1060" s="7">
        <f t="shared" si="52"/>
        <v>8.8686757970141181E-2</v>
      </c>
      <c r="D1060" s="7">
        <f t="shared" si="53"/>
        <v>8.867788929434417E-2</v>
      </c>
      <c r="E1060" s="7">
        <f t="shared" si="54"/>
        <v>-2.4227446958891354</v>
      </c>
    </row>
    <row r="1061" spans="1:5" x14ac:dyDescent="0.15">
      <c r="A1061" s="7">
        <v>1054</v>
      </c>
      <c r="B1061" s="7">
        <v>2</v>
      </c>
      <c r="C1061" s="7">
        <f t="shared" si="52"/>
        <v>4.4066701399555049E-2</v>
      </c>
      <c r="D1061" s="7">
        <f t="shared" si="53"/>
        <v>4.4062294729415093E-2</v>
      </c>
      <c r="E1061" s="7">
        <f t="shared" si="54"/>
        <v>-3.1221508570437044</v>
      </c>
    </row>
    <row r="1062" spans="1:5" x14ac:dyDescent="0.15">
      <c r="A1062" s="7">
        <v>1055</v>
      </c>
      <c r="B1062" s="7">
        <v>1</v>
      </c>
      <c r="C1062" s="7">
        <f t="shared" si="52"/>
        <v>8.8686757970141181E-2</v>
      </c>
      <c r="D1062" s="7">
        <f t="shared" si="53"/>
        <v>8.867788929434417E-2</v>
      </c>
      <c r="E1062" s="7">
        <f t="shared" si="54"/>
        <v>-2.4227446958891354</v>
      </c>
    </row>
    <row r="1063" spans="1:5" x14ac:dyDescent="0.15">
      <c r="A1063" s="7">
        <v>1056</v>
      </c>
      <c r="B1063" s="7">
        <v>1</v>
      </c>
      <c r="C1063" s="7">
        <f t="shared" si="52"/>
        <v>8.8686757970141181E-2</v>
      </c>
      <c r="D1063" s="7">
        <f t="shared" si="53"/>
        <v>8.867788929434417E-2</v>
      </c>
      <c r="E1063" s="7">
        <f t="shared" si="54"/>
        <v>-2.4227446958891354</v>
      </c>
    </row>
    <row r="1064" spans="1:5" x14ac:dyDescent="0.15">
      <c r="A1064" s="7">
        <v>1057</v>
      </c>
      <c r="B1064" s="7">
        <v>0</v>
      </c>
      <c r="C1064" s="7">
        <f t="shared" si="52"/>
        <v>0.75583605794746755</v>
      </c>
      <c r="D1064" s="7">
        <f t="shared" si="53"/>
        <v>0.75586047434167281</v>
      </c>
      <c r="E1064" s="7">
        <f t="shared" si="54"/>
        <v>-0.27989847758459119</v>
      </c>
    </row>
    <row r="1065" spans="1:5" x14ac:dyDescent="0.15">
      <c r="A1065" s="7">
        <v>1058</v>
      </c>
      <c r="B1065" s="7">
        <v>0</v>
      </c>
      <c r="C1065" s="7">
        <f t="shared" si="52"/>
        <v>0.75583605794746755</v>
      </c>
      <c r="D1065" s="7">
        <f t="shared" si="53"/>
        <v>0.75586047434167281</v>
      </c>
      <c r="E1065" s="7">
        <f t="shared" si="54"/>
        <v>-0.27989847758459119</v>
      </c>
    </row>
    <row r="1066" spans="1:5" x14ac:dyDescent="0.15">
      <c r="A1066" s="7">
        <v>1059</v>
      </c>
      <c r="B1066" s="7">
        <v>0</v>
      </c>
      <c r="C1066" s="7">
        <f t="shared" si="52"/>
        <v>0.75583605794746755</v>
      </c>
      <c r="D1066" s="7">
        <f t="shared" si="53"/>
        <v>0.75586047434167281</v>
      </c>
      <c r="E1066" s="7">
        <f t="shared" si="54"/>
        <v>-0.27989847758459119</v>
      </c>
    </row>
    <row r="1067" spans="1:5" x14ac:dyDescent="0.15">
      <c r="A1067" s="7">
        <v>1060</v>
      </c>
      <c r="B1067" s="7">
        <v>0</v>
      </c>
      <c r="C1067" s="7">
        <f t="shared" si="52"/>
        <v>0.75583605794746755</v>
      </c>
      <c r="D1067" s="7">
        <f t="shared" si="53"/>
        <v>0.75586047434167281</v>
      </c>
      <c r="E1067" s="7">
        <f t="shared" si="54"/>
        <v>-0.27989847758459119</v>
      </c>
    </row>
    <row r="1068" spans="1:5" x14ac:dyDescent="0.15">
      <c r="A1068" s="7">
        <v>1061</v>
      </c>
      <c r="B1068" s="7">
        <v>0</v>
      </c>
      <c r="C1068" s="7">
        <f t="shared" si="52"/>
        <v>0.75583605794746755</v>
      </c>
      <c r="D1068" s="7">
        <f t="shared" si="53"/>
        <v>0.75586047434167281</v>
      </c>
      <c r="E1068" s="7">
        <f t="shared" si="54"/>
        <v>-0.27989847758459119</v>
      </c>
    </row>
    <row r="1069" spans="1:5" x14ac:dyDescent="0.15">
      <c r="A1069" s="7">
        <v>1062</v>
      </c>
      <c r="B1069" s="7">
        <v>0</v>
      </c>
      <c r="C1069" s="7">
        <f t="shared" si="52"/>
        <v>0.75583605794746755</v>
      </c>
      <c r="D1069" s="7">
        <f t="shared" si="53"/>
        <v>0.75586047434167281</v>
      </c>
      <c r="E1069" s="7">
        <f t="shared" si="54"/>
        <v>-0.27989847758459119</v>
      </c>
    </row>
    <row r="1070" spans="1:5" x14ac:dyDescent="0.15">
      <c r="A1070" s="7">
        <v>1063</v>
      </c>
      <c r="B1070" s="7">
        <v>0</v>
      </c>
      <c r="C1070" s="7">
        <f t="shared" si="52"/>
        <v>0.75583605794746755</v>
      </c>
      <c r="D1070" s="7">
        <f t="shared" si="53"/>
        <v>0.75586047434167281</v>
      </c>
      <c r="E1070" s="7">
        <f t="shared" si="54"/>
        <v>-0.27989847758459119</v>
      </c>
    </row>
    <row r="1071" spans="1:5" x14ac:dyDescent="0.15">
      <c r="A1071" s="7">
        <v>1064</v>
      </c>
      <c r="B1071" s="7">
        <v>0</v>
      </c>
      <c r="C1071" s="7">
        <f t="shared" si="52"/>
        <v>0.75583605794746755</v>
      </c>
      <c r="D1071" s="7">
        <f t="shared" si="53"/>
        <v>0.75586047434167281</v>
      </c>
      <c r="E1071" s="7">
        <f t="shared" si="54"/>
        <v>-0.27989847758459119</v>
      </c>
    </row>
    <row r="1072" spans="1:5" x14ac:dyDescent="0.15">
      <c r="A1072" s="7">
        <v>1065</v>
      </c>
      <c r="B1072" s="7">
        <v>0</v>
      </c>
      <c r="C1072" s="7">
        <f t="shared" si="52"/>
        <v>0.75583605794746755</v>
      </c>
      <c r="D1072" s="7">
        <f t="shared" si="53"/>
        <v>0.75586047434167281</v>
      </c>
      <c r="E1072" s="7">
        <f t="shared" si="54"/>
        <v>-0.27989847758459119</v>
      </c>
    </row>
    <row r="1073" spans="1:5" x14ac:dyDescent="0.15">
      <c r="A1073" s="7">
        <v>1066</v>
      </c>
      <c r="B1073" s="7">
        <v>5</v>
      </c>
      <c r="C1073" s="7">
        <f t="shared" si="52"/>
        <v>1.366826244062944E-2</v>
      </c>
      <c r="D1073" s="7">
        <f t="shared" si="53"/>
        <v>1.3666895614385376E-2</v>
      </c>
      <c r="E1073" s="7">
        <f t="shared" si="54"/>
        <v>-4.2927787488141558</v>
      </c>
    </row>
    <row r="1074" spans="1:5" x14ac:dyDescent="0.15">
      <c r="A1074" s="7">
        <v>1067</v>
      </c>
      <c r="B1074" s="7">
        <v>0</v>
      </c>
      <c r="C1074" s="7">
        <f t="shared" si="52"/>
        <v>0.75583605794746755</v>
      </c>
      <c r="D1074" s="7">
        <f t="shared" si="53"/>
        <v>0.75586047434167281</v>
      </c>
      <c r="E1074" s="7">
        <f t="shared" si="54"/>
        <v>-0.27989847758459119</v>
      </c>
    </row>
    <row r="1075" spans="1:5" x14ac:dyDescent="0.15">
      <c r="A1075" s="7">
        <v>1068</v>
      </c>
      <c r="B1075" s="7">
        <v>0</v>
      </c>
      <c r="C1075" s="7">
        <f t="shared" si="52"/>
        <v>0.75583605794746755</v>
      </c>
      <c r="D1075" s="7">
        <f t="shared" si="53"/>
        <v>0.75586047434167281</v>
      </c>
      <c r="E1075" s="7">
        <f t="shared" si="54"/>
        <v>-0.27989847758459119</v>
      </c>
    </row>
    <row r="1076" spans="1:5" x14ac:dyDescent="0.15">
      <c r="A1076" s="7">
        <v>1069</v>
      </c>
      <c r="B1076" s="7">
        <v>0</v>
      </c>
      <c r="C1076" s="7">
        <f t="shared" si="52"/>
        <v>0.75583605794746755</v>
      </c>
      <c r="D1076" s="7">
        <f t="shared" si="53"/>
        <v>0.75586047434167281</v>
      </c>
      <c r="E1076" s="7">
        <f t="shared" si="54"/>
        <v>-0.27989847758459119</v>
      </c>
    </row>
    <row r="1077" spans="1:5" x14ac:dyDescent="0.15">
      <c r="A1077" s="7">
        <v>1070</v>
      </c>
      <c r="B1077" s="7">
        <v>0</v>
      </c>
      <c r="C1077" s="7">
        <f t="shared" si="52"/>
        <v>0.75583605794746755</v>
      </c>
      <c r="D1077" s="7">
        <f t="shared" si="53"/>
        <v>0.75586047434167281</v>
      </c>
      <c r="E1077" s="7">
        <f t="shared" si="54"/>
        <v>-0.27989847758459119</v>
      </c>
    </row>
    <row r="1078" spans="1:5" x14ac:dyDescent="0.15">
      <c r="A1078" s="7">
        <v>1071</v>
      </c>
      <c r="B1078" s="7">
        <v>0</v>
      </c>
      <c r="C1078" s="7">
        <f t="shared" si="52"/>
        <v>0.75583605794746755</v>
      </c>
      <c r="D1078" s="7">
        <f t="shared" si="53"/>
        <v>0.75586047434167281</v>
      </c>
      <c r="E1078" s="7">
        <f t="shared" si="54"/>
        <v>-0.27989847758459119</v>
      </c>
    </row>
    <row r="1079" spans="1:5" x14ac:dyDescent="0.15">
      <c r="A1079" s="7">
        <v>1072</v>
      </c>
      <c r="B1079" s="7">
        <v>0</v>
      </c>
      <c r="C1079" s="7">
        <f t="shared" si="52"/>
        <v>0.75583605794746755</v>
      </c>
      <c r="D1079" s="7">
        <f t="shared" si="53"/>
        <v>0.75586047434167281</v>
      </c>
      <c r="E1079" s="7">
        <f t="shared" si="54"/>
        <v>-0.27989847758459119</v>
      </c>
    </row>
    <row r="1080" spans="1:5" x14ac:dyDescent="0.15">
      <c r="A1080" s="7">
        <v>1073</v>
      </c>
      <c r="B1080" s="7">
        <v>1</v>
      </c>
      <c r="C1080" s="7">
        <f t="shared" si="52"/>
        <v>8.8686757970141181E-2</v>
      </c>
      <c r="D1080" s="7">
        <f t="shared" si="53"/>
        <v>8.867788929434417E-2</v>
      </c>
      <c r="E1080" s="7">
        <f t="shared" si="54"/>
        <v>-2.4227446958891354</v>
      </c>
    </row>
    <row r="1081" spans="1:5" x14ac:dyDescent="0.15">
      <c r="A1081" s="7">
        <v>1074</v>
      </c>
      <c r="B1081" s="7">
        <v>0</v>
      </c>
      <c r="C1081" s="7">
        <f t="shared" si="52"/>
        <v>0.75583605794746755</v>
      </c>
      <c r="D1081" s="7">
        <f t="shared" si="53"/>
        <v>0.75586047434167281</v>
      </c>
      <c r="E1081" s="7">
        <f t="shared" si="54"/>
        <v>-0.27989847758459119</v>
      </c>
    </row>
    <row r="1082" spans="1:5" x14ac:dyDescent="0.15">
      <c r="A1082" s="7">
        <v>1075</v>
      </c>
      <c r="B1082" s="7">
        <v>0</v>
      </c>
      <c r="C1082" s="7">
        <f t="shared" si="52"/>
        <v>0.75583605794746755</v>
      </c>
      <c r="D1082" s="7">
        <f t="shared" si="53"/>
        <v>0.75586047434167281</v>
      </c>
      <c r="E1082" s="7">
        <f t="shared" si="54"/>
        <v>-0.27989847758459119</v>
      </c>
    </row>
    <row r="1083" spans="1:5" x14ac:dyDescent="0.15">
      <c r="A1083" s="7">
        <v>1076</v>
      </c>
      <c r="B1083" s="7">
        <v>0</v>
      </c>
      <c r="C1083" s="7">
        <f t="shared" si="52"/>
        <v>0.75583605794746755</v>
      </c>
      <c r="D1083" s="7">
        <f t="shared" si="53"/>
        <v>0.75586047434167281</v>
      </c>
      <c r="E1083" s="7">
        <f t="shared" si="54"/>
        <v>-0.27989847758459119</v>
      </c>
    </row>
    <row r="1084" spans="1:5" x14ac:dyDescent="0.15">
      <c r="A1084" s="7">
        <v>1077</v>
      </c>
      <c r="B1084" s="7">
        <v>0</v>
      </c>
      <c r="C1084" s="7">
        <f t="shared" si="52"/>
        <v>0.75583605794746755</v>
      </c>
      <c r="D1084" s="7">
        <f t="shared" si="53"/>
        <v>0.75586047434167281</v>
      </c>
      <c r="E1084" s="7">
        <f t="shared" si="54"/>
        <v>-0.27989847758459119</v>
      </c>
    </row>
    <row r="1085" spans="1:5" x14ac:dyDescent="0.15">
      <c r="A1085" s="7">
        <v>1078</v>
      </c>
      <c r="B1085" s="7">
        <v>0</v>
      </c>
      <c r="C1085" s="7">
        <f t="shared" si="52"/>
        <v>0.75583605794746755</v>
      </c>
      <c r="D1085" s="7">
        <f t="shared" si="53"/>
        <v>0.75586047434167281</v>
      </c>
      <c r="E1085" s="7">
        <f t="shared" si="54"/>
        <v>-0.27989847758459119</v>
      </c>
    </row>
    <row r="1086" spans="1:5" x14ac:dyDescent="0.15">
      <c r="A1086" s="7">
        <v>1079</v>
      </c>
      <c r="B1086" s="7">
        <v>0</v>
      </c>
      <c r="C1086" s="7">
        <f t="shared" si="52"/>
        <v>0.75583605794746755</v>
      </c>
      <c r="D1086" s="7">
        <f t="shared" si="53"/>
        <v>0.75586047434167281</v>
      </c>
      <c r="E1086" s="7">
        <f t="shared" si="54"/>
        <v>-0.27989847758459119</v>
      </c>
    </row>
    <row r="1087" spans="1:5" x14ac:dyDescent="0.15">
      <c r="A1087" s="7">
        <v>1080</v>
      </c>
      <c r="B1087" s="7">
        <v>0</v>
      </c>
      <c r="C1087" s="7">
        <f t="shared" si="52"/>
        <v>0.75583605794746755</v>
      </c>
      <c r="D1087" s="7">
        <f t="shared" si="53"/>
        <v>0.75586047434167281</v>
      </c>
      <c r="E1087" s="7">
        <f t="shared" si="54"/>
        <v>-0.27989847758459119</v>
      </c>
    </row>
    <row r="1088" spans="1:5" x14ac:dyDescent="0.15">
      <c r="A1088" s="7">
        <v>1081</v>
      </c>
      <c r="B1088" s="7">
        <v>0</v>
      </c>
      <c r="C1088" s="7">
        <f t="shared" si="52"/>
        <v>0.75583605794746755</v>
      </c>
      <c r="D1088" s="7">
        <f t="shared" si="53"/>
        <v>0.75586047434167281</v>
      </c>
      <c r="E1088" s="7">
        <f t="shared" si="54"/>
        <v>-0.27989847758459119</v>
      </c>
    </row>
    <row r="1089" spans="1:5" x14ac:dyDescent="0.15">
      <c r="A1089" s="7">
        <v>1082</v>
      </c>
      <c r="B1089" s="7">
        <v>0</v>
      </c>
      <c r="C1089" s="7">
        <f t="shared" si="52"/>
        <v>0.75583605794746755</v>
      </c>
      <c r="D1089" s="7">
        <f t="shared" si="53"/>
        <v>0.75586047434167281</v>
      </c>
      <c r="E1089" s="7">
        <f t="shared" si="54"/>
        <v>-0.27989847758459119</v>
      </c>
    </row>
    <row r="1090" spans="1:5" x14ac:dyDescent="0.15">
      <c r="A1090" s="7">
        <v>1083</v>
      </c>
      <c r="B1090" s="7">
        <v>4</v>
      </c>
      <c r="C1090" s="7">
        <f t="shared" si="52"/>
        <v>1.8863004210024691E-2</v>
      </c>
      <c r="D1090" s="7">
        <f t="shared" si="53"/>
        <v>1.8861117909603688E-2</v>
      </c>
      <c r="E1090" s="7">
        <f t="shared" si="54"/>
        <v>-3.9706527294293466</v>
      </c>
    </row>
    <row r="1091" spans="1:5" x14ac:dyDescent="0.15">
      <c r="A1091" s="7">
        <v>1084</v>
      </c>
      <c r="B1091" s="7">
        <v>0</v>
      </c>
      <c r="C1091" s="7">
        <f t="shared" si="52"/>
        <v>0.75583605794746755</v>
      </c>
      <c r="D1091" s="7">
        <f t="shared" si="53"/>
        <v>0.75586047434167281</v>
      </c>
      <c r="E1091" s="7">
        <f t="shared" si="54"/>
        <v>-0.27989847758459119</v>
      </c>
    </row>
    <row r="1092" spans="1:5" x14ac:dyDescent="0.15">
      <c r="A1092" s="7">
        <v>1085</v>
      </c>
      <c r="B1092" s="7">
        <v>0</v>
      </c>
      <c r="C1092" s="7">
        <f t="shared" si="52"/>
        <v>0.75583605794746755</v>
      </c>
      <c r="D1092" s="7">
        <f t="shared" si="53"/>
        <v>0.75586047434167281</v>
      </c>
      <c r="E1092" s="7">
        <f t="shared" si="54"/>
        <v>-0.27989847758459119</v>
      </c>
    </row>
    <row r="1093" spans="1:5" x14ac:dyDescent="0.15">
      <c r="A1093" s="7">
        <v>1086</v>
      </c>
      <c r="B1093" s="7">
        <v>0</v>
      </c>
      <c r="C1093" s="7">
        <f t="shared" si="52"/>
        <v>0.75583605794746755</v>
      </c>
      <c r="D1093" s="7">
        <f t="shared" si="53"/>
        <v>0.75586047434167281</v>
      </c>
      <c r="E1093" s="7">
        <f t="shared" si="54"/>
        <v>-0.27989847758459119</v>
      </c>
    </row>
    <row r="1094" spans="1:5" x14ac:dyDescent="0.15">
      <c r="A1094" s="7">
        <v>1087</v>
      </c>
      <c r="B1094" s="7">
        <v>0</v>
      </c>
      <c r="C1094" s="7">
        <f t="shared" si="52"/>
        <v>0.75583605794746755</v>
      </c>
      <c r="D1094" s="7">
        <f t="shared" si="53"/>
        <v>0.75586047434167281</v>
      </c>
      <c r="E1094" s="7">
        <f t="shared" si="54"/>
        <v>-0.27989847758459119</v>
      </c>
    </row>
    <row r="1095" spans="1:5" x14ac:dyDescent="0.15">
      <c r="A1095" s="7">
        <v>1088</v>
      </c>
      <c r="B1095" s="7">
        <v>0</v>
      </c>
      <c r="C1095" s="7">
        <f t="shared" si="52"/>
        <v>0.75583605794746755</v>
      </c>
      <c r="D1095" s="7">
        <f t="shared" si="53"/>
        <v>0.75586047434167281</v>
      </c>
      <c r="E1095" s="7">
        <f t="shared" si="54"/>
        <v>-0.27989847758459119</v>
      </c>
    </row>
    <row r="1096" spans="1:5" x14ac:dyDescent="0.15">
      <c r="A1096" s="7">
        <v>1089</v>
      </c>
      <c r="B1096" s="7">
        <v>0</v>
      </c>
      <c r="C1096" s="7">
        <f t="shared" si="52"/>
        <v>0.75583605794746755</v>
      </c>
      <c r="D1096" s="7">
        <f t="shared" si="53"/>
        <v>0.75586047434167281</v>
      </c>
      <c r="E1096" s="7">
        <f t="shared" si="54"/>
        <v>-0.27989847758459119</v>
      </c>
    </row>
    <row r="1097" spans="1:5" x14ac:dyDescent="0.15">
      <c r="A1097" s="7">
        <v>1090</v>
      </c>
      <c r="B1097" s="7">
        <v>0</v>
      </c>
      <c r="C1097" s="7">
        <f t="shared" ref="C1097:C1160" si="55">(_xlfn.GAMMA($B$1+B1097)/(_xlfn.GAMMA($B$1)*FACT(B1097))) * ($B$2/($B$2+$B$5))^$B$1 * (1/($B$2 +$B$5))^B1097</f>
        <v>0.75583605794746755</v>
      </c>
      <c r="D1097" s="7">
        <f t="shared" ref="D1097:D1160" si="56" xml:space="preserve"> IF(B1097 = 0, $B$3 + (1-$B$3) * C1097, (1-$B$3) *C1097)</f>
        <v>0.75586047434167281</v>
      </c>
      <c r="E1097" s="7">
        <f t="shared" ref="E1097:E1160" si="57">LN(D1097)</f>
        <v>-0.27989847758459119</v>
      </c>
    </row>
    <row r="1098" spans="1:5" x14ac:dyDescent="0.15">
      <c r="A1098" s="7">
        <v>1091</v>
      </c>
      <c r="B1098" s="7">
        <v>0</v>
      </c>
      <c r="C1098" s="7">
        <f t="shared" si="55"/>
        <v>0.75583605794746755</v>
      </c>
      <c r="D1098" s="7">
        <f t="shared" si="56"/>
        <v>0.75586047434167281</v>
      </c>
      <c r="E1098" s="7">
        <f t="shared" si="57"/>
        <v>-0.27989847758459119</v>
      </c>
    </row>
    <row r="1099" spans="1:5" x14ac:dyDescent="0.15">
      <c r="A1099" s="7">
        <v>1092</v>
      </c>
      <c r="B1099" s="7">
        <v>0</v>
      </c>
      <c r="C1099" s="7">
        <f t="shared" si="55"/>
        <v>0.75583605794746755</v>
      </c>
      <c r="D1099" s="7">
        <f t="shared" si="56"/>
        <v>0.75586047434167281</v>
      </c>
      <c r="E1099" s="7">
        <f t="shared" si="57"/>
        <v>-0.27989847758459119</v>
      </c>
    </row>
    <row r="1100" spans="1:5" x14ac:dyDescent="0.15">
      <c r="A1100" s="7">
        <v>1093</v>
      </c>
      <c r="B1100" s="7">
        <v>0</v>
      </c>
      <c r="C1100" s="7">
        <f t="shared" si="55"/>
        <v>0.75583605794746755</v>
      </c>
      <c r="D1100" s="7">
        <f t="shared" si="56"/>
        <v>0.75586047434167281</v>
      </c>
      <c r="E1100" s="7">
        <f t="shared" si="57"/>
        <v>-0.27989847758459119</v>
      </c>
    </row>
    <row r="1101" spans="1:5" x14ac:dyDescent="0.15">
      <c r="A1101" s="7">
        <v>1094</v>
      </c>
      <c r="B1101" s="7">
        <v>0</v>
      </c>
      <c r="C1101" s="7">
        <f t="shared" si="55"/>
        <v>0.75583605794746755</v>
      </c>
      <c r="D1101" s="7">
        <f t="shared" si="56"/>
        <v>0.75586047434167281</v>
      </c>
      <c r="E1101" s="7">
        <f t="shared" si="57"/>
        <v>-0.27989847758459119</v>
      </c>
    </row>
    <row r="1102" spans="1:5" x14ac:dyDescent="0.15">
      <c r="A1102" s="7">
        <v>1095</v>
      </c>
      <c r="B1102" s="7">
        <v>0</v>
      </c>
      <c r="C1102" s="7">
        <f t="shared" si="55"/>
        <v>0.75583605794746755</v>
      </c>
      <c r="D1102" s="7">
        <f t="shared" si="56"/>
        <v>0.75586047434167281</v>
      </c>
      <c r="E1102" s="7">
        <f t="shared" si="57"/>
        <v>-0.27989847758459119</v>
      </c>
    </row>
    <row r="1103" spans="1:5" x14ac:dyDescent="0.15">
      <c r="A1103" s="7">
        <v>1096</v>
      </c>
      <c r="B1103" s="7">
        <v>0</v>
      </c>
      <c r="C1103" s="7">
        <f t="shared" si="55"/>
        <v>0.75583605794746755</v>
      </c>
      <c r="D1103" s="7">
        <f t="shared" si="56"/>
        <v>0.75586047434167281</v>
      </c>
      <c r="E1103" s="7">
        <f t="shared" si="57"/>
        <v>-0.27989847758459119</v>
      </c>
    </row>
    <row r="1104" spans="1:5" x14ac:dyDescent="0.15">
      <c r="A1104" s="7">
        <v>1097</v>
      </c>
      <c r="B1104" s="7">
        <v>1</v>
      </c>
      <c r="C1104" s="7">
        <f t="shared" si="55"/>
        <v>8.8686757970141181E-2</v>
      </c>
      <c r="D1104" s="7">
        <f t="shared" si="56"/>
        <v>8.867788929434417E-2</v>
      </c>
      <c r="E1104" s="7">
        <f t="shared" si="57"/>
        <v>-2.4227446958891354</v>
      </c>
    </row>
    <row r="1105" spans="1:5" x14ac:dyDescent="0.15">
      <c r="A1105" s="7">
        <v>1098</v>
      </c>
      <c r="B1105" s="7">
        <v>0</v>
      </c>
      <c r="C1105" s="7">
        <f t="shared" si="55"/>
        <v>0.75583605794746755</v>
      </c>
      <c r="D1105" s="7">
        <f t="shared" si="56"/>
        <v>0.75586047434167281</v>
      </c>
      <c r="E1105" s="7">
        <f t="shared" si="57"/>
        <v>-0.27989847758459119</v>
      </c>
    </row>
    <row r="1106" spans="1:5" x14ac:dyDescent="0.15">
      <c r="A1106" s="7">
        <v>1099</v>
      </c>
      <c r="B1106" s="7">
        <v>4</v>
      </c>
      <c r="C1106" s="7">
        <f t="shared" si="55"/>
        <v>1.8863004210024691E-2</v>
      </c>
      <c r="D1106" s="7">
        <f t="shared" si="56"/>
        <v>1.8861117909603688E-2</v>
      </c>
      <c r="E1106" s="7">
        <f t="shared" si="57"/>
        <v>-3.9706527294293466</v>
      </c>
    </row>
    <row r="1107" spans="1:5" x14ac:dyDescent="0.15">
      <c r="A1107" s="7">
        <v>1100</v>
      </c>
      <c r="B1107" s="7">
        <v>0</v>
      </c>
      <c r="C1107" s="7">
        <f t="shared" si="55"/>
        <v>0.75583605794746755</v>
      </c>
      <c r="D1107" s="7">
        <f t="shared" si="56"/>
        <v>0.75586047434167281</v>
      </c>
      <c r="E1107" s="7">
        <f t="shared" si="57"/>
        <v>-0.27989847758459119</v>
      </c>
    </row>
    <row r="1108" spans="1:5" x14ac:dyDescent="0.15">
      <c r="A1108" s="7">
        <v>1101</v>
      </c>
      <c r="B1108" s="7">
        <v>0</v>
      </c>
      <c r="C1108" s="7">
        <f t="shared" si="55"/>
        <v>0.75583605794746755</v>
      </c>
      <c r="D1108" s="7">
        <f t="shared" si="56"/>
        <v>0.75586047434167281</v>
      </c>
      <c r="E1108" s="7">
        <f t="shared" si="57"/>
        <v>-0.27989847758459119</v>
      </c>
    </row>
    <row r="1109" spans="1:5" x14ac:dyDescent="0.15">
      <c r="A1109" s="7">
        <v>1102</v>
      </c>
      <c r="B1109" s="7">
        <v>5</v>
      </c>
      <c r="C1109" s="7">
        <f t="shared" si="55"/>
        <v>1.366826244062944E-2</v>
      </c>
      <c r="D1109" s="7">
        <f t="shared" si="56"/>
        <v>1.3666895614385376E-2</v>
      </c>
      <c r="E1109" s="7">
        <f t="shared" si="57"/>
        <v>-4.2927787488141558</v>
      </c>
    </row>
    <row r="1110" spans="1:5" x14ac:dyDescent="0.15">
      <c r="A1110" s="7">
        <v>1103</v>
      </c>
      <c r="B1110" s="7">
        <v>0</v>
      </c>
      <c r="C1110" s="7">
        <f t="shared" si="55"/>
        <v>0.75583605794746755</v>
      </c>
      <c r="D1110" s="7">
        <f t="shared" si="56"/>
        <v>0.75586047434167281</v>
      </c>
      <c r="E1110" s="7">
        <f t="shared" si="57"/>
        <v>-0.27989847758459119</v>
      </c>
    </row>
    <row r="1111" spans="1:5" x14ac:dyDescent="0.15">
      <c r="A1111" s="7">
        <v>1104</v>
      </c>
      <c r="B1111" s="7">
        <v>1</v>
      </c>
      <c r="C1111" s="7">
        <f t="shared" si="55"/>
        <v>8.8686757970141181E-2</v>
      </c>
      <c r="D1111" s="7">
        <f t="shared" si="56"/>
        <v>8.867788929434417E-2</v>
      </c>
      <c r="E1111" s="7">
        <f t="shared" si="57"/>
        <v>-2.4227446958891354</v>
      </c>
    </row>
    <row r="1112" spans="1:5" x14ac:dyDescent="0.15">
      <c r="A1112" s="7">
        <v>1105</v>
      </c>
      <c r="B1112" s="7">
        <v>0</v>
      </c>
      <c r="C1112" s="7">
        <f t="shared" si="55"/>
        <v>0.75583605794746755</v>
      </c>
      <c r="D1112" s="7">
        <f t="shared" si="56"/>
        <v>0.75586047434167281</v>
      </c>
      <c r="E1112" s="7">
        <f t="shared" si="57"/>
        <v>-0.27989847758459119</v>
      </c>
    </row>
    <row r="1113" spans="1:5" x14ac:dyDescent="0.15">
      <c r="A1113" s="7">
        <v>1106</v>
      </c>
      <c r="B1113" s="7">
        <v>0</v>
      </c>
      <c r="C1113" s="7">
        <f t="shared" si="55"/>
        <v>0.75583605794746755</v>
      </c>
      <c r="D1113" s="7">
        <f t="shared" si="56"/>
        <v>0.75586047434167281</v>
      </c>
      <c r="E1113" s="7">
        <f t="shared" si="57"/>
        <v>-0.27989847758459119</v>
      </c>
    </row>
    <row r="1114" spans="1:5" x14ac:dyDescent="0.15">
      <c r="A1114" s="7">
        <v>1107</v>
      </c>
      <c r="B1114" s="7">
        <v>0</v>
      </c>
      <c r="C1114" s="7">
        <f t="shared" si="55"/>
        <v>0.75583605794746755</v>
      </c>
      <c r="D1114" s="7">
        <f t="shared" si="56"/>
        <v>0.75586047434167281</v>
      </c>
      <c r="E1114" s="7">
        <f t="shared" si="57"/>
        <v>-0.27989847758459119</v>
      </c>
    </row>
    <row r="1115" spans="1:5" x14ac:dyDescent="0.15">
      <c r="A1115" s="7">
        <v>1108</v>
      </c>
      <c r="B1115" s="7">
        <v>0</v>
      </c>
      <c r="C1115" s="7">
        <f t="shared" si="55"/>
        <v>0.75583605794746755</v>
      </c>
      <c r="D1115" s="7">
        <f t="shared" si="56"/>
        <v>0.75586047434167281</v>
      </c>
      <c r="E1115" s="7">
        <f t="shared" si="57"/>
        <v>-0.27989847758459119</v>
      </c>
    </row>
    <row r="1116" spans="1:5" x14ac:dyDescent="0.15">
      <c r="A1116" s="7">
        <v>1109</v>
      </c>
      <c r="B1116" s="7">
        <v>0</v>
      </c>
      <c r="C1116" s="7">
        <f t="shared" si="55"/>
        <v>0.75583605794746755</v>
      </c>
      <c r="D1116" s="7">
        <f t="shared" si="56"/>
        <v>0.75586047434167281</v>
      </c>
      <c r="E1116" s="7">
        <f t="shared" si="57"/>
        <v>-0.27989847758459119</v>
      </c>
    </row>
    <row r="1117" spans="1:5" x14ac:dyDescent="0.15">
      <c r="A1117" s="7">
        <v>1110</v>
      </c>
      <c r="B1117" s="7">
        <v>1</v>
      </c>
      <c r="C1117" s="7">
        <f t="shared" si="55"/>
        <v>8.8686757970141181E-2</v>
      </c>
      <c r="D1117" s="7">
        <f t="shared" si="56"/>
        <v>8.867788929434417E-2</v>
      </c>
      <c r="E1117" s="7">
        <f t="shared" si="57"/>
        <v>-2.4227446958891354</v>
      </c>
    </row>
    <row r="1118" spans="1:5" x14ac:dyDescent="0.15">
      <c r="A1118" s="7">
        <v>1111</v>
      </c>
      <c r="B1118" s="7">
        <v>0</v>
      </c>
      <c r="C1118" s="7">
        <f t="shared" si="55"/>
        <v>0.75583605794746755</v>
      </c>
      <c r="D1118" s="7">
        <f t="shared" si="56"/>
        <v>0.75586047434167281</v>
      </c>
      <c r="E1118" s="7">
        <f t="shared" si="57"/>
        <v>-0.27989847758459119</v>
      </c>
    </row>
    <row r="1119" spans="1:5" x14ac:dyDescent="0.15">
      <c r="A1119" s="7">
        <v>1112</v>
      </c>
      <c r="B1119" s="7">
        <v>0</v>
      </c>
      <c r="C1119" s="7">
        <f t="shared" si="55"/>
        <v>0.75583605794746755</v>
      </c>
      <c r="D1119" s="7">
        <f t="shared" si="56"/>
        <v>0.75586047434167281</v>
      </c>
      <c r="E1119" s="7">
        <f t="shared" si="57"/>
        <v>-0.27989847758459119</v>
      </c>
    </row>
    <row r="1120" spans="1:5" x14ac:dyDescent="0.15">
      <c r="A1120" s="7">
        <v>1113</v>
      </c>
      <c r="B1120" s="7">
        <v>0</v>
      </c>
      <c r="C1120" s="7">
        <f t="shared" si="55"/>
        <v>0.75583605794746755</v>
      </c>
      <c r="D1120" s="7">
        <f t="shared" si="56"/>
        <v>0.75586047434167281</v>
      </c>
      <c r="E1120" s="7">
        <f t="shared" si="57"/>
        <v>-0.27989847758459119</v>
      </c>
    </row>
    <row r="1121" spans="1:5" x14ac:dyDescent="0.15">
      <c r="A1121" s="7">
        <v>1114</v>
      </c>
      <c r="B1121" s="7">
        <v>0</v>
      </c>
      <c r="C1121" s="7">
        <f t="shared" si="55"/>
        <v>0.75583605794746755</v>
      </c>
      <c r="D1121" s="7">
        <f t="shared" si="56"/>
        <v>0.75586047434167281</v>
      </c>
      <c r="E1121" s="7">
        <f t="shared" si="57"/>
        <v>-0.27989847758459119</v>
      </c>
    </row>
    <row r="1122" spans="1:5" x14ac:dyDescent="0.15">
      <c r="A1122" s="7">
        <v>1115</v>
      </c>
      <c r="B1122" s="7">
        <v>2</v>
      </c>
      <c r="C1122" s="7">
        <f t="shared" si="55"/>
        <v>4.4066701399555049E-2</v>
      </c>
      <c r="D1122" s="7">
        <f t="shared" si="56"/>
        <v>4.4062294729415093E-2</v>
      </c>
      <c r="E1122" s="7">
        <f t="shared" si="57"/>
        <v>-3.1221508570437044</v>
      </c>
    </row>
    <row r="1123" spans="1:5" x14ac:dyDescent="0.15">
      <c r="A1123" s="7">
        <v>1116</v>
      </c>
      <c r="B1123" s="7">
        <v>0</v>
      </c>
      <c r="C1123" s="7">
        <f t="shared" si="55"/>
        <v>0.75583605794746755</v>
      </c>
      <c r="D1123" s="7">
        <f t="shared" si="56"/>
        <v>0.75586047434167281</v>
      </c>
      <c r="E1123" s="7">
        <f t="shared" si="57"/>
        <v>-0.27989847758459119</v>
      </c>
    </row>
    <row r="1124" spans="1:5" x14ac:dyDescent="0.15">
      <c r="A1124" s="7">
        <v>1117</v>
      </c>
      <c r="B1124" s="7">
        <v>7</v>
      </c>
      <c r="C1124" s="7">
        <f t="shared" si="55"/>
        <v>7.8718020395525893E-3</v>
      </c>
      <c r="D1124" s="7">
        <f t="shared" si="56"/>
        <v>7.8710148593486347E-3</v>
      </c>
      <c r="E1124" s="7">
        <f t="shared" si="57"/>
        <v>-4.8445682719632792</v>
      </c>
    </row>
    <row r="1125" spans="1:5" x14ac:dyDescent="0.15">
      <c r="A1125" s="7">
        <v>1118</v>
      </c>
      <c r="B1125" s="7">
        <v>1</v>
      </c>
      <c r="C1125" s="7">
        <f t="shared" si="55"/>
        <v>8.8686757970141181E-2</v>
      </c>
      <c r="D1125" s="7">
        <f t="shared" si="56"/>
        <v>8.867788929434417E-2</v>
      </c>
      <c r="E1125" s="7">
        <f t="shared" si="57"/>
        <v>-2.4227446958891354</v>
      </c>
    </row>
    <row r="1126" spans="1:5" x14ac:dyDescent="0.15">
      <c r="A1126" s="7">
        <v>1119</v>
      </c>
      <c r="B1126" s="7">
        <v>0</v>
      </c>
      <c r="C1126" s="7">
        <f t="shared" si="55"/>
        <v>0.75583605794746755</v>
      </c>
      <c r="D1126" s="7">
        <f t="shared" si="56"/>
        <v>0.75586047434167281</v>
      </c>
      <c r="E1126" s="7">
        <f t="shared" si="57"/>
        <v>-0.27989847758459119</v>
      </c>
    </row>
    <row r="1127" spans="1:5" x14ac:dyDescent="0.15">
      <c r="A1127" s="7">
        <v>1120</v>
      </c>
      <c r="B1127" s="7">
        <v>0</v>
      </c>
      <c r="C1127" s="7">
        <f t="shared" si="55"/>
        <v>0.75583605794746755</v>
      </c>
      <c r="D1127" s="7">
        <f t="shared" si="56"/>
        <v>0.75586047434167281</v>
      </c>
      <c r="E1127" s="7">
        <f t="shared" si="57"/>
        <v>-0.27989847758459119</v>
      </c>
    </row>
    <row r="1128" spans="1:5" x14ac:dyDescent="0.15">
      <c r="A1128" s="7">
        <v>1121</v>
      </c>
      <c r="B1128" s="7">
        <v>0</v>
      </c>
      <c r="C1128" s="7">
        <f t="shared" si="55"/>
        <v>0.75583605794746755</v>
      </c>
      <c r="D1128" s="7">
        <f t="shared" si="56"/>
        <v>0.75586047434167281</v>
      </c>
      <c r="E1128" s="7">
        <f t="shared" si="57"/>
        <v>-0.27989847758459119</v>
      </c>
    </row>
    <row r="1129" spans="1:5" x14ac:dyDescent="0.15">
      <c r="A1129" s="7">
        <v>1122</v>
      </c>
      <c r="B1129" s="7">
        <v>0</v>
      </c>
      <c r="C1129" s="7">
        <f t="shared" si="55"/>
        <v>0.75583605794746755</v>
      </c>
      <c r="D1129" s="7">
        <f t="shared" si="56"/>
        <v>0.75586047434167281</v>
      </c>
      <c r="E1129" s="7">
        <f t="shared" si="57"/>
        <v>-0.27989847758459119</v>
      </c>
    </row>
    <row r="1130" spans="1:5" x14ac:dyDescent="0.15">
      <c r="A1130" s="7">
        <v>1123</v>
      </c>
      <c r="B1130" s="7">
        <v>1</v>
      </c>
      <c r="C1130" s="7">
        <f t="shared" si="55"/>
        <v>8.8686757970141181E-2</v>
      </c>
      <c r="D1130" s="7">
        <f t="shared" si="56"/>
        <v>8.867788929434417E-2</v>
      </c>
      <c r="E1130" s="7">
        <f t="shared" si="57"/>
        <v>-2.4227446958891354</v>
      </c>
    </row>
    <row r="1131" spans="1:5" x14ac:dyDescent="0.15">
      <c r="A1131" s="7">
        <v>1124</v>
      </c>
      <c r="B1131" s="7">
        <v>0</v>
      </c>
      <c r="C1131" s="7">
        <f t="shared" si="55"/>
        <v>0.75583605794746755</v>
      </c>
      <c r="D1131" s="7">
        <f t="shared" si="56"/>
        <v>0.75586047434167281</v>
      </c>
      <c r="E1131" s="7">
        <f t="shared" si="57"/>
        <v>-0.27989847758459119</v>
      </c>
    </row>
    <row r="1132" spans="1:5" x14ac:dyDescent="0.15">
      <c r="A1132" s="7">
        <v>1125</v>
      </c>
      <c r="B1132" s="7">
        <v>0</v>
      </c>
      <c r="C1132" s="7">
        <f t="shared" si="55"/>
        <v>0.75583605794746755</v>
      </c>
      <c r="D1132" s="7">
        <f t="shared" si="56"/>
        <v>0.75586047434167281</v>
      </c>
      <c r="E1132" s="7">
        <f t="shared" si="57"/>
        <v>-0.27989847758459119</v>
      </c>
    </row>
    <row r="1133" spans="1:5" x14ac:dyDescent="0.15">
      <c r="A1133" s="7">
        <v>1126</v>
      </c>
      <c r="B1133" s="7">
        <v>0</v>
      </c>
      <c r="C1133" s="7">
        <f t="shared" si="55"/>
        <v>0.75583605794746755</v>
      </c>
      <c r="D1133" s="7">
        <f t="shared" si="56"/>
        <v>0.75586047434167281</v>
      </c>
      <c r="E1133" s="7">
        <f t="shared" si="57"/>
        <v>-0.27989847758459119</v>
      </c>
    </row>
    <row r="1134" spans="1:5" x14ac:dyDescent="0.15">
      <c r="A1134" s="7">
        <v>1127</v>
      </c>
      <c r="B1134" s="7">
        <v>0</v>
      </c>
      <c r="C1134" s="7">
        <f t="shared" si="55"/>
        <v>0.75583605794746755</v>
      </c>
      <c r="D1134" s="7">
        <f t="shared" si="56"/>
        <v>0.75586047434167281</v>
      </c>
      <c r="E1134" s="7">
        <f t="shared" si="57"/>
        <v>-0.27989847758459119</v>
      </c>
    </row>
    <row r="1135" spans="1:5" x14ac:dyDescent="0.15">
      <c r="A1135" s="7">
        <v>1128</v>
      </c>
      <c r="B1135" s="7">
        <v>0</v>
      </c>
      <c r="C1135" s="7">
        <f t="shared" si="55"/>
        <v>0.75583605794746755</v>
      </c>
      <c r="D1135" s="7">
        <f t="shared" si="56"/>
        <v>0.75586047434167281</v>
      </c>
      <c r="E1135" s="7">
        <f t="shared" si="57"/>
        <v>-0.27989847758459119</v>
      </c>
    </row>
    <row r="1136" spans="1:5" x14ac:dyDescent="0.15">
      <c r="A1136" s="7">
        <v>1129</v>
      </c>
      <c r="B1136" s="7">
        <v>0</v>
      </c>
      <c r="C1136" s="7">
        <f t="shared" si="55"/>
        <v>0.75583605794746755</v>
      </c>
      <c r="D1136" s="7">
        <f t="shared" si="56"/>
        <v>0.75586047434167281</v>
      </c>
      <c r="E1136" s="7">
        <f t="shared" si="57"/>
        <v>-0.27989847758459119</v>
      </c>
    </row>
    <row r="1137" spans="1:5" x14ac:dyDescent="0.15">
      <c r="A1137" s="7">
        <v>1130</v>
      </c>
      <c r="B1137" s="7">
        <v>0</v>
      </c>
      <c r="C1137" s="7">
        <f t="shared" si="55"/>
        <v>0.75583605794746755</v>
      </c>
      <c r="D1137" s="7">
        <f t="shared" si="56"/>
        <v>0.75586047434167281</v>
      </c>
      <c r="E1137" s="7">
        <f t="shared" si="57"/>
        <v>-0.27989847758459119</v>
      </c>
    </row>
    <row r="1138" spans="1:5" x14ac:dyDescent="0.15">
      <c r="A1138" s="7">
        <v>1131</v>
      </c>
      <c r="B1138" s="7">
        <v>0</v>
      </c>
      <c r="C1138" s="7">
        <f t="shared" si="55"/>
        <v>0.75583605794746755</v>
      </c>
      <c r="D1138" s="7">
        <f t="shared" si="56"/>
        <v>0.75586047434167281</v>
      </c>
      <c r="E1138" s="7">
        <f t="shared" si="57"/>
        <v>-0.27989847758459119</v>
      </c>
    </row>
    <row r="1139" spans="1:5" x14ac:dyDescent="0.15">
      <c r="A1139" s="7">
        <v>1132</v>
      </c>
      <c r="B1139" s="7">
        <v>0</v>
      </c>
      <c r="C1139" s="7">
        <f t="shared" si="55"/>
        <v>0.75583605794746755</v>
      </c>
      <c r="D1139" s="7">
        <f t="shared" si="56"/>
        <v>0.75586047434167281</v>
      </c>
      <c r="E1139" s="7">
        <f t="shared" si="57"/>
        <v>-0.27989847758459119</v>
      </c>
    </row>
    <row r="1140" spans="1:5" x14ac:dyDescent="0.15">
      <c r="A1140" s="7">
        <v>1133</v>
      </c>
      <c r="B1140" s="7">
        <v>0</v>
      </c>
      <c r="C1140" s="7">
        <f t="shared" si="55"/>
        <v>0.75583605794746755</v>
      </c>
      <c r="D1140" s="7">
        <f t="shared" si="56"/>
        <v>0.75586047434167281</v>
      </c>
      <c r="E1140" s="7">
        <f t="shared" si="57"/>
        <v>-0.27989847758459119</v>
      </c>
    </row>
    <row r="1141" spans="1:5" x14ac:dyDescent="0.15">
      <c r="A1141" s="7">
        <v>1134</v>
      </c>
      <c r="B1141" s="7">
        <v>1</v>
      </c>
      <c r="C1141" s="7">
        <f t="shared" si="55"/>
        <v>8.8686757970141181E-2</v>
      </c>
      <c r="D1141" s="7">
        <f t="shared" si="56"/>
        <v>8.867788929434417E-2</v>
      </c>
      <c r="E1141" s="7">
        <f t="shared" si="57"/>
        <v>-2.4227446958891354</v>
      </c>
    </row>
    <row r="1142" spans="1:5" x14ac:dyDescent="0.15">
      <c r="A1142" s="7">
        <v>1135</v>
      </c>
      <c r="B1142" s="7">
        <v>0</v>
      </c>
      <c r="C1142" s="7">
        <f t="shared" si="55"/>
        <v>0.75583605794746755</v>
      </c>
      <c r="D1142" s="7">
        <f t="shared" si="56"/>
        <v>0.75586047434167281</v>
      </c>
      <c r="E1142" s="7">
        <f t="shared" si="57"/>
        <v>-0.27989847758459119</v>
      </c>
    </row>
    <row r="1143" spans="1:5" x14ac:dyDescent="0.15">
      <c r="A1143" s="7">
        <v>1136</v>
      </c>
      <c r="B1143" s="7">
        <v>0</v>
      </c>
      <c r="C1143" s="7">
        <f t="shared" si="55"/>
        <v>0.75583605794746755</v>
      </c>
      <c r="D1143" s="7">
        <f t="shared" si="56"/>
        <v>0.75586047434167281</v>
      </c>
      <c r="E1143" s="7">
        <f t="shared" si="57"/>
        <v>-0.27989847758459119</v>
      </c>
    </row>
    <row r="1144" spans="1:5" x14ac:dyDescent="0.15">
      <c r="A1144" s="7">
        <v>1137</v>
      </c>
      <c r="B1144" s="7">
        <v>0</v>
      </c>
      <c r="C1144" s="7">
        <f t="shared" si="55"/>
        <v>0.75583605794746755</v>
      </c>
      <c r="D1144" s="7">
        <f t="shared" si="56"/>
        <v>0.75586047434167281</v>
      </c>
      <c r="E1144" s="7">
        <f t="shared" si="57"/>
        <v>-0.27989847758459119</v>
      </c>
    </row>
    <row r="1145" spans="1:5" x14ac:dyDescent="0.15">
      <c r="A1145" s="7">
        <v>1138</v>
      </c>
      <c r="B1145" s="7">
        <v>0</v>
      </c>
      <c r="C1145" s="7">
        <f t="shared" si="55"/>
        <v>0.75583605794746755</v>
      </c>
      <c r="D1145" s="7">
        <f t="shared" si="56"/>
        <v>0.75586047434167281</v>
      </c>
      <c r="E1145" s="7">
        <f t="shared" si="57"/>
        <v>-0.27989847758459119</v>
      </c>
    </row>
    <row r="1146" spans="1:5" x14ac:dyDescent="0.15">
      <c r="A1146" s="7">
        <v>1139</v>
      </c>
      <c r="B1146" s="7">
        <v>0</v>
      </c>
      <c r="C1146" s="7">
        <f t="shared" si="55"/>
        <v>0.75583605794746755</v>
      </c>
      <c r="D1146" s="7">
        <f t="shared" si="56"/>
        <v>0.75586047434167281</v>
      </c>
      <c r="E1146" s="7">
        <f t="shared" si="57"/>
        <v>-0.27989847758459119</v>
      </c>
    </row>
    <row r="1147" spans="1:5" x14ac:dyDescent="0.15">
      <c r="A1147" s="7">
        <v>1140</v>
      </c>
      <c r="B1147" s="7">
        <v>0</v>
      </c>
      <c r="C1147" s="7">
        <f t="shared" si="55"/>
        <v>0.75583605794746755</v>
      </c>
      <c r="D1147" s="7">
        <f t="shared" si="56"/>
        <v>0.75586047434167281</v>
      </c>
      <c r="E1147" s="7">
        <f t="shared" si="57"/>
        <v>-0.27989847758459119</v>
      </c>
    </row>
    <row r="1148" spans="1:5" x14ac:dyDescent="0.15">
      <c r="A1148" s="7">
        <v>1141</v>
      </c>
      <c r="B1148" s="7">
        <v>0</v>
      </c>
      <c r="C1148" s="7">
        <f t="shared" si="55"/>
        <v>0.75583605794746755</v>
      </c>
      <c r="D1148" s="7">
        <f t="shared" si="56"/>
        <v>0.75586047434167281</v>
      </c>
      <c r="E1148" s="7">
        <f t="shared" si="57"/>
        <v>-0.27989847758459119</v>
      </c>
    </row>
    <row r="1149" spans="1:5" x14ac:dyDescent="0.15">
      <c r="A1149" s="7">
        <v>1142</v>
      </c>
      <c r="B1149" s="7">
        <v>0</v>
      </c>
      <c r="C1149" s="7">
        <f t="shared" si="55"/>
        <v>0.75583605794746755</v>
      </c>
      <c r="D1149" s="7">
        <f t="shared" si="56"/>
        <v>0.75586047434167281</v>
      </c>
      <c r="E1149" s="7">
        <f t="shared" si="57"/>
        <v>-0.27989847758459119</v>
      </c>
    </row>
    <row r="1150" spans="1:5" x14ac:dyDescent="0.15">
      <c r="A1150" s="7">
        <v>1143</v>
      </c>
      <c r="B1150" s="7">
        <v>0</v>
      </c>
      <c r="C1150" s="7">
        <f t="shared" si="55"/>
        <v>0.75583605794746755</v>
      </c>
      <c r="D1150" s="7">
        <f t="shared" si="56"/>
        <v>0.75586047434167281</v>
      </c>
      <c r="E1150" s="7">
        <f t="shared" si="57"/>
        <v>-0.27989847758459119</v>
      </c>
    </row>
    <row r="1151" spans="1:5" x14ac:dyDescent="0.15">
      <c r="A1151" s="7">
        <v>1144</v>
      </c>
      <c r="B1151" s="7">
        <v>0</v>
      </c>
      <c r="C1151" s="7">
        <f t="shared" si="55"/>
        <v>0.75583605794746755</v>
      </c>
      <c r="D1151" s="7">
        <f t="shared" si="56"/>
        <v>0.75586047434167281</v>
      </c>
      <c r="E1151" s="7">
        <f t="shared" si="57"/>
        <v>-0.27989847758459119</v>
      </c>
    </row>
    <row r="1152" spans="1:5" x14ac:dyDescent="0.15">
      <c r="A1152" s="7">
        <v>1145</v>
      </c>
      <c r="B1152" s="7">
        <v>0</v>
      </c>
      <c r="C1152" s="7">
        <f t="shared" si="55"/>
        <v>0.75583605794746755</v>
      </c>
      <c r="D1152" s="7">
        <f t="shared" si="56"/>
        <v>0.75586047434167281</v>
      </c>
      <c r="E1152" s="7">
        <f t="shared" si="57"/>
        <v>-0.27989847758459119</v>
      </c>
    </row>
    <row r="1153" spans="1:5" x14ac:dyDescent="0.15">
      <c r="A1153" s="7">
        <v>1146</v>
      </c>
      <c r="B1153" s="7">
        <v>0</v>
      </c>
      <c r="C1153" s="7">
        <f t="shared" si="55"/>
        <v>0.75583605794746755</v>
      </c>
      <c r="D1153" s="7">
        <f t="shared" si="56"/>
        <v>0.75586047434167281</v>
      </c>
      <c r="E1153" s="7">
        <f t="shared" si="57"/>
        <v>-0.27989847758459119</v>
      </c>
    </row>
    <row r="1154" spans="1:5" x14ac:dyDescent="0.15">
      <c r="A1154" s="7">
        <v>1147</v>
      </c>
      <c r="B1154" s="7">
        <v>0</v>
      </c>
      <c r="C1154" s="7">
        <f t="shared" si="55"/>
        <v>0.75583605794746755</v>
      </c>
      <c r="D1154" s="7">
        <f t="shared" si="56"/>
        <v>0.75586047434167281</v>
      </c>
      <c r="E1154" s="7">
        <f t="shared" si="57"/>
        <v>-0.27989847758459119</v>
      </c>
    </row>
    <row r="1155" spans="1:5" x14ac:dyDescent="0.15">
      <c r="A1155" s="7">
        <v>1148</v>
      </c>
      <c r="B1155" s="7">
        <v>0</v>
      </c>
      <c r="C1155" s="7">
        <f t="shared" si="55"/>
        <v>0.75583605794746755</v>
      </c>
      <c r="D1155" s="7">
        <f t="shared" si="56"/>
        <v>0.75586047434167281</v>
      </c>
      <c r="E1155" s="7">
        <f t="shared" si="57"/>
        <v>-0.27989847758459119</v>
      </c>
    </row>
    <row r="1156" spans="1:5" x14ac:dyDescent="0.15">
      <c r="A1156" s="7">
        <v>1149</v>
      </c>
      <c r="B1156" s="7">
        <v>0</v>
      </c>
      <c r="C1156" s="7">
        <f t="shared" si="55"/>
        <v>0.75583605794746755</v>
      </c>
      <c r="D1156" s="7">
        <f t="shared" si="56"/>
        <v>0.75586047434167281</v>
      </c>
      <c r="E1156" s="7">
        <f t="shared" si="57"/>
        <v>-0.27989847758459119</v>
      </c>
    </row>
    <row r="1157" spans="1:5" x14ac:dyDescent="0.15">
      <c r="A1157" s="7">
        <v>1150</v>
      </c>
      <c r="B1157" s="7">
        <v>0</v>
      </c>
      <c r="C1157" s="7">
        <f t="shared" si="55"/>
        <v>0.75583605794746755</v>
      </c>
      <c r="D1157" s="7">
        <f t="shared" si="56"/>
        <v>0.75586047434167281</v>
      </c>
      <c r="E1157" s="7">
        <f t="shared" si="57"/>
        <v>-0.27989847758459119</v>
      </c>
    </row>
    <row r="1158" spans="1:5" x14ac:dyDescent="0.15">
      <c r="A1158" s="7">
        <v>1151</v>
      </c>
      <c r="B1158" s="7">
        <v>0</v>
      </c>
      <c r="C1158" s="7">
        <f t="shared" si="55"/>
        <v>0.75583605794746755</v>
      </c>
      <c r="D1158" s="7">
        <f t="shared" si="56"/>
        <v>0.75586047434167281</v>
      </c>
      <c r="E1158" s="7">
        <f t="shared" si="57"/>
        <v>-0.27989847758459119</v>
      </c>
    </row>
    <row r="1159" spans="1:5" x14ac:dyDescent="0.15">
      <c r="A1159" s="7">
        <v>1152</v>
      </c>
      <c r="B1159" s="7">
        <v>0</v>
      </c>
      <c r="C1159" s="7">
        <f t="shared" si="55"/>
        <v>0.75583605794746755</v>
      </c>
      <c r="D1159" s="7">
        <f t="shared" si="56"/>
        <v>0.75586047434167281</v>
      </c>
      <c r="E1159" s="7">
        <f t="shared" si="57"/>
        <v>-0.27989847758459119</v>
      </c>
    </row>
    <row r="1160" spans="1:5" x14ac:dyDescent="0.15">
      <c r="A1160" s="7">
        <v>1153</v>
      </c>
      <c r="B1160" s="7">
        <v>33</v>
      </c>
      <c r="C1160" s="7">
        <f t="shared" si="55"/>
        <v>6.7032625969191362E-5</v>
      </c>
      <c r="D1160" s="7">
        <f t="shared" si="56"/>
        <v>6.7025922706594442E-5</v>
      </c>
      <c r="E1160" s="7">
        <f t="shared" si="57"/>
        <v>-9.6104311073335875</v>
      </c>
    </row>
    <row r="1161" spans="1:5" x14ac:dyDescent="0.15">
      <c r="A1161" s="7">
        <v>1154</v>
      </c>
      <c r="B1161" s="7">
        <v>0</v>
      </c>
      <c r="C1161" s="7">
        <f t="shared" ref="C1161:C1224" si="58">(_xlfn.GAMMA($B$1+B1161)/(_xlfn.GAMMA($B$1)*FACT(B1161))) * ($B$2/($B$2+$B$5))^$B$1 * (1/($B$2 +$B$5))^B1161</f>
        <v>0.75583605794746755</v>
      </c>
      <c r="D1161" s="7">
        <f t="shared" ref="D1161:D1224" si="59" xml:space="preserve"> IF(B1161 = 0, $B$3 + (1-$B$3) * C1161, (1-$B$3) *C1161)</f>
        <v>0.75586047434167281</v>
      </c>
      <c r="E1161" s="7">
        <f t="shared" ref="E1161:E1224" si="60">LN(D1161)</f>
        <v>-0.27989847758459119</v>
      </c>
    </row>
    <row r="1162" spans="1:5" x14ac:dyDescent="0.15">
      <c r="A1162" s="7">
        <v>1155</v>
      </c>
      <c r="B1162" s="7">
        <v>0</v>
      </c>
      <c r="C1162" s="7">
        <f t="shared" si="58"/>
        <v>0.75583605794746755</v>
      </c>
      <c r="D1162" s="7">
        <f t="shared" si="59"/>
        <v>0.75586047434167281</v>
      </c>
      <c r="E1162" s="7">
        <f t="shared" si="60"/>
        <v>-0.27989847758459119</v>
      </c>
    </row>
    <row r="1163" spans="1:5" x14ac:dyDescent="0.15">
      <c r="A1163" s="7">
        <v>1156</v>
      </c>
      <c r="B1163" s="7">
        <v>0</v>
      </c>
      <c r="C1163" s="7">
        <f t="shared" si="58"/>
        <v>0.75583605794746755</v>
      </c>
      <c r="D1163" s="7">
        <f t="shared" si="59"/>
        <v>0.75586047434167281</v>
      </c>
      <c r="E1163" s="7">
        <f t="shared" si="60"/>
        <v>-0.27989847758459119</v>
      </c>
    </row>
    <row r="1164" spans="1:5" x14ac:dyDescent="0.15">
      <c r="A1164" s="7">
        <v>1157</v>
      </c>
      <c r="B1164" s="7">
        <v>8</v>
      </c>
      <c r="C1164" s="7">
        <f t="shared" si="58"/>
        <v>6.1521164907488192E-3</v>
      </c>
      <c r="D1164" s="7">
        <f t="shared" si="59"/>
        <v>6.1515012790997444E-3</v>
      </c>
      <c r="E1164" s="7">
        <f t="shared" si="60"/>
        <v>-5.0910591165310892</v>
      </c>
    </row>
    <row r="1165" spans="1:5" x14ac:dyDescent="0.15">
      <c r="A1165" s="7">
        <v>1158</v>
      </c>
      <c r="B1165" s="7">
        <v>2</v>
      </c>
      <c r="C1165" s="7">
        <f t="shared" si="58"/>
        <v>4.4066701399555049E-2</v>
      </c>
      <c r="D1165" s="7">
        <f t="shared" si="59"/>
        <v>4.4062294729415093E-2</v>
      </c>
      <c r="E1165" s="7">
        <f t="shared" si="60"/>
        <v>-3.1221508570437044</v>
      </c>
    </row>
    <row r="1166" spans="1:5" x14ac:dyDescent="0.15">
      <c r="A1166" s="7">
        <v>1159</v>
      </c>
      <c r="B1166" s="7">
        <v>0</v>
      </c>
      <c r="C1166" s="7">
        <f t="shared" si="58"/>
        <v>0.75583605794746755</v>
      </c>
      <c r="D1166" s="7">
        <f t="shared" si="59"/>
        <v>0.75586047434167281</v>
      </c>
      <c r="E1166" s="7">
        <f t="shared" si="60"/>
        <v>-0.27989847758459119</v>
      </c>
    </row>
    <row r="1167" spans="1:5" x14ac:dyDescent="0.15">
      <c r="A1167" s="7">
        <v>1160</v>
      </c>
      <c r="B1167" s="7">
        <v>0</v>
      </c>
      <c r="C1167" s="7">
        <f t="shared" si="58"/>
        <v>0.75583605794746755</v>
      </c>
      <c r="D1167" s="7">
        <f t="shared" si="59"/>
        <v>0.75586047434167281</v>
      </c>
      <c r="E1167" s="7">
        <f t="shared" si="60"/>
        <v>-0.27989847758459119</v>
      </c>
    </row>
    <row r="1168" spans="1:5" x14ac:dyDescent="0.15">
      <c r="A1168" s="7">
        <v>1161</v>
      </c>
      <c r="B1168" s="7">
        <v>1</v>
      </c>
      <c r="C1168" s="7">
        <f t="shared" si="58"/>
        <v>8.8686757970141181E-2</v>
      </c>
      <c r="D1168" s="7">
        <f t="shared" si="59"/>
        <v>8.867788929434417E-2</v>
      </c>
      <c r="E1168" s="7">
        <f t="shared" si="60"/>
        <v>-2.4227446958891354</v>
      </c>
    </row>
    <row r="1169" spans="1:5" x14ac:dyDescent="0.15">
      <c r="A1169" s="7">
        <v>1162</v>
      </c>
      <c r="B1169" s="7">
        <v>1</v>
      </c>
      <c r="C1169" s="7">
        <f t="shared" si="58"/>
        <v>8.8686757970141181E-2</v>
      </c>
      <c r="D1169" s="7">
        <f t="shared" si="59"/>
        <v>8.867788929434417E-2</v>
      </c>
      <c r="E1169" s="7">
        <f t="shared" si="60"/>
        <v>-2.4227446958891354</v>
      </c>
    </row>
    <row r="1170" spans="1:5" x14ac:dyDescent="0.15">
      <c r="A1170" s="7">
        <v>1163</v>
      </c>
      <c r="B1170" s="7">
        <v>0</v>
      </c>
      <c r="C1170" s="7">
        <f t="shared" si="58"/>
        <v>0.75583605794746755</v>
      </c>
      <c r="D1170" s="7">
        <f t="shared" si="59"/>
        <v>0.75586047434167281</v>
      </c>
      <c r="E1170" s="7">
        <f t="shared" si="60"/>
        <v>-0.27989847758459119</v>
      </c>
    </row>
    <row r="1171" spans="1:5" x14ac:dyDescent="0.15">
      <c r="A1171" s="7">
        <v>1164</v>
      </c>
      <c r="B1171" s="7">
        <v>0</v>
      </c>
      <c r="C1171" s="7">
        <f t="shared" si="58"/>
        <v>0.75583605794746755</v>
      </c>
      <c r="D1171" s="7">
        <f t="shared" si="59"/>
        <v>0.75586047434167281</v>
      </c>
      <c r="E1171" s="7">
        <f t="shared" si="60"/>
        <v>-0.27989847758459119</v>
      </c>
    </row>
    <row r="1172" spans="1:5" x14ac:dyDescent="0.15">
      <c r="A1172" s="7">
        <v>1165</v>
      </c>
      <c r="B1172" s="7">
        <v>0</v>
      </c>
      <c r="C1172" s="7">
        <f t="shared" si="58"/>
        <v>0.75583605794746755</v>
      </c>
      <c r="D1172" s="7">
        <f t="shared" si="59"/>
        <v>0.75586047434167281</v>
      </c>
      <c r="E1172" s="7">
        <f t="shared" si="60"/>
        <v>-0.27989847758459119</v>
      </c>
    </row>
    <row r="1173" spans="1:5" x14ac:dyDescent="0.15">
      <c r="A1173" s="7">
        <v>1166</v>
      </c>
      <c r="B1173" s="7">
        <v>0</v>
      </c>
      <c r="C1173" s="7">
        <f t="shared" si="58"/>
        <v>0.75583605794746755</v>
      </c>
      <c r="D1173" s="7">
        <f t="shared" si="59"/>
        <v>0.75586047434167281</v>
      </c>
      <c r="E1173" s="7">
        <f t="shared" si="60"/>
        <v>-0.27989847758459119</v>
      </c>
    </row>
    <row r="1174" spans="1:5" x14ac:dyDescent="0.15">
      <c r="A1174" s="7">
        <v>1167</v>
      </c>
      <c r="B1174" s="7">
        <v>0</v>
      </c>
      <c r="C1174" s="7">
        <f t="shared" si="58"/>
        <v>0.75583605794746755</v>
      </c>
      <c r="D1174" s="7">
        <f t="shared" si="59"/>
        <v>0.75586047434167281</v>
      </c>
      <c r="E1174" s="7">
        <f t="shared" si="60"/>
        <v>-0.27989847758459119</v>
      </c>
    </row>
    <row r="1175" spans="1:5" x14ac:dyDescent="0.15">
      <c r="A1175" s="7">
        <v>1168</v>
      </c>
      <c r="B1175" s="7">
        <v>3</v>
      </c>
      <c r="C1175" s="7">
        <f t="shared" si="58"/>
        <v>2.7470963680778882E-2</v>
      </c>
      <c r="D1175" s="7">
        <f t="shared" si="59"/>
        <v>2.7468216584410805E-2</v>
      </c>
      <c r="E1175" s="7">
        <f t="shared" si="60"/>
        <v>-3.5947257032827968</v>
      </c>
    </row>
    <row r="1176" spans="1:5" x14ac:dyDescent="0.15">
      <c r="A1176" s="7">
        <v>1169</v>
      </c>
      <c r="B1176" s="7">
        <v>0</v>
      </c>
      <c r="C1176" s="7">
        <f t="shared" si="58"/>
        <v>0.75583605794746755</v>
      </c>
      <c r="D1176" s="7">
        <f t="shared" si="59"/>
        <v>0.75586047434167281</v>
      </c>
      <c r="E1176" s="7">
        <f t="shared" si="60"/>
        <v>-0.27989847758459119</v>
      </c>
    </row>
    <row r="1177" spans="1:5" x14ac:dyDescent="0.15">
      <c r="A1177" s="7">
        <v>1170</v>
      </c>
      <c r="B1177" s="7">
        <v>27</v>
      </c>
      <c r="C1177" s="7">
        <f t="shared" si="58"/>
        <v>1.7591806452543142E-4</v>
      </c>
      <c r="D1177" s="7">
        <f t="shared" si="59"/>
        <v>1.7590047271897886E-4</v>
      </c>
      <c r="E1177" s="7">
        <f t="shared" si="60"/>
        <v>-8.6455922187941354</v>
      </c>
    </row>
    <row r="1178" spans="1:5" x14ac:dyDescent="0.15">
      <c r="A1178" s="7">
        <v>1171</v>
      </c>
      <c r="B1178" s="7">
        <v>4</v>
      </c>
      <c r="C1178" s="7">
        <f t="shared" si="58"/>
        <v>1.8863004210024691E-2</v>
      </c>
      <c r="D1178" s="7">
        <f t="shared" si="59"/>
        <v>1.8861117909603688E-2</v>
      </c>
      <c r="E1178" s="7">
        <f t="shared" si="60"/>
        <v>-3.9706527294293466</v>
      </c>
    </row>
    <row r="1179" spans="1:5" x14ac:dyDescent="0.15">
      <c r="A1179" s="7">
        <v>1172</v>
      </c>
      <c r="B1179" s="7">
        <v>2</v>
      </c>
      <c r="C1179" s="7">
        <f t="shared" si="58"/>
        <v>4.4066701399555049E-2</v>
      </c>
      <c r="D1179" s="7">
        <f t="shared" si="59"/>
        <v>4.4062294729415093E-2</v>
      </c>
      <c r="E1179" s="7">
        <f t="shared" si="60"/>
        <v>-3.1221508570437044</v>
      </c>
    </row>
    <row r="1180" spans="1:5" x14ac:dyDescent="0.15">
      <c r="A1180" s="7">
        <v>1173</v>
      </c>
      <c r="B1180" s="7">
        <v>2</v>
      </c>
      <c r="C1180" s="7">
        <f t="shared" si="58"/>
        <v>4.4066701399555049E-2</v>
      </c>
      <c r="D1180" s="7">
        <f t="shared" si="59"/>
        <v>4.4062294729415093E-2</v>
      </c>
      <c r="E1180" s="7">
        <f t="shared" si="60"/>
        <v>-3.1221508570437044</v>
      </c>
    </row>
    <row r="1181" spans="1:5" x14ac:dyDescent="0.15">
      <c r="A1181" s="7">
        <v>1174</v>
      </c>
      <c r="B1181" s="7">
        <v>0</v>
      </c>
      <c r="C1181" s="7">
        <f t="shared" si="58"/>
        <v>0.75583605794746755</v>
      </c>
      <c r="D1181" s="7">
        <f t="shared" si="59"/>
        <v>0.75586047434167281</v>
      </c>
      <c r="E1181" s="7">
        <f t="shared" si="60"/>
        <v>-0.27989847758459119</v>
      </c>
    </row>
    <row r="1182" spans="1:5" x14ac:dyDescent="0.15">
      <c r="A1182" s="7">
        <v>1175</v>
      </c>
      <c r="B1182" s="7">
        <v>0</v>
      </c>
      <c r="C1182" s="7">
        <f t="shared" si="58"/>
        <v>0.75583605794746755</v>
      </c>
      <c r="D1182" s="7">
        <f t="shared" si="59"/>
        <v>0.75586047434167281</v>
      </c>
      <c r="E1182" s="7">
        <f t="shared" si="60"/>
        <v>-0.27989847758459119</v>
      </c>
    </row>
    <row r="1183" spans="1:5" x14ac:dyDescent="0.15">
      <c r="A1183" s="7">
        <v>1176</v>
      </c>
      <c r="B1183" s="7">
        <v>1</v>
      </c>
      <c r="C1183" s="7">
        <f t="shared" si="58"/>
        <v>8.8686757970141181E-2</v>
      </c>
      <c r="D1183" s="7">
        <f t="shared" si="59"/>
        <v>8.867788929434417E-2</v>
      </c>
      <c r="E1183" s="7">
        <f t="shared" si="60"/>
        <v>-2.4227446958891354</v>
      </c>
    </row>
    <row r="1184" spans="1:5" x14ac:dyDescent="0.15">
      <c r="A1184" s="7">
        <v>1177</v>
      </c>
      <c r="B1184" s="7">
        <v>0</v>
      </c>
      <c r="C1184" s="7">
        <f t="shared" si="58"/>
        <v>0.75583605794746755</v>
      </c>
      <c r="D1184" s="7">
        <f t="shared" si="59"/>
        <v>0.75586047434167281</v>
      </c>
      <c r="E1184" s="7">
        <f t="shared" si="60"/>
        <v>-0.27989847758459119</v>
      </c>
    </row>
    <row r="1185" spans="1:5" x14ac:dyDescent="0.15">
      <c r="A1185" s="7">
        <v>1178</v>
      </c>
      <c r="B1185" s="7">
        <v>0</v>
      </c>
      <c r="C1185" s="7">
        <f t="shared" si="58"/>
        <v>0.75583605794746755</v>
      </c>
      <c r="D1185" s="7">
        <f t="shared" si="59"/>
        <v>0.75586047434167281</v>
      </c>
      <c r="E1185" s="7">
        <f t="shared" si="60"/>
        <v>-0.27989847758459119</v>
      </c>
    </row>
    <row r="1186" spans="1:5" x14ac:dyDescent="0.15">
      <c r="A1186" s="7">
        <v>1179</v>
      </c>
      <c r="B1186" s="7">
        <v>0</v>
      </c>
      <c r="C1186" s="7">
        <f t="shared" si="58"/>
        <v>0.75583605794746755</v>
      </c>
      <c r="D1186" s="7">
        <f t="shared" si="59"/>
        <v>0.75586047434167281</v>
      </c>
      <c r="E1186" s="7">
        <f t="shared" si="60"/>
        <v>-0.27989847758459119</v>
      </c>
    </row>
    <row r="1187" spans="1:5" x14ac:dyDescent="0.15">
      <c r="A1187" s="7">
        <v>1180</v>
      </c>
      <c r="B1187" s="7">
        <v>0</v>
      </c>
      <c r="C1187" s="7">
        <f t="shared" si="58"/>
        <v>0.75583605794746755</v>
      </c>
      <c r="D1187" s="7">
        <f t="shared" si="59"/>
        <v>0.75586047434167281</v>
      </c>
      <c r="E1187" s="7">
        <f t="shared" si="60"/>
        <v>-0.27989847758459119</v>
      </c>
    </row>
    <row r="1188" spans="1:5" x14ac:dyDescent="0.15">
      <c r="A1188" s="7">
        <v>1181</v>
      </c>
      <c r="B1188" s="7">
        <v>0</v>
      </c>
      <c r="C1188" s="7">
        <f t="shared" si="58"/>
        <v>0.75583605794746755</v>
      </c>
      <c r="D1188" s="7">
        <f t="shared" si="59"/>
        <v>0.75586047434167281</v>
      </c>
      <c r="E1188" s="7">
        <f t="shared" si="60"/>
        <v>-0.27989847758459119</v>
      </c>
    </row>
    <row r="1189" spans="1:5" x14ac:dyDescent="0.15">
      <c r="A1189" s="7">
        <v>1182</v>
      </c>
      <c r="B1189" s="7">
        <v>0</v>
      </c>
      <c r="C1189" s="7">
        <f t="shared" si="58"/>
        <v>0.75583605794746755</v>
      </c>
      <c r="D1189" s="7">
        <f t="shared" si="59"/>
        <v>0.75586047434167281</v>
      </c>
      <c r="E1189" s="7">
        <f t="shared" si="60"/>
        <v>-0.27989847758459119</v>
      </c>
    </row>
    <row r="1190" spans="1:5" x14ac:dyDescent="0.15">
      <c r="A1190" s="7">
        <v>1183</v>
      </c>
      <c r="B1190" s="7">
        <v>0</v>
      </c>
      <c r="C1190" s="7">
        <f t="shared" si="58"/>
        <v>0.75583605794746755</v>
      </c>
      <c r="D1190" s="7">
        <f t="shared" si="59"/>
        <v>0.75586047434167281</v>
      </c>
      <c r="E1190" s="7">
        <f t="shared" si="60"/>
        <v>-0.27989847758459119</v>
      </c>
    </row>
    <row r="1191" spans="1:5" x14ac:dyDescent="0.15">
      <c r="A1191" s="7">
        <v>1184</v>
      </c>
      <c r="B1191" s="7">
        <v>0</v>
      </c>
      <c r="C1191" s="7">
        <f t="shared" si="58"/>
        <v>0.75583605794746755</v>
      </c>
      <c r="D1191" s="7">
        <f t="shared" si="59"/>
        <v>0.75586047434167281</v>
      </c>
      <c r="E1191" s="7">
        <f t="shared" si="60"/>
        <v>-0.27989847758459119</v>
      </c>
    </row>
    <row r="1192" spans="1:5" x14ac:dyDescent="0.15">
      <c r="A1192" s="7">
        <v>1185</v>
      </c>
      <c r="B1192" s="7">
        <v>0</v>
      </c>
      <c r="C1192" s="7">
        <f t="shared" si="58"/>
        <v>0.75583605794746755</v>
      </c>
      <c r="D1192" s="7">
        <f t="shared" si="59"/>
        <v>0.75586047434167281</v>
      </c>
      <c r="E1192" s="7">
        <f t="shared" si="60"/>
        <v>-0.27989847758459119</v>
      </c>
    </row>
    <row r="1193" spans="1:5" x14ac:dyDescent="0.15">
      <c r="A1193" s="7">
        <v>1186</v>
      </c>
      <c r="B1193" s="7">
        <v>0</v>
      </c>
      <c r="C1193" s="7">
        <f t="shared" si="58"/>
        <v>0.75583605794746755</v>
      </c>
      <c r="D1193" s="7">
        <f t="shared" si="59"/>
        <v>0.75586047434167281</v>
      </c>
      <c r="E1193" s="7">
        <f t="shared" si="60"/>
        <v>-0.27989847758459119</v>
      </c>
    </row>
    <row r="1194" spans="1:5" x14ac:dyDescent="0.15">
      <c r="A1194" s="7">
        <v>1187</v>
      </c>
      <c r="B1194" s="7">
        <v>0</v>
      </c>
      <c r="C1194" s="7">
        <f t="shared" si="58"/>
        <v>0.75583605794746755</v>
      </c>
      <c r="D1194" s="7">
        <f t="shared" si="59"/>
        <v>0.75586047434167281</v>
      </c>
      <c r="E1194" s="7">
        <f t="shared" si="60"/>
        <v>-0.27989847758459119</v>
      </c>
    </row>
    <row r="1195" spans="1:5" x14ac:dyDescent="0.15">
      <c r="A1195" s="7">
        <v>1188</v>
      </c>
      <c r="B1195" s="7">
        <v>1</v>
      </c>
      <c r="C1195" s="7">
        <f t="shared" si="58"/>
        <v>8.8686757970141181E-2</v>
      </c>
      <c r="D1195" s="7">
        <f t="shared" si="59"/>
        <v>8.867788929434417E-2</v>
      </c>
      <c r="E1195" s="7">
        <f t="shared" si="60"/>
        <v>-2.4227446958891354</v>
      </c>
    </row>
    <row r="1196" spans="1:5" x14ac:dyDescent="0.15">
      <c r="A1196" s="7">
        <v>1189</v>
      </c>
      <c r="B1196" s="7">
        <v>0</v>
      </c>
      <c r="C1196" s="7">
        <f t="shared" si="58"/>
        <v>0.75583605794746755</v>
      </c>
      <c r="D1196" s="7">
        <f t="shared" si="59"/>
        <v>0.75586047434167281</v>
      </c>
      <c r="E1196" s="7">
        <f t="shared" si="60"/>
        <v>-0.27989847758459119</v>
      </c>
    </row>
    <row r="1197" spans="1:5" x14ac:dyDescent="0.15">
      <c r="A1197" s="7">
        <v>1190</v>
      </c>
      <c r="B1197" s="7">
        <v>6</v>
      </c>
      <c r="C1197" s="7">
        <f t="shared" si="58"/>
        <v>1.0249964283711298E-2</v>
      </c>
      <c r="D1197" s="7">
        <f t="shared" si="59"/>
        <v>1.0248939287282927E-2</v>
      </c>
      <c r="E1197" s="7">
        <f t="shared" si="60"/>
        <v>-4.5805810629200954</v>
      </c>
    </row>
    <row r="1198" spans="1:5" x14ac:dyDescent="0.15">
      <c r="A1198" s="7">
        <v>1191</v>
      </c>
      <c r="B1198" s="7">
        <v>0</v>
      </c>
      <c r="C1198" s="7">
        <f t="shared" si="58"/>
        <v>0.75583605794746755</v>
      </c>
      <c r="D1198" s="7">
        <f t="shared" si="59"/>
        <v>0.75586047434167281</v>
      </c>
      <c r="E1198" s="7">
        <f t="shared" si="60"/>
        <v>-0.27989847758459119</v>
      </c>
    </row>
    <row r="1199" spans="1:5" x14ac:dyDescent="0.15">
      <c r="A1199" s="7">
        <v>1192</v>
      </c>
      <c r="B1199" s="7">
        <v>1</v>
      </c>
      <c r="C1199" s="7">
        <f t="shared" si="58"/>
        <v>8.8686757970141181E-2</v>
      </c>
      <c r="D1199" s="7">
        <f t="shared" si="59"/>
        <v>8.867788929434417E-2</v>
      </c>
      <c r="E1199" s="7">
        <f t="shared" si="60"/>
        <v>-2.4227446958891354</v>
      </c>
    </row>
    <row r="1200" spans="1:5" x14ac:dyDescent="0.15">
      <c r="A1200" s="7">
        <v>1193</v>
      </c>
      <c r="B1200" s="7">
        <v>0</v>
      </c>
      <c r="C1200" s="7">
        <f t="shared" si="58"/>
        <v>0.75583605794746755</v>
      </c>
      <c r="D1200" s="7">
        <f t="shared" si="59"/>
        <v>0.75586047434167281</v>
      </c>
      <c r="E1200" s="7">
        <f t="shared" si="60"/>
        <v>-0.27989847758459119</v>
      </c>
    </row>
    <row r="1201" spans="1:5" x14ac:dyDescent="0.15">
      <c r="A1201" s="7">
        <v>1194</v>
      </c>
      <c r="B1201" s="7">
        <v>0</v>
      </c>
      <c r="C1201" s="7">
        <f t="shared" si="58"/>
        <v>0.75583605794746755</v>
      </c>
      <c r="D1201" s="7">
        <f t="shared" si="59"/>
        <v>0.75586047434167281</v>
      </c>
      <c r="E1201" s="7">
        <f t="shared" si="60"/>
        <v>-0.27989847758459119</v>
      </c>
    </row>
    <row r="1202" spans="1:5" x14ac:dyDescent="0.15">
      <c r="A1202" s="7">
        <v>1195</v>
      </c>
      <c r="B1202" s="7">
        <v>0</v>
      </c>
      <c r="C1202" s="7">
        <f t="shared" si="58"/>
        <v>0.75583605794746755</v>
      </c>
      <c r="D1202" s="7">
        <f t="shared" si="59"/>
        <v>0.75586047434167281</v>
      </c>
      <c r="E1202" s="7">
        <f t="shared" si="60"/>
        <v>-0.27989847758459119</v>
      </c>
    </row>
    <row r="1203" spans="1:5" x14ac:dyDescent="0.15">
      <c r="A1203" s="7">
        <v>1196</v>
      </c>
      <c r="B1203" s="7">
        <v>0</v>
      </c>
      <c r="C1203" s="7">
        <f t="shared" si="58"/>
        <v>0.75583605794746755</v>
      </c>
      <c r="D1203" s="7">
        <f t="shared" si="59"/>
        <v>0.75586047434167281</v>
      </c>
      <c r="E1203" s="7">
        <f t="shared" si="60"/>
        <v>-0.27989847758459119</v>
      </c>
    </row>
    <row r="1204" spans="1:5" x14ac:dyDescent="0.15">
      <c r="A1204" s="7">
        <v>1197</v>
      </c>
      <c r="B1204" s="7">
        <v>0</v>
      </c>
      <c r="C1204" s="7">
        <f t="shared" si="58"/>
        <v>0.75583605794746755</v>
      </c>
      <c r="D1204" s="7">
        <f t="shared" si="59"/>
        <v>0.75586047434167281</v>
      </c>
      <c r="E1204" s="7">
        <f t="shared" si="60"/>
        <v>-0.27989847758459119</v>
      </c>
    </row>
    <row r="1205" spans="1:5" x14ac:dyDescent="0.15">
      <c r="A1205" s="7">
        <v>1198</v>
      </c>
      <c r="B1205" s="7">
        <v>0</v>
      </c>
      <c r="C1205" s="7">
        <f t="shared" si="58"/>
        <v>0.75583605794746755</v>
      </c>
      <c r="D1205" s="7">
        <f t="shared" si="59"/>
        <v>0.75586047434167281</v>
      </c>
      <c r="E1205" s="7">
        <f t="shared" si="60"/>
        <v>-0.27989847758459119</v>
      </c>
    </row>
    <row r="1206" spans="1:5" x14ac:dyDescent="0.15">
      <c r="A1206" s="7">
        <v>1199</v>
      </c>
      <c r="B1206" s="7">
        <v>1</v>
      </c>
      <c r="C1206" s="7">
        <f t="shared" si="58"/>
        <v>8.8686757970141181E-2</v>
      </c>
      <c r="D1206" s="7">
        <f t="shared" si="59"/>
        <v>8.867788929434417E-2</v>
      </c>
      <c r="E1206" s="7">
        <f t="shared" si="60"/>
        <v>-2.4227446958891354</v>
      </c>
    </row>
    <row r="1207" spans="1:5" x14ac:dyDescent="0.15">
      <c r="A1207" s="7">
        <v>1200</v>
      </c>
      <c r="B1207" s="7">
        <v>0</v>
      </c>
      <c r="C1207" s="7">
        <f t="shared" si="58"/>
        <v>0.75583605794746755</v>
      </c>
      <c r="D1207" s="7">
        <f t="shared" si="59"/>
        <v>0.75586047434167281</v>
      </c>
      <c r="E1207" s="7">
        <f t="shared" si="60"/>
        <v>-0.27989847758459119</v>
      </c>
    </row>
    <row r="1208" spans="1:5" x14ac:dyDescent="0.15">
      <c r="A1208" s="7">
        <v>1201</v>
      </c>
      <c r="B1208" s="7">
        <v>0</v>
      </c>
      <c r="C1208" s="7">
        <f t="shared" si="58"/>
        <v>0.75583605794746755</v>
      </c>
      <c r="D1208" s="7">
        <f t="shared" si="59"/>
        <v>0.75586047434167281</v>
      </c>
      <c r="E1208" s="7">
        <f t="shared" si="60"/>
        <v>-0.27989847758459119</v>
      </c>
    </row>
    <row r="1209" spans="1:5" x14ac:dyDescent="0.15">
      <c r="A1209" s="7">
        <v>1202</v>
      </c>
      <c r="B1209" s="7">
        <v>0</v>
      </c>
      <c r="C1209" s="7">
        <f t="shared" si="58"/>
        <v>0.75583605794746755</v>
      </c>
      <c r="D1209" s="7">
        <f t="shared" si="59"/>
        <v>0.75586047434167281</v>
      </c>
      <c r="E1209" s="7">
        <f t="shared" si="60"/>
        <v>-0.27989847758459119</v>
      </c>
    </row>
    <row r="1210" spans="1:5" x14ac:dyDescent="0.15">
      <c r="A1210" s="7">
        <v>1203</v>
      </c>
      <c r="B1210" s="7">
        <v>0</v>
      </c>
      <c r="C1210" s="7">
        <f t="shared" si="58"/>
        <v>0.75583605794746755</v>
      </c>
      <c r="D1210" s="7">
        <f t="shared" si="59"/>
        <v>0.75586047434167281</v>
      </c>
      <c r="E1210" s="7">
        <f t="shared" si="60"/>
        <v>-0.27989847758459119</v>
      </c>
    </row>
    <row r="1211" spans="1:5" x14ac:dyDescent="0.15">
      <c r="A1211" s="7">
        <v>1204</v>
      </c>
      <c r="B1211" s="7">
        <v>2</v>
      </c>
      <c r="C1211" s="7">
        <f t="shared" si="58"/>
        <v>4.4066701399555049E-2</v>
      </c>
      <c r="D1211" s="7">
        <f t="shared" si="59"/>
        <v>4.4062294729415093E-2</v>
      </c>
      <c r="E1211" s="7">
        <f t="shared" si="60"/>
        <v>-3.1221508570437044</v>
      </c>
    </row>
    <row r="1212" spans="1:5" x14ac:dyDescent="0.15">
      <c r="A1212" s="7">
        <v>1205</v>
      </c>
      <c r="B1212" s="7">
        <v>0</v>
      </c>
      <c r="C1212" s="7">
        <f t="shared" si="58"/>
        <v>0.75583605794746755</v>
      </c>
      <c r="D1212" s="7">
        <f t="shared" si="59"/>
        <v>0.75586047434167281</v>
      </c>
      <c r="E1212" s="7">
        <f t="shared" si="60"/>
        <v>-0.27989847758459119</v>
      </c>
    </row>
    <row r="1213" spans="1:5" x14ac:dyDescent="0.15">
      <c r="A1213" s="7">
        <v>1206</v>
      </c>
      <c r="B1213" s="7">
        <v>0</v>
      </c>
      <c r="C1213" s="7">
        <f t="shared" si="58"/>
        <v>0.75583605794746755</v>
      </c>
      <c r="D1213" s="7">
        <f t="shared" si="59"/>
        <v>0.75586047434167281</v>
      </c>
      <c r="E1213" s="7">
        <f t="shared" si="60"/>
        <v>-0.27989847758459119</v>
      </c>
    </row>
    <row r="1214" spans="1:5" x14ac:dyDescent="0.15">
      <c r="A1214" s="7">
        <v>1207</v>
      </c>
      <c r="B1214" s="7">
        <v>0</v>
      </c>
      <c r="C1214" s="7">
        <f t="shared" si="58"/>
        <v>0.75583605794746755</v>
      </c>
      <c r="D1214" s="7">
        <f t="shared" si="59"/>
        <v>0.75586047434167281</v>
      </c>
      <c r="E1214" s="7">
        <f t="shared" si="60"/>
        <v>-0.27989847758459119</v>
      </c>
    </row>
    <row r="1215" spans="1:5" x14ac:dyDescent="0.15">
      <c r="A1215" s="7">
        <v>1208</v>
      </c>
      <c r="B1215" s="7">
        <v>0</v>
      </c>
      <c r="C1215" s="7">
        <f t="shared" si="58"/>
        <v>0.75583605794746755</v>
      </c>
      <c r="D1215" s="7">
        <f t="shared" si="59"/>
        <v>0.75586047434167281</v>
      </c>
      <c r="E1215" s="7">
        <f t="shared" si="60"/>
        <v>-0.27989847758459119</v>
      </c>
    </row>
    <row r="1216" spans="1:5" x14ac:dyDescent="0.15">
      <c r="A1216" s="7">
        <v>1209</v>
      </c>
      <c r="B1216" s="7">
        <v>0</v>
      </c>
      <c r="C1216" s="7">
        <f t="shared" si="58"/>
        <v>0.75583605794746755</v>
      </c>
      <c r="D1216" s="7">
        <f t="shared" si="59"/>
        <v>0.75586047434167281</v>
      </c>
      <c r="E1216" s="7">
        <f t="shared" si="60"/>
        <v>-0.27989847758459119</v>
      </c>
    </row>
    <row r="1217" spans="1:5" x14ac:dyDescent="0.15">
      <c r="A1217" s="7">
        <v>1210</v>
      </c>
      <c r="B1217" s="7">
        <v>1</v>
      </c>
      <c r="C1217" s="7">
        <f t="shared" si="58"/>
        <v>8.8686757970141181E-2</v>
      </c>
      <c r="D1217" s="7">
        <f t="shared" si="59"/>
        <v>8.867788929434417E-2</v>
      </c>
      <c r="E1217" s="7">
        <f t="shared" si="60"/>
        <v>-2.4227446958891354</v>
      </c>
    </row>
    <row r="1218" spans="1:5" x14ac:dyDescent="0.15">
      <c r="A1218" s="7">
        <v>1211</v>
      </c>
      <c r="B1218" s="7">
        <v>1</v>
      </c>
      <c r="C1218" s="7">
        <f t="shared" si="58"/>
        <v>8.8686757970141181E-2</v>
      </c>
      <c r="D1218" s="7">
        <f t="shared" si="59"/>
        <v>8.867788929434417E-2</v>
      </c>
      <c r="E1218" s="7">
        <f t="shared" si="60"/>
        <v>-2.4227446958891354</v>
      </c>
    </row>
    <row r="1219" spans="1:5" x14ac:dyDescent="0.15">
      <c r="A1219" s="7">
        <v>1212</v>
      </c>
      <c r="B1219" s="7">
        <v>0</v>
      </c>
      <c r="C1219" s="7">
        <f t="shared" si="58"/>
        <v>0.75583605794746755</v>
      </c>
      <c r="D1219" s="7">
        <f t="shared" si="59"/>
        <v>0.75586047434167281</v>
      </c>
      <c r="E1219" s="7">
        <f t="shared" si="60"/>
        <v>-0.27989847758459119</v>
      </c>
    </row>
    <row r="1220" spans="1:5" x14ac:dyDescent="0.15">
      <c r="A1220" s="7">
        <v>1213</v>
      </c>
      <c r="B1220" s="7">
        <v>1</v>
      </c>
      <c r="C1220" s="7">
        <f t="shared" si="58"/>
        <v>8.8686757970141181E-2</v>
      </c>
      <c r="D1220" s="7">
        <f t="shared" si="59"/>
        <v>8.867788929434417E-2</v>
      </c>
      <c r="E1220" s="7">
        <f t="shared" si="60"/>
        <v>-2.4227446958891354</v>
      </c>
    </row>
    <row r="1221" spans="1:5" x14ac:dyDescent="0.15">
      <c r="A1221" s="7">
        <v>1214</v>
      </c>
      <c r="B1221" s="7">
        <v>0</v>
      </c>
      <c r="C1221" s="7">
        <f t="shared" si="58"/>
        <v>0.75583605794746755</v>
      </c>
      <c r="D1221" s="7">
        <f t="shared" si="59"/>
        <v>0.75586047434167281</v>
      </c>
      <c r="E1221" s="7">
        <f t="shared" si="60"/>
        <v>-0.27989847758459119</v>
      </c>
    </row>
    <row r="1222" spans="1:5" x14ac:dyDescent="0.15">
      <c r="A1222" s="7">
        <v>1215</v>
      </c>
      <c r="B1222" s="7">
        <v>0</v>
      </c>
      <c r="C1222" s="7">
        <f t="shared" si="58"/>
        <v>0.75583605794746755</v>
      </c>
      <c r="D1222" s="7">
        <f t="shared" si="59"/>
        <v>0.75586047434167281</v>
      </c>
      <c r="E1222" s="7">
        <f t="shared" si="60"/>
        <v>-0.27989847758459119</v>
      </c>
    </row>
    <row r="1223" spans="1:5" x14ac:dyDescent="0.15">
      <c r="A1223" s="7">
        <v>1216</v>
      </c>
      <c r="B1223" s="7">
        <v>0</v>
      </c>
      <c r="C1223" s="7">
        <f t="shared" si="58"/>
        <v>0.75583605794746755</v>
      </c>
      <c r="D1223" s="7">
        <f t="shared" si="59"/>
        <v>0.75586047434167281</v>
      </c>
      <c r="E1223" s="7">
        <f t="shared" si="60"/>
        <v>-0.27989847758459119</v>
      </c>
    </row>
    <row r="1224" spans="1:5" x14ac:dyDescent="0.15">
      <c r="A1224" s="7">
        <v>1217</v>
      </c>
      <c r="B1224" s="7">
        <v>0</v>
      </c>
      <c r="C1224" s="7">
        <f t="shared" si="58"/>
        <v>0.75583605794746755</v>
      </c>
      <c r="D1224" s="7">
        <f t="shared" si="59"/>
        <v>0.75586047434167281</v>
      </c>
      <c r="E1224" s="7">
        <f t="shared" si="60"/>
        <v>-0.27989847758459119</v>
      </c>
    </row>
    <row r="1225" spans="1:5" x14ac:dyDescent="0.15">
      <c r="A1225" s="7">
        <v>1218</v>
      </c>
      <c r="B1225" s="7">
        <v>0</v>
      </c>
      <c r="C1225" s="7">
        <f t="shared" ref="C1225:C1288" si="61">(_xlfn.GAMMA($B$1+B1225)/(_xlfn.GAMMA($B$1)*FACT(B1225))) * ($B$2/($B$2+$B$5))^$B$1 * (1/($B$2 +$B$5))^B1225</f>
        <v>0.75583605794746755</v>
      </c>
      <c r="D1225" s="7">
        <f t="shared" ref="D1225:D1288" si="62" xml:space="preserve"> IF(B1225 = 0, $B$3 + (1-$B$3) * C1225, (1-$B$3) *C1225)</f>
        <v>0.75586047434167281</v>
      </c>
      <c r="E1225" s="7">
        <f t="shared" ref="E1225:E1288" si="63">LN(D1225)</f>
        <v>-0.27989847758459119</v>
      </c>
    </row>
    <row r="1226" spans="1:5" x14ac:dyDescent="0.15">
      <c r="A1226" s="7">
        <v>1219</v>
      </c>
      <c r="B1226" s="7">
        <v>0</v>
      </c>
      <c r="C1226" s="7">
        <f t="shared" si="61"/>
        <v>0.75583605794746755</v>
      </c>
      <c r="D1226" s="7">
        <f t="shared" si="62"/>
        <v>0.75586047434167281</v>
      </c>
      <c r="E1226" s="7">
        <f t="shared" si="63"/>
        <v>-0.27989847758459119</v>
      </c>
    </row>
    <row r="1227" spans="1:5" x14ac:dyDescent="0.15">
      <c r="A1227" s="7">
        <v>1220</v>
      </c>
      <c r="B1227" s="7">
        <v>0</v>
      </c>
      <c r="C1227" s="7">
        <f t="shared" si="61"/>
        <v>0.75583605794746755</v>
      </c>
      <c r="D1227" s="7">
        <f t="shared" si="62"/>
        <v>0.75586047434167281</v>
      </c>
      <c r="E1227" s="7">
        <f t="shared" si="63"/>
        <v>-0.27989847758459119</v>
      </c>
    </row>
    <row r="1228" spans="1:5" x14ac:dyDescent="0.15">
      <c r="A1228" s="7">
        <v>1221</v>
      </c>
      <c r="B1228" s="7">
        <v>0</v>
      </c>
      <c r="C1228" s="7">
        <f t="shared" si="61"/>
        <v>0.75583605794746755</v>
      </c>
      <c r="D1228" s="7">
        <f t="shared" si="62"/>
        <v>0.75586047434167281</v>
      </c>
      <c r="E1228" s="7">
        <f t="shared" si="63"/>
        <v>-0.27989847758459119</v>
      </c>
    </row>
    <row r="1229" spans="1:5" x14ac:dyDescent="0.15">
      <c r="A1229" s="7">
        <v>1222</v>
      </c>
      <c r="B1229" s="7">
        <v>2</v>
      </c>
      <c r="C1229" s="7">
        <f t="shared" si="61"/>
        <v>4.4066701399555049E-2</v>
      </c>
      <c r="D1229" s="7">
        <f t="shared" si="62"/>
        <v>4.4062294729415093E-2</v>
      </c>
      <c r="E1229" s="7">
        <f t="shared" si="63"/>
        <v>-3.1221508570437044</v>
      </c>
    </row>
    <row r="1230" spans="1:5" x14ac:dyDescent="0.15">
      <c r="A1230" s="7">
        <v>1223</v>
      </c>
      <c r="B1230" s="7">
        <v>0</v>
      </c>
      <c r="C1230" s="7">
        <f t="shared" si="61"/>
        <v>0.75583605794746755</v>
      </c>
      <c r="D1230" s="7">
        <f t="shared" si="62"/>
        <v>0.75586047434167281</v>
      </c>
      <c r="E1230" s="7">
        <f t="shared" si="63"/>
        <v>-0.27989847758459119</v>
      </c>
    </row>
    <row r="1231" spans="1:5" x14ac:dyDescent="0.15">
      <c r="A1231" s="7">
        <v>1224</v>
      </c>
      <c r="B1231" s="7">
        <v>0</v>
      </c>
      <c r="C1231" s="7">
        <f t="shared" si="61"/>
        <v>0.75583605794746755</v>
      </c>
      <c r="D1231" s="7">
        <f t="shared" si="62"/>
        <v>0.75586047434167281</v>
      </c>
      <c r="E1231" s="7">
        <f t="shared" si="63"/>
        <v>-0.27989847758459119</v>
      </c>
    </row>
    <row r="1232" spans="1:5" x14ac:dyDescent="0.15">
      <c r="A1232" s="7">
        <v>1225</v>
      </c>
      <c r="B1232" s="7">
        <v>0</v>
      </c>
      <c r="C1232" s="7">
        <f t="shared" si="61"/>
        <v>0.75583605794746755</v>
      </c>
      <c r="D1232" s="7">
        <f t="shared" si="62"/>
        <v>0.75586047434167281</v>
      </c>
      <c r="E1232" s="7">
        <f t="shared" si="63"/>
        <v>-0.27989847758459119</v>
      </c>
    </row>
    <row r="1233" spans="1:5" x14ac:dyDescent="0.15">
      <c r="A1233" s="7">
        <v>1226</v>
      </c>
      <c r="B1233" s="7">
        <v>0</v>
      </c>
      <c r="C1233" s="7">
        <f t="shared" si="61"/>
        <v>0.75583605794746755</v>
      </c>
      <c r="D1233" s="7">
        <f t="shared" si="62"/>
        <v>0.75586047434167281</v>
      </c>
      <c r="E1233" s="7">
        <f t="shared" si="63"/>
        <v>-0.27989847758459119</v>
      </c>
    </row>
    <row r="1234" spans="1:5" x14ac:dyDescent="0.15">
      <c r="A1234" s="7">
        <v>1227</v>
      </c>
      <c r="B1234" s="7">
        <v>0</v>
      </c>
      <c r="C1234" s="7">
        <f t="shared" si="61"/>
        <v>0.75583605794746755</v>
      </c>
      <c r="D1234" s="7">
        <f t="shared" si="62"/>
        <v>0.75586047434167281</v>
      </c>
      <c r="E1234" s="7">
        <f t="shared" si="63"/>
        <v>-0.27989847758459119</v>
      </c>
    </row>
    <row r="1235" spans="1:5" x14ac:dyDescent="0.15">
      <c r="A1235" s="7">
        <v>1228</v>
      </c>
      <c r="B1235" s="7">
        <v>0</v>
      </c>
      <c r="C1235" s="7">
        <f t="shared" si="61"/>
        <v>0.75583605794746755</v>
      </c>
      <c r="D1235" s="7">
        <f t="shared" si="62"/>
        <v>0.75586047434167281</v>
      </c>
      <c r="E1235" s="7">
        <f t="shared" si="63"/>
        <v>-0.27989847758459119</v>
      </c>
    </row>
    <row r="1236" spans="1:5" x14ac:dyDescent="0.15">
      <c r="A1236" s="7">
        <v>1229</v>
      </c>
      <c r="B1236" s="7">
        <v>1</v>
      </c>
      <c r="C1236" s="7">
        <f t="shared" si="61"/>
        <v>8.8686757970141181E-2</v>
      </c>
      <c r="D1236" s="7">
        <f t="shared" si="62"/>
        <v>8.867788929434417E-2</v>
      </c>
      <c r="E1236" s="7">
        <f t="shared" si="63"/>
        <v>-2.4227446958891354</v>
      </c>
    </row>
    <row r="1237" spans="1:5" x14ac:dyDescent="0.15">
      <c r="A1237" s="7">
        <v>1230</v>
      </c>
      <c r="B1237" s="7">
        <v>16</v>
      </c>
      <c r="C1237" s="7">
        <f t="shared" si="61"/>
        <v>1.1792932174368418E-3</v>
      </c>
      <c r="D1237" s="7">
        <f t="shared" si="62"/>
        <v>1.1791752881150982E-3</v>
      </c>
      <c r="E1237" s="7">
        <f t="shared" si="63"/>
        <v>-6.7429399932319178</v>
      </c>
    </row>
    <row r="1238" spans="1:5" x14ac:dyDescent="0.15">
      <c r="A1238" s="7">
        <v>1231</v>
      </c>
      <c r="B1238" s="7">
        <v>3</v>
      </c>
      <c r="C1238" s="7">
        <f t="shared" si="61"/>
        <v>2.7470963680778882E-2</v>
      </c>
      <c r="D1238" s="7">
        <f t="shared" si="62"/>
        <v>2.7468216584410805E-2</v>
      </c>
      <c r="E1238" s="7">
        <f t="shared" si="63"/>
        <v>-3.5947257032827968</v>
      </c>
    </row>
    <row r="1239" spans="1:5" x14ac:dyDescent="0.15">
      <c r="A1239" s="7">
        <v>1232</v>
      </c>
      <c r="B1239" s="7">
        <v>0</v>
      </c>
      <c r="C1239" s="7">
        <f t="shared" si="61"/>
        <v>0.75583605794746755</v>
      </c>
      <c r="D1239" s="7">
        <f t="shared" si="62"/>
        <v>0.75586047434167281</v>
      </c>
      <c r="E1239" s="7">
        <f t="shared" si="63"/>
        <v>-0.27989847758459119</v>
      </c>
    </row>
    <row r="1240" spans="1:5" x14ac:dyDescent="0.15">
      <c r="A1240" s="7">
        <v>1233</v>
      </c>
      <c r="B1240" s="7">
        <v>0</v>
      </c>
      <c r="C1240" s="7">
        <f t="shared" si="61"/>
        <v>0.75583605794746755</v>
      </c>
      <c r="D1240" s="7">
        <f t="shared" si="62"/>
        <v>0.75586047434167281</v>
      </c>
      <c r="E1240" s="7">
        <f t="shared" si="63"/>
        <v>-0.27989847758459119</v>
      </c>
    </row>
    <row r="1241" spans="1:5" x14ac:dyDescent="0.15">
      <c r="A1241" s="7">
        <v>1234</v>
      </c>
      <c r="B1241" s="7">
        <v>0</v>
      </c>
      <c r="C1241" s="7">
        <f t="shared" si="61"/>
        <v>0.75583605794746755</v>
      </c>
      <c r="D1241" s="7">
        <f t="shared" si="62"/>
        <v>0.75586047434167281</v>
      </c>
      <c r="E1241" s="7">
        <f t="shared" si="63"/>
        <v>-0.27989847758459119</v>
      </c>
    </row>
    <row r="1242" spans="1:5" x14ac:dyDescent="0.15">
      <c r="A1242" s="7">
        <v>1235</v>
      </c>
      <c r="B1242" s="7">
        <v>9</v>
      </c>
      <c r="C1242" s="7">
        <f t="shared" si="61"/>
        <v>4.8729771313975011E-3</v>
      </c>
      <c r="D1242" s="7">
        <f t="shared" si="62"/>
        <v>4.8724898336843618E-3</v>
      </c>
      <c r="E1242" s="7">
        <f t="shared" si="63"/>
        <v>-5.324150213052798</v>
      </c>
    </row>
    <row r="1243" spans="1:5" x14ac:dyDescent="0.15">
      <c r="A1243" s="7">
        <v>1236</v>
      </c>
      <c r="B1243" s="7">
        <v>0</v>
      </c>
      <c r="C1243" s="7">
        <f t="shared" si="61"/>
        <v>0.75583605794746755</v>
      </c>
      <c r="D1243" s="7">
        <f t="shared" si="62"/>
        <v>0.75586047434167281</v>
      </c>
      <c r="E1243" s="7">
        <f t="shared" si="63"/>
        <v>-0.27989847758459119</v>
      </c>
    </row>
    <row r="1244" spans="1:5" x14ac:dyDescent="0.15">
      <c r="A1244" s="7">
        <v>1237</v>
      </c>
      <c r="B1244" s="7">
        <v>0</v>
      </c>
      <c r="C1244" s="7">
        <f t="shared" si="61"/>
        <v>0.75583605794746755</v>
      </c>
      <c r="D1244" s="7">
        <f t="shared" si="62"/>
        <v>0.75586047434167281</v>
      </c>
      <c r="E1244" s="7">
        <f t="shared" si="63"/>
        <v>-0.27989847758459119</v>
      </c>
    </row>
    <row r="1245" spans="1:5" x14ac:dyDescent="0.15">
      <c r="A1245" s="7">
        <v>1238</v>
      </c>
      <c r="B1245" s="7">
        <v>0</v>
      </c>
      <c r="C1245" s="7">
        <f t="shared" si="61"/>
        <v>0.75583605794746755</v>
      </c>
      <c r="D1245" s="7">
        <f t="shared" si="62"/>
        <v>0.75586047434167281</v>
      </c>
      <c r="E1245" s="7">
        <f t="shared" si="63"/>
        <v>-0.27989847758459119</v>
      </c>
    </row>
    <row r="1246" spans="1:5" x14ac:dyDescent="0.15">
      <c r="A1246" s="7">
        <v>1239</v>
      </c>
      <c r="B1246" s="7">
        <v>0</v>
      </c>
      <c r="C1246" s="7">
        <f t="shared" si="61"/>
        <v>0.75583605794746755</v>
      </c>
      <c r="D1246" s="7">
        <f t="shared" si="62"/>
        <v>0.75586047434167281</v>
      </c>
      <c r="E1246" s="7">
        <f t="shared" si="63"/>
        <v>-0.27989847758459119</v>
      </c>
    </row>
    <row r="1247" spans="1:5" x14ac:dyDescent="0.15">
      <c r="A1247" s="7">
        <v>1240</v>
      </c>
      <c r="B1247" s="7">
        <v>2</v>
      </c>
      <c r="C1247" s="7">
        <f t="shared" si="61"/>
        <v>4.4066701399555049E-2</v>
      </c>
      <c r="D1247" s="7">
        <f t="shared" si="62"/>
        <v>4.4062294729415093E-2</v>
      </c>
      <c r="E1247" s="7">
        <f t="shared" si="63"/>
        <v>-3.1221508570437044</v>
      </c>
    </row>
    <row r="1248" spans="1:5" x14ac:dyDescent="0.15">
      <c r="A1248" s="7">
        <v>1241</v>
      </c>
      <c r="B1248" s="7">
        <v>2</v>
      </c>
      <c r="C1248" s="7">
        <f t="shared" si="61"/>
        <v>4.4066701399555049E-2</v>
      </c>
      <c r="D1248" s="7">
        <f t="shared" si="62"/>
        <v>4.4062294729415093E-2</v>
      </c>
      <c r="E1248" s="7">
        <f t="shared" si="63"/>
        <v>-3.1221508570437044</v>
      </c>
    </row>
    <row r="1249" spans="1:5" x14ac:dyDescent="0.15">
      <c r="A1249" s="7">
        <v>1242</v>
      </c>
      <c r="B1249" s="7">
        <v>0</v>
      </c>
      <c r="C1249" s="7">
        <f t="shared" si="61"/>
        <v>0.75583605794746755</v>
      </c>
      <c r="D1249" s="7">
        <f t="shared" si="62"/>
        <v>0.75586047434167281</v>
      </c>
      <c r="E1249" s="7">
        <f t="shared" si="63"/>
        <v>-0.27989847758459119</v>
      </c>
    </row>
    <row r="1250" spans="1:5" x14ac:dyDescent="0.15">
      <c r="A1250" s="7">
        <v>1243</v>
      </c>
      <c r="B1250" s="7">
        <v>0</v>
      </c>
      <c r="C1250" s="7">
        <f t="shared" si="61"/>
        <v>0.75583605794746755</v>
      </c>
      <c r="D1250" s="7">
        <f t="shared" si="62"/>
        <v>0.75586047434167281</v>
      </c>
      <c r="E1250" s="7">
        <f t="shared" si="63"/>
        <v>-0.27989847758459119</v>
      </c>
    </row>
    <row r="1251" spans="1:5" x14ac:dyDescent="0.15">
      <c r="A1251" s="7">
        <v>1244</v>
      </c>
      <c r="B1251" s="7">
        <v>0</v>
      </c>
      <c r="C1251" s="7">
        <f t="shared" si="61"/>
        <v>0.75583605794746755</v>
      </c>
      <c r="D1251" s="7">
        <f t="shared" si="62"/>
        <v>0.75586047434167281</v>
      </c>
      <c r="E1251" s="7">
        <f t="shared" si="63"/>
        <v>-0.27989847758459119</v>
      </c>
    </row>
    <row r="1252" spans="1:5" x14ac:dyDescent="0.15">
      <c r="A1252" s="7">
        <v>1245</v>
      </c>
      <c r="B1252" s="7">
        <v>0</v>
      </c>
      <c r="C1252" s="7">
        <f t="shared" si="61"/>
        <v>0.75583605794746755</v>
      </c>
      <c r="D1252" s="7">
        <f t="shared" si="62"/>
        <v>0.75586047434167281</v>
      </c>
      <c r="E1252" s="7">
        <f t="shared" si="63"/>
        <v>-0.27989847758459119</v>
      </c>
    </row>
    <row r="1253" spans="1:5" x14ac:dyDescent="0.15">
      <c r="A1253" s="7">
        <v>1246</v>
      </c>
      <c r="B1253" s="7">
        <v>2</v>
      </c>
      <c r="C1253" s="7">
        <f t="shared" si="61"/>
        <v>4.4066701399555049E-2</v>
      </c>
      <c r="D1253" s="7">
        <f t="shared" si="62"/>
        <v>4.4062294729415093E-2</v>
      </c>
      <c r="E1253" s="7">
        <f t="shared" si="63"/>
        <v>-3.1221508570437044</v>
      </c>
    </row>
    <row r="1254" spans="1:5" x14ac:dyDescent="0.15">
      <c r="A1254" s="7">
        <v>1247</v>
      </c>
      <c r="B1254" s="7">
        <v>4</v>
      </c>
      <c r="C1254" s="7">
        <f t="shared" si="61"/>
        <v>1.8863004210024691E-2</v>
      </c>
      <c r="D1254" s="7">
        <f t="shared" si="62"/>
        <v>1.8861117909603688E-2</v>
      </c>
      <c r="E1254" s="7">
        <f t="shared" si="63"/>
        <v>-3.9706527294293466</v>
      </c>
    </row>
    <row r="1255" spans="1:5" x14ac:dyDescent="0.15">
      <c r="A1255" s="7">
        <v>1248</v>
      </c>
      <c r="B1255" s="7">
        <v>0</v>
      </c>
      <c r="C1255" s="7">
        <f t="shared" si="61"/>
        <v>0.75583605794746755</v>
      </c>
      <c r="D1255" s="7">
        <f t="shared" si="62"/>
        <v>0.75586047434167281</v>
      </c>
      <c r="E1255" s="7">
        <f t="shared" si="63"/>
        <v>-0.27989847758459119</v>
      </c>
    </row>
    <row r="1256" spans="1:5" x14ac:dyDescent="0.15">
      <c r="A1256" s="7">
        <v>1249</v>
      </c>
      <c r="B1256" s="7">
        <v>0</v>
      </c>
      <c r="C1256" s="7">
        <f t="shared" si="61"/>
        <v>0.75583605794746755</v>
      </c>
      <c r="D1256" s="7">
        <f t="shared" si="62"/>
        <v>0.75586047434167281</v>
      </c>
      <c r="E1256" s="7">
        <f t="shared" si="63"/>
        <v>-0.27989847758459119</v>
      </c>
    </row>
    <row r="1257" spans="1:5" x14ac:dyDescent="0.15">
      <c r="A1257" s="7">
        <v>1250</v>
      </c>
      <c r="B1257" s="7">
        <v>0</v>
      </c>
      <c r="C1257" s="7">
        <f t="shared" si="61"/>
        <v>0.75583605794746755</v>
      </c>
      <c r="D1257" s="7">
        <f t="shared" si="62"/>
        <v>0.75586047434167281</v>
      </c>
      <c r="E1257" s="7">
        <f t="shared" si="63"/>
        <v>-0.27989847758459119</v>
      </c>
    </row>
    <row r="1258" spans="1:5" x14ac:dyDescent="0.15">
      <c r="A1258" s="7">
        <v>1251</v>
      </c>
      <c r="B1258" s="7">
        <v>0</v>
      </c>
      <c r="C1258" s="7">
        <f t="shared" si="61"/>
        <v>0.75583605794746755</v>
      </c>
      <c r="D1258" s="7">
        <f t="shared" si="62"/>
        <v>0.75586047434167281</v>
      </c>
      <c r="E1258" s="7">
        <f t="shared" si="63"/>
        <v>-0.27989847758459119</v>
      </c>
    </row>
    <row r="1259" spans="1:5" x14ac:dyDescent="0.15">
      <c r="A1259" s="7">
        <v>1252</v>
      </c>
      <c r="B1259" s="7">
        <v>0</v>
      </c>
      <c r="C1259" s="7">
        <f t="shared" si="61"/>
        <v>0.75583605794746755</v>
      </c>
      <c r="D1259" s="7">
        <f t="shared" si="62"/>
        <v>0.75586047434167281</v>
      </c>
      <c r="E1259" s="7">
        <f t="shared" si="63"/>
        <v>-0.27989847758459119</v>
      </c>
    </row>
    <row r="1260" spans="1:5" x14ac:dyDescent="0.15">
      <c r="A1260" s="7">
        <v>1253</v>
      </c>
      <c r="B1260" s="7">
        <v>3</v>
      </c>
      <c r="C1260" s="7">
        <f t="shared" si="61"/>
        <v>2.7470963680778882E-2</v>
      </c>
      <c r="D1260" s="7">
        <f t="shared" si="62"/>
        <v>2.7468216584410805E-2</v>
      </c>
      <c r="E1260" s="7">
        <f t="shared" si="63"/>
        <v>-3.5947257032827968</v>
      </c>
    </row>
    <row r="1261" spans="1:5" x14ac:dyDescent="0.15">
      <c r="A1261" s="7">
        <v>1254</v>
      </c>
      <c r="B1261" s="7">
        <v>0</v>
      </c>
      <c r="C1261" s="7">
        <f t="shared" si="61"/>
        <v>0.75583605794746755</v>
      </c>
      <c r="D1261" s="7">
        <f t="shared" si="62"/>
        <v>0.75586047434167281</v>
      </c>
      <c r="E1261" s="7">
        <f t="shared" si="63"/>
        <v>-0.27989847758459119</v>
      </c>
    </row>
    <row r="1262" spans="1:5" x14ac:dyDescent="0.15">
      <c r="A1262" s="7">
        <v>1255</v>
      </c>
      <c r="B1262" s="7">
        <v>0</v>
      </c>
      <c r="C1262" s="7">
        <f t="shared" si="61"/>
        <v>0.75583605794746755</v>
      </c>
      <c r="D1262" s="7">
        <f t="shared" si="62"/>
        <v>0.75586047434167281</v>
      </c>
      <c r="E1262" s="7">
        <f t="shared" si="63"/>
        <v>-0.27989847758459119</v>
      </c>
    </row>
    <row r="1263" spans="1:5" x14ac:dyDescent="0.15">
      <c r="A1263" s="7">
        <v>1256</v>
      </c>
      <c r="B1263" s="7">
        <v>0</v>
      </c>
      <c r="C1263" s="7">
        <f t="shared" si="61"/>
        <v>0.75583605794746755</v>
      </c>
      <c r="D1263" s="7">
        <f t="shared" si="62"/>
        <v>0.75586047434167281</v>
      </c>
      <c r="E1263" s="7">
        <f t="shared" si="63"/>
        <v>-0.27989847758459119</v>
      </c>
    </row>
    <row r="1264" spans="1:5" x14ac:dyDescent="0.15">
      <c r="A1264" s="7">
        <v>1257</v>
      </c>
      <c r="B1264" s="7">
        <v>0</v>
      </c>
      <c r="C1264" s="7">
        <f t="shared" si="61"/>
        <v>0.75583605794746755</v>
      </c>
      <c r="D1264" s="7">
        <f t="shared" si="62"/>
        <v>0.75586047434167281</v>
      </c>
      <c r="E1264" s="7">
        <f t="shared" si="63"/>
        <v>-0.27989847758459119</v>
      </c>
    </row>
    <row r="1265" spans="1:5" x14ac:dyDescent="0.15">
      <c r="A1265" s="7">
        <v>1258</v>
      </c>
      <c r="B1265" s="7">
        <v>0</v>
      </c>
      <c r="C1265" s="7">
        <f t="shared" si="61"/>
        <v>0.75583605794746755</v>
      </c>
      <c r="D1265" s="7">
        <f t="shared" si="62"/>
        <v>0.75586047434167281</v>
      </c>
      <c r="E1265" s="7">
        <f t="shared" si="63"/>
        <v>-0.27989847758459119</v>
      </c>
    </row>
    <row r="1266" spans="1:5" x14ac:dyDescent="0.15">
      <c r="A1266" s="7">
        <v>1259</v>
      </c>
      <c r="B1266" s="7">
        <v>0</v>
      </c>
      <c r="C1266" s="7">
        <f t="shared" si="61"/>
        <v>0.75583605794746755</v>
      </c>
      <c r="D1266" s="7">
        <f t="shared" si="62"/>
        <v>0.75586047434167281</v>
      </c>
      <c r="E1266" s="7">
        <f t="shared" si="63"/>
        <v>-0.27989847758459119</v>
      </c>
    </row>
    <row r="1267" spans="1:5" x14ac:dyDescent="0.15">
      <c r="A1267" s="7">
        <v>1260</v>
      </c>
      <c r="B1267" s="7">
        <v>1</v>
      </c>
      <c r="C1267" s="7">
        <f t="shared" si="61"/>
        <v>8.8686757970141181E-2</v>
      </c>
      <c r="D1267" s="7">
        <f t="shared" si="62"/>
        <v>8.867788929434417E-2</v>
      </c>
      <c r="E1267" s="7">
        <f t="shared" si="63"/>
        <v>-2.4227446958891354</v>
      </c>
    </row>
    <row r="1268" spans="1:5" x14ac:dyDescent="0.15">
      <c r="A1268" s="7">
        <v>1261</v>
      </c>
      <c r="B1268" s="7">
        <v>0</v>
      </c>
      <c r="C1268" s="7">
        <f t="shared" si="61"/>
        <v>0.75583605794746755</v>
      </c>
      <c r="D1268" s="7">
        <f t="shared" si="62"/>
        <v>0.75586047434167281</v>
      </c>
      <c r="E1268" s="7">
        <f t="shared" si="63"/>
        <v>-0.27989847758459119</v>
      </c>
    </row>
    <row r="1269" spans="1:5" x14ac:dyDescent="0.15">
      <c r="A1269" s="7">
        <v>1262</v>
      </c>
      <c r="B1269" s="7">
        <v>0</v>
      </c>
      <c r="C1269" s="7">
        <f t="shared" si="61"/>
        <v>0.75583605794746755</v>
      </c>
      <c r="D1269" s="7">
        <f t="shared" si="62"/>
        <v>0.75586047434167281</v>
      </c>
      <c r="E1269" s="7">
        <f t="shared" si="63"/>
        <v>-0.27989847758459119</v>
      </c>
    </row>
    <row r="1270" spans="1:5" x14ac:dyDescent="0.15">
      <c r="A1270" s="7">
        <v>1263</v>
      </c>
      <c r="B1270" s="7">
        <v>0</v>
      </c>
      <c r="C1270" s="7">
        <f t="shared" si="61"/>
        <v>0.75583605794746755</v>
      </c>
      <c r="D1270" s="7">
        <f t="shared" si="62"/>
        <v>0.75586047434167281</v>
      </c>
      <c r="E1270" s="7">
        <f t="shared" si="63"/>
        <v>-0.27989847758459119</v>
      </c>
    </row>
    <row r="1271" spans="1:5" x14ac:dyDescent="0.15">
      <c r="A1271" s="7">
        <v>1264</v>
      </c>
      <c r="B1271" s="7">
        <v>2</v>
      </c>
      <c r="C1271" s="7">
        <f t="shared" si="61"/>
        <v>4.4066701399555049E-2</v>
      </c>
      <c r="D1271" s="7">
        <f t="shared" si="62"/>
        <v>4.4062294729415093E-2</v>
      </c>
      <c r="E1271" s="7">
        <f t="shared" si="63"/>
        <v>-3.1221508570437044</v>
      </c>
    </row>
    <row r="1272" spans="1:5" x14ac:dyDescent="0.15">
      <c r="A1272" s="7">
        <v>1265</v>
      </c>
      <c r="B1272" s="7">
        <v>0</v>
      </c>
      <c r="C1272" s="7">
        <f t="shared" si="61"/>
        <v>0.75583605794746755</v>
      </c>
      <c r="D1272" s="7">
        <f t="shared" si="62"/>
        <v>0.75586047434167281</v>
      </c>
      <c r="E1272" s="7">
        <f t="shared" si="63"/>
        <v>-0.27989847758459119</v>
      </c>
    </row>
    <row r="1273" spans="1:5" x14ac:dyDescent="0.15">
      <c r="A1273" s="7">
        <v>1266</v>
      </c>
      <c r="B1273" s="7">
        <v>1</v>
      </c>
      <c r="C1273" s="7">
        <f t="shared" si="61"/>
        <v>8.8686757970141181E-2</v>
      </c>
      <c r="D1273" s="7">
        <f t="shared" si="62"/>
        <v>8.867788929434417E-2</v>
      </c>
      <c r="E1273" s="7">
        <f t="shared" si="63"/>
        <v>-2.4227446958891354</v>
      </c>
    </row>
    <row r="1274" spans="1:5" x14ac:dyDescent="0.15">
      <c r="A1274" s="7">
        <v>1267</v>
      </c>
      <c r="B1274" s="7">
        <v>0</v>
      </c>
      <c r="C1274" s="7">
        <f t="shared" si="61"/>
        <v>0.75583605794746755</v>
      </c>
      <c r="D1274" s="7">
        <f t="shared" si="62"/>
        <v>0.75586047434167281</v>
      </c>
      <c r="E1274" s="7">
        <f t="shared" si="63"/>
        <v>-0.27989847758459119</v>
      </c>
    </row>
    <row r="1275" spans="1:5" x14ac:dyDescent="0.15">
      <c r="A1275" s="7">
        <v>1268</v>
      </c>
      <c r="B1275" s="7">
        <v>0</v>
      </c>
      <c r="C1275" s="7">
        <f t="shared" si="61"/>
        <v>0.75583605794746755</v>
      </c>
      <c r="D1275" s="7">
        <f t="shared" si="62"/>
        <v>0.75586047434167281</v>
      </c>
      <c r="E1275" s="7">
        <f t="shared" si="63"/>
        <v>-0.27989847758459119</v>
      </c>
    </row>
    <row r="1276" spans="1:5" x14ac:dyDescent="0.15">
      <c r="A1276" s="7">
        <v>1269</v>
      </c>
      <c r="B1276" s="7">
        <v>3</v>
      </c>
      <c r="C1276" s="7">
        <f t="shared" si="61"/>
        <v>2.7470963680778882E-2</v>
      </c>
      <c r="D1276" s="7">
        <f t="shared" si="62"/>
        <v>2.7468216584410805E-2</v>
      </c>
      <c r="E1276" s="7">
        <f t="shared" si="63"/>
        <v>-3.5947257032827968</v>
      </c>
    </row>
    <row r="1277" spans="1:5" x14ac:dyDescent="0.15">
      <c r="A1277" s="7">
        <v>1270</v>
      </c>
      <c r="B1277" s="7">
        <v>0</v>
      </c>
      <c r="C1277" s="7">
        <f t="shared" si="61"/>
        <v>0.75583605794746755</v>
      </c>
      <c r="D1277" s="7">
        <f t="shared" si="62"/>
        <v>0.75586047434167281</v>
      </c>
      <c r="E1277" s="7">
        <f t="shared" si="63"/>
        <v>-0.27989847758459119</v>
      </c>
    </row>
    <row r="1278" spans="1:5" x14ac:dyDescent="0.15">
      <c r="A1278" s="7">
        <v>1271</v>
      </c>
      <c r="B1278" s="7">
        <v>0</v>
      </c>
      <c r="C1278" s="7">
        <f t="shared" si="61"/>
        <v>0.75583605794746755</v>
      </c>
      <c r="D1278" s="7">
        <f t="shared" si="62"/>
        <v>0.75586047434167281</v>
      </c>
      <c r="E1278" s="7">
        <f t="shared" si="63"/>
        <v>-0.27989847758459119</v>
      </c>
    </row>
    <row r="1279" spans="1:5" x14ac:dyDescent="0.15">
      <c r="A1279" s="7">
        <v>1272</v>
      </c>
      <c r="B1279" s="7">
        <v>3</v>
      </c>
      <c r="C1279" s="7">
        <f t="shared" si="61"/>
        <v>2.7470963680778882E-2</v>
      </c>
      <c r="D1279" s="7">
        <f t="shared" si="62"/>
        <v>2.7468216584410805E-2</v>
      </c>
      <c r="E1279" s="7">
        <f t="shared" si="63"/>
        <v>-3.5947257032827968</v>
      </c>
    </row>
    <row r="1280" spans="1:5" x14ac:dyDescent="0.15">
      <c r="A1280" s="7">
        <v>1273</v>
      </c>
      <c r="B1280" s="7">
        <v>0</v>
      </c>
      <c r="C1280" s="7">
        <f t="shared" si="61"/>
        <v>0.75583605794746755</v>
      </c>
      <c r="D1280" s="7">
        <f t="shared" si="62"/>
        <v>0.75586047434167281</v>
      </c>
      <c r="E1280" s="7">
        <f t="shared" si="63"/>
        <v>-0.27989847758459119</v>
      </c>
    </row>
    <row r="1281" spans="1:5" x14ac:dyDescent="0.15">
      <c r="A1281" s="7">
        <v>1274</v>
      </c>
      <c r="B1281" s="7">
        <v>0</v>
      </c>
      <c r="C1281" s="7">
        <f t="shared" si="61"/>
        <v>0.75583605794746755</v>
      </c>
      <c r="D1281" s="7">
        <f t="shared" si="62"/>
        <v>0.75586047434167281</v>
      </c>
      <c r="E1281" s="7">
        <f t="shared" si="63"/>
        <v>-0.27989847758459119</v>
      </c>
    </row>
    <row r="1282" spans="1:5" x14ac:dyDescent="0.15">
      <c r="A1282" s="7">
        <v>1275</v>
      </c>
      <c r="B1282" s="7">
        <v>0</v>
      </c>
      <c r="C1282" s="7">
        <f t="shared" si="61"/>
        <v>0.75583605794746755</v>
      </c>
      <c r="D1282" s="7">
        <f t="shared" si="62"/>
        <v>0.75586047434167281</v>
      </c>
      <c r="E1282" s="7">
        <f t="shared" si="63"/>
        <v>-0.27989847758459119</v>
      </c>
    </row>
    <row r="1283" spans="1:5" x14ac:dyDescent="0.15">
      <c r="A1283" s="7">
        <v>1276</v>
      </c>
      <c r="B1283" s="7">
        <v>0</v>
      </c>
      <c r="C1283" s="7">
        <f t="shared" si="61"/>
        <v>0.75583605794746755</v>
      </c>
      <c r="D1283" s="7">
        <f t="shared" si="62"/>
        <v>0.75586047434167281</v>
      </c>
      <c r="E1283" s="7">
        <f t="shared" si="63"/>
        <v>-0.27989847758459119</v>
      </c>
    </row>
    <row r="1284" spans="1:5" x14ac:dyDescent="0.15">
      <c r="A1284" s="7">
        <v>1277</v>
      </c>
      <c r="B1284" s="7">
        <v>0</v>
      </c>
      <c r="C1284" s="7">
        <f t="shared" si="61"/>
        <v>0.75583605794746755</v>
      </c>
      <c r="D1284" s="7">
        <f t="shared" si="62"/>
        <v>0.75586047434167281</v>
      </c>
      <c r="E1284" s="7">
        <f t="shared" si="63"/>
        <v>-0.27989847758459119</v>
      </c>
    </row>
    <row r="1285" spans="1:5" x14ac:dyDescent="0.15">
      <c r="A1285" s="7">
        <v>1278</v>
      </c>
      <c r="B1285" s="7">
        <v>1</v>
      </c>
      <c r="C1285" s="7">
        <f t="shared" si="61"/>
        <v>8.8686757970141181E-2</v>
      </c>
      <c r="D1285" s="7">
        <f t="shared" si="62"/>
        <v>8.867788929434417E-2</v>
      </c>
      <c r="E1285" s="7">
        <f t="shared" si="63"/>
        <v>-2.4227446958891354</v>
      </c>
    </row>
    <row r="1286" spans="1:5" x14ac:dyDescent="0.15">
      <c r="A1286" s="7">
        <v>1279</v>
      </c>
      <c r="B1286" s="7">
        <v>0</v>
      </c>
      <c r="C1286" s="7">
        <f t="shared" si="61"/>
        <v>0.75583605794746755</v>
      </c>
      <c r="D1286" s="7">
        <f t="shared" si="62"/>
        <v>0.75586047434167281</v>
      </c>
      <c r="E1286" s="7">
        <f t="shared" si="63"/>
        <v>-0.27989847758459119</v>
      </c>
    </row>
    <row r="1287" spans="1:5" x14ac:dyDescent="0.15">
      <c r="A1287" s="7">
        <v>1280</v>
      </c>
      <c r="B1287" s="7">
        <v>6</v>
      </c>
      <c r="C1287" s="7">
        <f t="shared" si="61"/>
        <v>1.0249964283711298E-2</v>
      </c>
      <c r="D1287" s="7">
        <f t="shared" si="62"/>
        <v>1.0248939287282927E-2</v>
      </c>
      <c r="E1287" s="7">
        <f t="shared" si="63"/>
        <v>-4.5805810629200954</v>
      </c>
    </row>
    <row r="1288" spans="1:5" x14ac:dyDescent="0.15">
      <c r="A1288" s="7">
        <v>1281</v>
      </c>
      <c r="B1288" s="7">
        <v>0</v>
      </c>
      <c r="C1288" s="7">
        <f t="shared" si="61"/>
        <v>0.75583605794746755</v>
      </c>
      <c r="D1288" s="7">
        <f t="shared" si="62"/>
        <v>0.75586047434167281</v>
      </c>
      <c r="E1288" s="7">
        <f t="shared" si="63"/>
        <v>-0.27989847758459119</v>
      </c>
    </row>
    <row r="1289" spans="1:5" x14ac:dyDescent="0.15">
      <c r="A1289" s="7">
        <v>1282</v>
      </c>
      <c r="B1289" s="7">
        <v>0</v>
      </c>
      <c r="C1289" s="7">
        <f t="shared" ref="C1289:C1352" si="64">(_xlfn.GAMMA($B$1+B1289)/(_xlfn.GAMMA($B$1)*FACT(B1289))) * ($B$2/($B$2+$B$5))^$B$1 * (1/($B$2 +$B$5))^B1289</f>
        <v>0.75583605794746755</v>
      </c>
      <c r="D1289" s="7">
        <f t="shared" ref="D1289:D1352" si="65" xml:space="preserve"> IF(B1289 = 0, $B$3 + (1-$B$3) * C1289, (1-$B$3) *C1289)</f>
        <v>0.75586047434167281</v>
      </c>
      <c r="E1289" s="7">
        <f t="shared" ref="E1289:E1352" si="66">LN(D1289)</f>
        <v>-0.27989847758459119</v>
      </c>
    </row>
    <row r="1290" spans="1:5" x14ac:dyDescent="0.15">
      <c r="A1290" s="7">
        <v>1283</v>
      </c>
      <c r="B1290" s="7">
        <v>42</v>
      </c>
      <c r="C1290" s="7">
        <f t="shared" si="64"/>
        <v>1.6602307967714703E-5</v>
      </c>
      <c r="D1290" s="7">
        <f t="shared" si="65"/>
        <v>1.6600647736917932E-5</v>
      </c>
      <c r="E1290" s="7">
        <f t="shared" si="66"/>
        <v>-11.006068843066787</v>
      </c>
    </row>
    <row r="1291" spans="1:5" x14ac:dyDescent="0.15">
      <c r="A1291" s="7">
        <v>1284</v>
      </c>
      <c r="B1291" s="7">
        <v>0</v>
      </c>
      <c r="C1291" s="7">
        <f t="shared" si="64"/>
        <v>0.75583605794746755</v>
      </c>
      <c r="D1291" s="7">
        <f t="shared" si="65"/>
        <v>0.75586047434167281</v>
      </c>
      <c r="E1291" s="7">
        <f t="shared" si="66"/>
        <v>-0.27989847758459119</v>
      </c>
    </row>
    <row r="1292" spans="1:5" x14ac:dyDescent="0.15">
      <c r="A1292" s="7">
        <v>1285</v>
      </c>
      <c r="B1292" s="7">
        <v>0</v>
      </c>
      <c r="C1292" s="7">
        <f t="shared" si="64"/>
        <v>0.75583605794746755</v>
      </c>
      <c r="D1292" s="7">
        <f t="shared" si="65"/>
        <v>0.75586047434167281</v>
      </c>
      <c r="E1292" s="7">
        <f t="shared" si="66"/>
        <v>-0.27989847758459119</v>
      </c>
    </row>
    <row r="1293" spans="1:5" x14ac:dyDescent="0.15">
      <c r="A1293" s="7">
        <v>1286</v>
      </c>
      <c r="B1293" s="7">
        <v>0</v>
      </c>
      <c r="C1293" s="7">
        <f t="shared" si="64"/>
        <v>0.75583605794746755</v>
      </c>
      <c r="D1293" s="7">
        <f t="shared" si="65"/>
        <v>0.75586047434167281</v>
      </c>
      <c r="E1293" s="7">
        <f t="shared" si="66"/>
        <v>-0.27989847758459119</v>
      </c>
    </row>
    <row r="1294" spans="1:5" x14ac:dyDescent="0.15">
      <c r="A1294" s="7">
        <v>1287</v>
      </c>
      <c r="B1294" s="7">
        <v>0</v>
      </c>
      <c r="C1294" s="7">
        <f t="shared" si="64"/>
        <v>0.75583605794746755</v>
      </c>
      <c r="D1294" s="7">
        <f t="shared" si="65"/>
        <v>0.75586047434167281</v>
      </c>
      <c r="E1294" s="7">
        <f t="shared" si="66"/>
        <v>-0.27989847758459119</v>
      </c>
    </row>
    <row r="1295" spans="1:5" x14ac:dyDescent="0.15">
      <c r="A1295" s="7">
        <v>1288</v>
      </c>
      <c r="B1295" s="7">
        <v>0</v>
      </c>
      <c r="C1295" s="7">
        <f t="shared" si="64"/>
        <v>0.75583605794746755</v>
      </c>
      <c r="D1295" s="7">
        <f t="shared" si="65"/>
        <v>0.75586047434167281</v>
      </c>
      <c r="E1295" s="7">
        <f t="shared" si="66"/>
        <v>-0.27989847758459119</v>
      </c>
    </row>
    <row r="1296" spans="1:5" x14ac:dyDescent="0.15">
      <c r="A1296" s="7">
        <v>1289</v>
      </c>
      <c r="B1296" s="7">
        <v>0</v>
      </c>
      <c r="C1296" s="7">
        <f t="shared" si="64"/>
        <v>0.75583605794746755</v>
      </c>
      <c r="D1296" s="7">
        <f t="shared" si="65"/>
        <v>0.75586047434167281</v>
      </c>
      <c r="E1296" s="7">
        <f t="shared" si="66"/>
        <v>-0.27989847758459119</v>
      </c>
    </row>
    <row r="1297" spans="1:5" x14ac:dyDescent="0.15">
      <c r="A1297" s="7">
        <v>1290</v>
      </c>
      <c r="B1297" s="7">
        <v>0</v>
      </c>
      <c r="C1297" s="7">
        <f t="shared" si="64"/>
        <v>0.75583605794746755</v>
      </c>
      <c r="D1297" s="7">
        <f t="shared" si="65"/>
        <v>0.75586047434167281</v>
      </c>
      <c r="E1297" s="7">
        <f t="shared" si="66"/>
        <v>-0.27989847758459119</v>
      </c>
    </row>
    <row r="1298" spans="1:5" x14ac:dyDescent="0.15">
      <c r="A1298" s="7">
        <v>1291</v>
      </c>
      <c r="B1298" s="7">
        <v>1</v>
      </c>
      <c r="C1298" s="7">
        <f t="shared" si="64"/>
        <v>8.8686757970141181E-2</v>
      </c>
      <c r="D1298" s="7">
        <f t="shared" si="65"/>
        <v>8.867788929434417E-2</v>
      </c>
      <c r="E1298" s="7">
        <f t="shared" si="66"/>
        <v>-2.4227446958891354</v>
      </c>
    </row>
    <row r="1299" spans="1:5" x14ac:dyDescent="0.15">
      <c r="A1299" s="7">
        <v>1292</v>
      </c>
      <c r="B1299" s="7">
        <v>0</v>
      </c>
      <c r="C1299" s="7">
        <f t="shared" si="64"/>
        <v>0.75583605794746755</v>
      </c>
      <c r="D1299" s="7">
        <f t="shared" si="65"/>
        <v>0.75586047434167281</v>
      </c>
      <c r="E1299" s="7">
        <f t="shared" si="66"/>
        <v>-0.27989847758459119</v>
      </c>
    </row>
    <row r="1300" spans="1:5" x14ac:dyDescent="0.15">
      <c r="A1300" s="7">
        <v>1293</v>
      </c>
      <c r="B1300" s="7">
        <v>0</v>
      </c>
      <c r="C1300" s="7">
        <f t="shared" si="64"/>
        <v>0.75583605794746755</v>
      </c>
      <c r="D1300" s="7">
        <f t="shared" si="65"/>
        <v>0.75586047434167281</v>
      </c>
      <c r="E1300" s="7">
        <f t="shared" si="66"/>
        <v>-0.27989847758459119</v>
      </c>
    </row>
    <row r="1301" spans="1:5" x14ac:dyDescent="0.15">
      <c r="A1301" s="7">
        <v>1294</v>
      </c>
      <c r="B1301" s="7">
        <v>0</v>
      </c>
      <c r="C1301" s="7">
        <f t="shared" si="64"/>
        <v>0.75583605794746755</v>
      </c>
      <c r="D1301" s="7">
        <f t="shared" si="65"/>
        <v>0.75586047434167281</v>
      </c>
      <c r="E1301" s="7">
        <f t="shared" si="66"/>
        <v>-0.27989847758459119</v>
      </c>
    </row>
    <row r="1302" spans="1:5" x14ac:dyDescent="0.15">
      <c r="A1302" s="7">
        <v>1295</v>
      </c>
      <c r="B1302" s="7">
        <v>2</v>
      </c>
      <c r="C1302" s="7">
        <f t="shared" si="64"/>
        <v>4.4066701399555049E-2</v>
      </c>
      <c r="D1302" s="7">
        <f t="shared" si="65"/>
        <v>4.4062294729415093E-2</v>
      </c>
      <c r="E1302" s="7">
        <f t="shared" si="66"/>
        <v>-3.1221508570437044</v>
      </c>
    </row>
    <row r="1303" spans="1:5" x14ac:dyDescent="0.15">
      <c r="A1303" s="7">
        <v>1296</v>
      </c>
      <c r="B1303" s="7">
        <v>0</v>
      </c>
      <c r="C1303" s="7">
        <f t="shared" si="64"/>
        <v>0.75583605794746755</v>
      </c>
      <c r="D1303" s="7">
        <f t="shared" si="65"/>
        <v>0.75586047434167281</v>
      </c>
      <c r="E1303" s="7">
        <f t="shared" si="66"/>
        <v>-0.27989847758459119</v>
      </c>
    </row>
    <row r="1304" spans="1:5" x14ac:dyDescent="0.15">
      <c r="A1304" s="7">
        <v>1297</v>
      </c>
      <c r="B1304" s="7">
        <v>0</v>
      </c>
      <c r="C1304" s="7">
        <f t="shared" si="64"/>
        <v>0.75583605794746755</v>
      </c>
      <c r="D1304" s="7">
        <f t="shared" si="65"/>
        <v>0.75586047434167281</v>
      </c>
      <c r="E1304" s="7">
        <f t="shared" si="66"/>
        <v>-0.27989847758459119</v>
      </c>
    </row>
    <row r="1305" spans="1:5" x14ac:dyDescent="0.15">
      <c r="A1305" s="7">
        <v>1298</v>
      </c>
      <c r="B1305" s="7">
        <v>0</v>
      </c>
      <c r="C1305" s="7">
        <f t="shared" si="64"/>
        <v>0.75583605794746755</v>
      </c>
      <c r="D1305" s="7">
        <f t="shared" si="65"/>
        <v>0.75586047434167281</v>
      </c>
      <c r="E1305" s="7">
        <f t="shared" si="66"/>
        <v>-0.27989847758459119</v>
      </c>
    </row>
    <row r="1306" spans="1:5" x14ac:dyDescent="0.15">
      <c r="A1306" s="7">
        <v>1299</v>
      </c>
      <c r="B1306" s="7">
        <v>0</v>
      </c>
      <c r="C1306" s="7">
        <f t="shared" si="64"/>
        <v>0.75583605794746755</v>
      </c>
      <c r="D1306" s="7">
        <f t="shared" si="65"/>
        <v>0.75586047434167281</v>
      </c>
      <c r="E1306" s="7">
        <f t="shared" si="66"/>
        <v>-0.27989847758459119</v>
      </c>
    </row>
    <row r="1307" spans="1:5" x14ac:dyDescent="0.15">
      <c r="A1307" s="7">
        <v>1300</v>
      </c>
      <c r="B1307" s="7">
        <v>0</v>
      </c>
      <c r="C1307" s="7">
        <f t="shared" si="64"/>
        <v>0.75583605794746755</v>
      </c>
      <c r="D1307" s="7">
        <f t="shared" si="65"/>
        <v>0.75586047434167281</v>
      </c>
      <c r="E1307" s="7">
        <f t="shared" si="66"/>
        <v>-0.27989847758459119</v>
      </c>
    </row>
    <row r="1308" spans="1:5" x14ac:dyDescent="0.15">
      <c r="A1308" s="7">
        <v>1301</v>
      </c>
      <c r="B1308" s="7">
        <v>0</v>
      </c>
      <c r="C1308" s="7">
        <f t="shared" si="64"/>
        <v>0.75583605794746755</v>
      </c>
      <c r="D1308" s="7">
        <f t="shared" si="65"/>
        <v>0.75586047434167281</v>
      </c>
      <c r="E1308" s="7">
        <f t="shared" si="66"/>
        <v>-0.27989847758459119</v>
      </c>
    </row>
    <row r="1309" spans="1:5" x14ac:dyDescent="0.15">
      <c r="A1309" s="7">
        <v>1302</v>
      </c>
      <c r="B1309" s="7">
        <v>0</v>
      </c>
      <c r="C1309" s="7">
        <f t="shared" si="64"/>
        <v>0.75583605794746755</v>
      </c>
      <c r="D1309" s="7">
        <f t="shared" si="65"/>
        <v>0.75586047434167281</v>
      </c>
      <c r="E1309" s="7">
        <f t="shared" si="66"/>
        <v>-0.27989847758459119</v>
      </c>
    </row>
    <row r="1310" spans="1:5" x14ac:dyDescent="0.15">
      <c r="A1310" s="7">
        <v>1303</v>
      </c>
      <c r="B1310" s="7">
        <v>0</v>
      </c>
      <c r="C1310" s="7">
        <f t="shared" si="64"/>
        <v>0.75583605794746755</v>
      </c>
      <c r="D1310" s="7">
        <f t="shared" si="65"/>
        <v>0.75586047434167281</v>
      </c>
      <c r="E1310" s="7">
        <f t="shared" si="66"/>
        <v>-0.27989847758459119</v>
      </c>
    </row>
    <row r="1311" spans="1:5" x14ac:dyDescent="0.15">
      <c r="A1311" s="7">
        <v>1304</v>
      </c>
      <c r="B1311" s="7">
        <v>0</v>
      </c>
      <c r="C1311" s="7">
        <f t="shared" si="64"/>
        <v>0.75583605794746755</v>
      </c>
      <c r="D1311" s="7">
        <f t="shared" si="65"/>
        <v>0.75586047434167281</v>
      </c>
      <c r="E1311" s="7">
        <f t="shared" si="66"/>
        <v>-0.27989847758459119</v>
      </c>
    </row>
    <row r="1312" spans="1:5" x14ac:dyDescent="0.15">
      <c r="A1312" s="7">
        <v>1305</v>
      </c>
      <c r="B1312" s="7">
        <v>0</v>
      </c>
      <c r="C1312" s="7">
        <f t="shared" si="64"/>
        <v>0.75583605794746755</v>
      </c>
      <c r="D1312" s="7">
        <f t="shared" si="65"/>
        <v>0.75586047434167281</v>
      </c>
      <c r="E1312" s="7">
        <f t="shared" si="66"/>
        <v>-0.27989847758459119</v>
      </c>
    </row>
    <row r="1313" spans="1:5" x14ac:dyDescent="0.15">
      <c r="A1313" s="7">
        <v>1306</v>
      </c>
      <c r="B1313" s="7">
        <v>0</v>
      </c>
      <c r="C1313" s="7">
        <f t="shared" si="64"/>
        <v>0.75583605794746755</v>
      </c>
      <c r="D1313" s="7">
        <f t="shared" si="65"/>
        <v>0.75586047434167281</v>
      </c>
      <c r="E1313" s="7">
        <f t="shared" si="66"/>
        <v>-0.27989847758459119</v>
      </c>
    </row>
    <row r="1314" spans="1:5" x14ac:dyDescent="0.15">
      <c r="A1314" s="7">
        <v>1307</v>
      </c>
      <c r="B1314" s="7">
        <v>0</v>
      </c>
      <c r="C1314" s="7">
        <f t="shared" si="64"/>
        <v>0.75583605794746755</v>
      </c>
      <c r="D1314" s="7">
        <f t="shared" si="65"/>
        <v>0.75586047434167281</v>
      </c>
      <c r="E1314" s="7">
        <f t="shared" si="66"/>
        <v>-0.27989847758459119</v>
      </c>
    </row>
    <row r="1315" spans="1:5" x14ac:dyDescent="0.15">
      <c r="A1315" s="7">
        <v>1308</v>
      </c>
      <c r="B1315" s="7">
        <v>0</v>
      </c>
      <c r="C1315" s="7">
        <f t="shared" si="64"/>
        <v>0.75583605794746755</v>
      </c>
      <c r="D1315" s="7">
        <f t="shared" si="65"/>
        <v>0.75586047434167281</v>
      </c>
      <c r="E1315" s="7">
        <f t="shared" si="66"/>
        <v>-0.27989847758459119</v>
      </c>
    </row>
    <row r="1316" spans="1:5" x14ac:dyDescent="0.15">
      <c r="A1316" s="7">
        <v>1309</v>
      </c>
      <c r="B1316" s="7">
        <v>0</v>
      </c>
      <c r="C1316" s="7">
        <f t="shared" si="64"/>
        <v>0.75583605794746755</v>
      </c>
      <c r="D1316" s="7">
        <f t="shared" si="65"/>
        <v>0.75586047434167281</v>
      </c>
      <c r="E1316" s="7">
        <f t="shared" si="66"/>
        <v>-0.27989847758459119</v>
      </c>
    </row>
    <row r="1317" spans="1:5" x14ac:dyDescent="0.15">
      <c r="A1317" s="7">
        <v>1310</v>
      </c>
      <c r="B1317" s="7">
        <v>0</v>
      </c>
      <c r="C1317" s="7">
        <f t="shared" si="64"/>
        <v>0.75583605794746755</v>
      </c>
      <c r="D1317" s="7">
        <f t="shared" si="65"/>
        <v>0.75586047434167281</v>
      </c>
      <c r="E1317" s="7">
        <f t="shared" si="66"/>
        <v>-0.27989847758459119</v>
      </c>
    </row>
    <row r="1318" spans="1:5" x14ac:dyDescent="0.15">
      <c r="A1318" s="7">
        <v>1311</v>
      </c>
      <c r="B1318" s="7">
        <v>0</v>
      </c>
      <c r="C1318" s="7">
        <f t="shared" si="64"/>
        <v>0.75583605794746755</v>
      </c>
      <c r="D1318" s="7">
        <f t="shared" si="65"/>
        <v>0.75586047434167281</v>
      </c>
      <c r="E1318" s="7">
        <f t="shared" si="66"/>
        <v>-0.27989847758459119</v>
      </c>
    </row>
    <row r="1319" spans="1:5" x14ac:dyDescent="0.15">
      <c r="A1319" s="7">
        <v>1312</v>
      </c>
      <c r="B1319" s="7">
        <v>7</v>
      </c>
      <c r="C1319" s="7">
        <f t="shared" si="64"/>
        <v>7.8718020395525893E-3</v>
      </c>
      <c r="D1319" s="7">
        <f t="shared" si="65"/>
        <v>7.8710148593486347E-3</v>
      </c>
      <c r="E1319" s="7">
        <f t="shared" si="66"/>
        <v>-4.8445682719632792</v>
      </c>
    </row>
    <row r="1320" spans="1:5" x14ac:dyDescent="0.15">
      <c r="A1320" s="7">
        <v>1313</v>
      </c>
      <c r="B1320" s="7">
        <v>0</v>
      </c>
      <c r="C1320" s="7">
        <f t="shared" si="64"/>
        <v>0.75583605794746755</v>
      </c>
      <c r="D1320" s="7">
        <f t="shared" si="65"/>
        <v>0.75586047434167281</v>
      </c>
      <c r="E1320" s="7">
        <f t="shared" si="66"/>
        <v>-0.27989847758459119</v>
      </c>
    </row>
    <row r="1321" spans="1:5" x14ac:dyDescent="0.15">
      <c r="A1321" s="7">
        <v>1314</v>
      </c>
      <c r="B1321" s="7">
        <v>0</v>
      </c>
      <c r="C1321" s="7">
        <f t="shared" si="64"/>
        <v>0.75583605794746755</v>
      </c>
      <c r="D1321" s="7">
        <f t="shared" si="65"/>
        <v>0.75586047434167281</v>
      </c>
      <c r="E1321" s="7">
        <f t="shared" si="66"/>
        <v>-0.27989847758459119</v>
      </c>
    </row>
    <row r="1322" spans="1:5" x14ac:dyDescent="0.15">
      <c r="A1322" s="7">
        <v>1315</v>
      </c>
      <c r="B1322" s="7">
        <v>1</v>
      </c>
      <c r="C1322" s="7">
        <f t="shared" si="64"/>
        <v>8.8686757970141181E-2</v>
      </c>
      <c r="D1322" s="7">
        <f t="shared" si="65"/>
        <v>8.867788929434417E-2</v>
      </c>
      <c r="E1322" s="7">
        <f t="shared" si="66"/>
        <v>-2.4227446958891354</v>
      </c>
    </row>
    <row r="1323" spans="1:5" x14ac:dyDescent="0.15">
      <c r="A1323" s="7">
        <v>1316</v>
      </c>
      <c r="B1323" s="7">
        <v>0</v>
      </c>
      <c r="C1323" s="7">
        <f t="shared" si="64"/>
        <v>0.75583605794746755</v>
      </c>
      <c r="D1323" s="7">
        <f t="shared" si="65"/>
        <v>0.75586047434167281</v>
      </c>
      <c r="E1323" s="7">
        <f t="shared" si="66"/>
        <v>-0.27989847758459119</v>
      </c>
    </row>
    <row r="1324" spans="1:5" x14ac:dyDescent="0.15">
      <c r="A1324" s="7">
        <v>1317</v>
      </c>
      <c r="B1324" s="7">
        <v>0</v>
      </c>
      <c r="C1324" s="7">
        <f t="shared" si="64"/>
        <v>0.75583605794746755</v>
      </c>
      <c r="D1324" s="7">
        <f t="shared" si="65"/>
        <v>0.75586047434167281</v>
      </c>
      <c r="E1324" s="7">
        <f t="shared" si="66"/>
        <v>-0.27989847758459119</v>
      </c>
    </row>
    <row r="1325" spans="1:5" x14ac:dyDescent="0.15">
      <c r="A1325" s="7">
        <v>1318</v>
      </c>
      <c r="B1325" s="7">
        <v>0</v>
      </c>
      <c r="C1325" s="7">
        <f t="shared" si="64"/>
        <v>0.75583605794746755</v>
      </c>
      <c r="D1325" s="7">
        <f t="shared" si="65"/>
        <v>0.75586047434167281</v>
      </c>
      <c r="E1325" s="7">
        <f t="shared" si="66"/>
        <v>-0.27989847758459119</v>
      </c>
    </row>
    <row r="1326" spans="1:5" x14ac:dyDescent="0.15">
      <c r="A1326" s="7">
        <v>1319</v>
      </c>
      <c r="B1326" s="7">
        <v>0</v>
      </c>
      <c r="C1326" s="7">
        <f t="shared" si="64"/>
        <v>0.75583605794746755</v>
      </c>
      <c r="D1326" s="7">
        <f t="shared" si="65"/>
        <v>0.75586047434167281</v>
      </c>
      <c r="E1326" s="7">
        <f t="shared" si="66"/>
        <v>-0.27989847758459119</v>
      </c>
    </row>
    <row r="1327" spans="1:5" x14ac:dyDescent="0.15">
      <c r="A1327" s="7">
        <v>1320</v>
      </c>
      <c r="B1327" s="7">
        <v>2</v>
      </c>
      <c r="C1327" s="7">
        <f t="shared" si="64"/>
        <v>4.4066701399555049E-2</v>
      </c>
      <c r="D1327" s="7">
        <f t="shared" si="65"/>
        <v>4.4062294729415093E-2</v>
      </c>
      <c r="E1327" s="7">
        <f t="shared" si="66"/>
        <v>-3.1221508570437044</v>
      </c>
    </row>
    <row r="1328" spans="1:5" x14ac:dyDescent="0.15">
      <c r="A1328" s="7">
        <v>1321</v>
      </c>
      <c r="B1328" s="7">
        <v>0</v>
      </c>
      <c r="C1328" s="7">
        <f t="shared" si="64"/>
        <v>0.75583605794746755</v>
      </c>
      <c r="D1328" s="7">
        <f t="shared" si="65"/>
        <v>0.75586047434167281</v>
      </c>
      <c r="E1328" s="7">
        <f t="shared" si="66"/>
        <v>-0.27989847758459119</v>
      </c>
    </row>
    <row r="1329" spans="1:5" x14ac:dyDescent="0.15">
      <c r="A1329" s="7">
        <v>1322</v>
      </c>
      <c r="B1329" s="7">
        <v>0</v>
      </c>
      <c r="C1329" s="7">
        <f t="shared" si="64"/>
        <v>0.75583605794746755</v>
      </c>
      <c r="D1329" s="7">
        <f t="shared" si="65"/>
        <v>0.75586047434167281</v>
      </c>
      <c r="E1329" s="7">
        <f t="shared" si="66"/>
        <v>-0.27989847758459119</v>
      </c>
    </row>
    <row r="1330" spans="1:5" x14ac:dyDescent="0.15">
      <c r="A1330" s="7">
        <v>1323</v>
      </c>
      <c r="B1330" s="7">
        <v>0</v>
      </c>
      <c r="C1330" s="7">
        <f t="shared" si="64"/>
        <v>0.75583605794746755</v>
      </c>
      <c r="D1330" s="7">
        <f t="shared" si="65"/>
        <v>0.75586047434167281</v>
      </c>
      <c r="E1330" s="7">
        <f t="shared" si="66"/>
        <v>-0.27989847758459119</v>
      </c>
    </row>
    <row r="1331" spans="1:5" x14ac:dyDescent="0.15">
      <c r="A1331" s="7">
        <v>1324</v>
      </c>
      <c r="B1331" s="7">
        <v>0</v>
      </c>
      <c r="C1331" s="7">
        <f t="shared" si="64"/>
        <v>0.75583605794746755</v>
      </c>
      <c r="D1331" s="7">
        <f t="shared" si="65"/>
        <v>0.75586047434167281</v>
      </c>
      <c r="E1331" s="7">
        <f t="shared" si="66"/>
        <v>-0.27989847758459119</v>
      </c>
    </row>
    <row r="1332" spans="1:5" x14ac:dyDescent="0.15">
      <c r="A1332" s="7">
        <v>1325</v>
      </c>
      <c r="B1332" s="7">
        <v>0</v>
      </c>
      <c r="C1332" s="7">
        <f t="shared" si="64"/>
        <v>0.75583605794746755</v>
      </c>
      <c r="D1332" s="7">
        <f t="shared" si="65"/>
        <v>0.75586047434167281</v>
      </c>
      <c r="E1332" s="7">
        <f t="shared" si="66"/>
        <v>-0.27989847758459119</v>
      </c>
    </row>
    <row r="1333" spans="1:5" x14ac:dyDescent="0.15">
      <c r="A1333" s="7">
        <v>1326</v>
      </c>
      <c r="B1333" s="7">
        <v>0</v>
      </c>
      <c r="C1333" s="7">
        <f t="shared" si="64"/>
        <v>0.75583605794746755</v>
      </c>
      <c r="D1333" s="7">
        <f t="shared" si="65"/>
        <v>0.75586047434167281</v>
      </c>
      <c r="E1333" s="7">
        <f t="shared" si="66"/>
        <v>-0.27989847758459119</v>
      </c>
    </row>
    <row r="1334" spans="1:5" x14ac:dyDescent="0.15">
      <c r="A1334" s="7">
        <v>1327</v>
      </c>
      <c r="B1334" s="7">
        <v>0</v>
      </c>
      <c r="C1334" s="7">
        <f t="shared" si="64"/>
        <v>0.75583605794746755</v>
      </c>
      <c r="D1334" s="7">
        <f t="shared" si="65"/>
        <v>0.75586047434167281</v>
      </c>
      <c r="E1334" s="7">
        <f t="shared" si="66"/>
        <v>-0.27989847758459119</v>
      </c>
    </row>
    <row r="1335" spans="1:5" x14ac:dyDescent="0.15">
      <c r="A1335" s="7">
        <v>1328</v>
      </c>
      <c r="B1335" s="7">
        <v>0</v>
      </c>
      <c r="C1335" s="7">
        <f t="shared" si="64"/>
        <v>0.75583605794746755</v>
      </c>
      <c r="D1335" s="7">
        <f t="shared" si="65"/>
        <v>0.75586047434167281</v>
      </c>
      <c r="E1335" s="7">
        <f t="shared" si="66"/>
        <v>-0.27989847758459119</v>
      </c>
    </row>
    <row r="1336" spans="1:5" x14ac:dyDescent="0.15">
      <c r="A1336" s="7">
        <v>1329</v>
      </c>
      <c r="B1336" s="7">
        <v>2</v>
      </c>
      <c r="C1336" s="7">
        <f t="shared" si="64"/>
        <v>4.4066701399555049E-2</v>
      </c>
      <c r="D1336" s="7">
        <f t="shared" si="65"/>
        <v>4.4062294729415093E-2</v>
      </c>
      <c r="E1336" s="7">
        <f t="shared" si="66"/>
        <v>-3.1221508570437044</v>
      </c>
    </row>
    <row r="1337" spans="1:5" x14ac:dyDescent="0.15">
      <c r="A1337" s="7">
        <v>1330</v>
      </c>
      <c r="B1337" s="7">
        <v>0</v>
      </c>
      <c r="C1337" s="7">
        <f t="shared" si="64"/>
        <v>0.75583605794746755</v>
      </c>
      <c r="D1337" s="7">
        <f t="shared" si="65"/>
        <v>0.75586047434167281</v>
      </c>
      <c r="E1337" s="7">
        <f t="shared" si="66"/>
        <v>-0.27989847758459119</v>
      </c>
    </row>
    <row r="1338" spans="1:5" x14ac:dyDescent="0.15">
      <c r="A1338" s="7">
        <v>1331</v>
      </c>
      <c r="B1338" s="7">
        <v>1</v>
      </c>
      <c r="C1338" s="7">
        <f t="shared" si="64"/>
        <v>8.8686757970141181E-2</v>
      </c>
      <c r="D1338" s="7">
        <f t="shared" si="65"/>
        <v>8.867788929434417E-2</v>
      </c>
      <c r="E1338" s="7">
        <f t="shared" si="66"/>
        <v>-2.4227446958891354</v>
      </c>
    </row>
    <row r="1339" spans="1:5" x14ac:dyDescent="0.15">
      <c r="A1339" s="7">
        <v>1332</v>
      </c>
      <c r="B1339" s="7">
        <v>0</v>
      </c>
      <c r="C1339" s="7">
        <f t="shared" si="64"/>
        <v>0.75583605794746755</v>
      </c>
      <c r="D1339" s="7">
        <f t="shared" si="65"/>
        <v>0.75586047434167281</v>
      </c>
      <c r="E1339" s="7">
        <f t="shared" si="66"/>
        <v>-0.27989847758459119</v>
      </c>
    </row>
    <row r="1340" spans="1:5" x14ac:dyDescent="0.15">
      <c r="A1340" s="7">
        <v>1333</v>
      </c>
      <c r="B1340" s="7">
        <v>5</v>
      </c>
      <c r="C1340" s="7">
        <f t="shared" si="64"/>
        <v>1.366826244062944E-2</v>
      </c>
      <c r="D1340" s="7">
        <f t="shared" si="65"/>
        <v>1.3666895614385376E-2</v>
      </c>
      <c r="E1340" s="7">
        <f t="shared" si="66"/>
        <v>-4.2927787488141558</v>
      </c>
    </row>
    <row r="1341" spans="1:5" x14ac:dyDescent="0.15">
      <c r="A1341" s="7">
        <v>1334</v>
      </c>
      <c r="B1341" s="7">
        <v>0</v>
      </c>
      <c r="C1341" s="7">
        <f t="shared" si="64"/>
        <v>0.75583605794746755</v>
      </c>
      <c r="D1341" s="7">
        <f t="shared" si="65"/>
        <v>0.75586047434167281</v>
      </c>
      <c r="E1341" s="7">
        <f t="shared" si="66"/>
        <v>-0.27989847758459119</v>
      </c>
    </row>
    <row r="1342" spans="1:5" x14ac:dyDescent="0.15">
      <c r="A1342" s="7">
        <v>1335</v>
      </c>
      <c r="B1342" s="7">
        <v>0</v>
      </c>
      <c r="C1342" s="7">
        <f t="shared" si="64"/>
        <v>0.75583605794746755</v>
      </c>
      <c r="D1342" s="7">
        <f t="shared" si="65"/>
        <v>0.75586047434167281</v>
      </c>
      <c r="E1342" s="7">
        <f t="shared" si="66"/>
        <v>-0.27989847758459119</v>
      </c>
    </row>
    <row r="1343" spans="1:5" x14ac:dyDescent="0.15">
      <c r="A1343" s="7">
        <v>1336</v>
      </c>
      <c r="B1343" s="7">
        <v>0</v>
      </c>
      <c r="C1343" s="7">
        <f t="shared" si="64"/>
        <v>0.75583605794746755</v>
      </c>
      <c r="D1343" s="7">
        <f t="shared" si="65"/>
        <v>0.75586047434167281</v>
      </c>
      <c r="E1343" s="7">
        <f t="shared" si="66"/>
        <v>-0.27989847758459119</v>
      </c>
    </row>
    <row r="1344" spans="1:5" x14ac:dyDescent="0.15">
      <c r="A1344" s="7">
        <v>1337</v>
      </c>
      <c r="B1344" s="7">
        <v>1</v>
      </c>
      <c r="C1344" s="7">
        <f t="shared" si="64"/>
        <v>8.8686757970141181E-2</v>
      </c>
      <c r="D1344" s="7">
        <f t="shared" si="65"/>
        <v>8.867788929434417E-2</v>
      </c>
      <c r="E1344" s="7">
        <f t="shared" si="66"/>
        <v>-2.4227446958891354</v>
      </c>
    </row>
    <row r="1345" spans="1:5" x14ac:dyDescent="0.15">
      <c r="A1345" s="7">
        <v>1338</v>
      </c>
      <c r="B1345" s="7">
        <v>5</v>
      </c>
      <c r="C1345" s="7">
        <f t="shared" si="64"/>
        <v>1.366826244062944E-2</v>
      </c>
      <c r="D1345" s="7">
        <f t="shared" si="65"/>
        <v>1.3666895614385376E-2</v>
      </c>
      <c r="E1345" s="7">
        <f t="shared" si="66"/>
        <v>-4.2927787488141558</v>
      </c>
    </row>
    <row r="1346" spans="1:5" x14ac:dyDescent="0.15">
      <c r="A1346" s="7">
        <v>1339</v>
      </c>
      <c r="B1346" s="7">
        <v>1</v>
      </c>
      <c r="C1346" s="7">
        <f t="shared" si="64"/>
        <v>8.8686757970141181E-2</v>
      </c>
      <c r="D1346" s="7">
        <f t="shared" si="65"/>
        <v>8.867788929434417E-2</v>
      </c>
      <c r="E1346" s="7">
        <f t="shared" si="66"/>
        <v>-2.4227446958891354</v>
      </c>
    </row>
    <row r="1347" spans="1:5" x14ac:dyDescent="0.15">
      <c r="A1347" s="7">
        <v>1340</v>
      </c>
      <c r="B1347" s="7">
        <v>0</v>
      </c>
      <c r="C1347" s="7">
        <f t="shared" si="64"/>
        <v>0.75583605794746755</v>
      </c>
      <c r="D1347" s="7">
        <f t="shared" si="65"/>
        <v>0.75586047434167281</v>
      </c>
      <c r="E1347" s="7">
        <f t="shared" si="66"/>
        <v>-0.27989847758459119</v>
      </c>
    </row>
    <row r="1348" spans="1:5" x14ac:dyDescent="0.15">
      <c r="A1348" s="7">
        <v>1341</v>
      </c>
      <c r="B1348" s="7">
        <v>0</v>
      </c>
      <c r="C1348" s="7">
        <f t="shared" si="64"/>
        <v>0.75583605794746755</v>
      </c>
      <c r="D1348" s="7">
        <f t="shared" si="65"/>
        <v>0.75586047434167281</v>
      </c>
      <c r="E1348" s="7">
        <f t="shared" si="66"/>
        <v>-0.27989847758459119</v>
      </c>
    </row>
    <row r="1349" spans="1:5" x14ac:dyDescent="0.15">
      <c r="A1349" s="7">
        <v>1342</v>
      </c>
      <c r="B1349" s="7">
        <v>0</v>
      </c>
      <c r="C1349" s="7">
        <f t="shared" si="64"/>
        <v>0.75583605794746755</v>
      </c>
      <c r="D1349" s="7">
        <f t="shared" si="65"/>
        <v>0.75586047434167281</v>
      </c>
      <c r="E1349" s="7">
        <f t="shared" si="66"/>
        <v>-0.27989847758459119</v>
      </c>
    </row>
    <row r="1350" spans="1:5" x14ac:dyDescent="0.15">
      <c r="A1350" s="7">
        <v>1343</v>
      </c>
      <c r="B1350" s="7">
        <v>2</v>
      </c>
      <c r="C1350" s="7">
        <f t="shared" si="64"/>
        <v>4.4066701399555049E-2</v>
      </c>
      <c r="D1350" s="7">
        <f t="shared" si="65"/>
        <v>4.4062294729415093E-2</v>
      </c>
      <c r="E1350" s="7">
        <f t="shared" si="66"/>
        <v>-3.1221508570437044</v>
      </c>
    </row>
    <row r="1351" spans="1:5" x14ac:dyDescent="0.15">
      <c r="A1351" s="7">
        <v>1344</v>
      </c>
      <c r="B1351" s="7">
        <v>0</v>
      </c>
      <c r="C1351" s="7">
        <f t="shared" si="64"/>
        <v>0.75583605794746755</v>
      </c>
      <c r="D1351" s="7">
        <f t="shared" si="65"/>
        <v>0.75586047434167281</v>
      </c>
      <c r="E1351" s="7">
        <f t="shared" si="66"/>
        <v>-0.27989847758459119</v>
      </c>
    </row>
    <row r="1352" spans="1:5" x14ac:dyDescent="0.15">
      <c r="A1352" s="7">
        <v>1345</v>
      </c>
      <c r="B1352" s="7">
        <v>0</v>
      </c>
      <c r="C1352" s="7">
        <f t="shared" si="64"/>
        <v>0.75583605794746755</v>
      </c>
      <c r="D1352" s="7">
        <f t="shared" si="65"/>
        <v>0.75586047434167281</v>
      </c>
      <c r="E1352" s="7">
        <f t="shared" si="66"/>
        <v>-0.27989847758459119</v>
      </c>
    </row>
    <row r="1353" spans="1:5" x14ac:dyDescent="0.15">
      <c r="A1353" s="7">
        <v>1346</v>
      </c>
      <c r="B1353" s="7">
        <v>0</v>
      </c>
      <c r="C1353" s="7">
        <f t="shared" ref="C1353:C1416" si="67">(_xlfn.GAMMA($B$1+B1353)/(_xlfn.GAMMA($B$1)*FACT(B1353))) * ($B$2/($B$2+$B$5))^$B$1 * (1/($B$2 +$B$5))^B1353</f>
        <v>0.75583605794746755</v>
      </c>
      <c r="D1353" s="7">
        <f t="shared" ref="D1353:D1416" si="68" xml:space="preserve"> IF(B1353 = 0, $B$3 + (1-$B$3) * C1353, (1-$B$3) *C1353)</f>
        <v>0.75586047434167281</v>
      </c>
      <c r="E1353" s="7">
        <f t="shared" ref="E1353:E1416" si="69">LN(D1353)</f>
        <v>-0.27989847758459119</v>
      </c>
    </row>
    <row r="1354" spans="1:5" x14ac:dyDescent="0.15">
      <c r="A1354" s="7">
        <v>1347</v>
      </c>
      <c r="B1354" s="7">
        <v>8</v>
      </c>
      <c r="C1354" s="7">
        <f t="shared" si="67"/>
        <v>6.1521164907488192E-3</v>
      </c>
      <c r="D1354" s="7">
        <f t="shared" si="68"/>
        <v>6.1515012790997444E-3</v>
      </c>
      <c r="E1354" s="7">
        <f t="shared" si="69"/>
        <v>-5.0910591165310892</v>
      </c>
    </row>
    <row r="1355" spans="1:5" x14ac:dyDescent="0.15">
      <c r="A1355" s="7">
        <v>1348</v>
      </c>
      <c r="B1355" s="7">
        <v>0</v>
      </c>
      <c r="C1355" s="7">
        <f t="shared" si="67"/>
        <v>0.75583605794746755</v>
      </c>
      <c r="D1355" s="7">
        <f t="shared" si="68"/>
        <v>0.75586047434167281</v>
      </c>
      <c r="E1355" s="7">
        <f t="shared" si="69"/>
        <v>-0.27989847758459119</v>
      </c>
    </row>
    <row r="1356" spans="1:5" x14ac:dyDescent="0.15">
      <c r="A1356" s="7">
        <v>1349</v>
      </c>
      <c r="B1356" s="7">
        <v>0</v>
      </c>
      <c r="C1356" s="7">
        <f t="shared" si="67"/>
        <v>0.75583605794746755</v>
      </c>
      <c r="D1356" s="7">
        <f t="shared" si="68"/>
        <v>0.75586047434167281</v>
      </c>
      <c r="E1356" s="7">
        <f t="shared" si="69"/>
        <v>-0.27989847758459119</v>
      </c>
    </row>
    <row r="1357" spans="1:5" x14ac:dyDescent="0.15">
      <c r="A1357" s="7">
        <v>1350</v>
      </c>
      <c r="B1357" s="7">
        <v>7</v>
      </c>
      <c r="C1357" s="7">
        <f t="shared" si="67"/>
        <v>7.8718020395525893E-3</v>
      </c>
      <c r="D1357" s="7">
        <f t="shared" si="68"/>
        <v>7.8710148593486347E-3</v>
      </c>
      <c r="E1357" s="7">
        <f t="shared" si="69"/>
        <v>-4.8445682719632792</v>
      </c>
    </row>
    <row r="1358" spans="1:5" x14ac:dyDescent="0.15">
      <c r="A1358" s="7">
        <v>1351</v>
      </c>
      <c r="B1358" s="7">
        <v>0</v>
      </c>
      <c r="C1358" s="7">
        <f t="shared" si="67"/>
        <v>0.75583605794746755</v>
      </c>
      <c r="D1358" s="7">
        <f t="shared" si="68"/>
        <v>0.75586047434167281</v>
      </c>
      <c r="E1358" s="7">
        <f t="shared" si="69"/>
        <v>-0.27989847758459119</v>
      </c>
    </row>
    <row r="1359" spans="1:5" x14ac:dyDescent="0.15">
      <c r="A1359" s="7">
        <v>1352</v>
      </c>
      <c r="B1359" s="7">
        <v>0</v>
      </c>
      <c r="C1359" s="7">
        <f t="shared" si="67"/>
        <v>0.75583605794746755</v>
      </c>
      <c r="D1359" s="7">
        <f t="shared" si="68"/>
        <v>0.75586047434167281</v>
      </c>
      <c r="E1359" s="7">
        <f t="shared" si="69"/>
        <v>-0.27989847758459119</v>
      </c>
    </row>
    <row r="1360" spans="1:5" x14ac:dyDescent="0.15">
      <c r="A1360" s="7">
        <v>1353</v>
      </c>
      <c r="B1360" s="7">
        <v>0</v>
      </c>
      <c r="C1360" s="7">
        <f t="shared" si="67"/>
        <v>0.75583605794746755</v>
      </c>
      <c r="D1360" s="7">
        <f t="shared" si="68"/>
        <v>0.75586047434167281</v>
      </c>
      <c r="E1360" s="7">
        <f t="shared" si="69"/>
        <v>-0.27989847758459119</v>
      </c>
    </row>
    <row r="1361" spans="1:5" x14ac:dyDescent="0.15">
      <c r="A1361" s="7">
        <v>1354</v>
      </c>
      <c r="B1361" s="7">
        <v>0</v>
      </c>
      <c r="C1361" s="7">
        <f t="shared" si="67"/>
        <v>0.75583605794746755</v>
      </c>
      <c r="D1361" s="7">
        <f t="shared" si="68"/>
        <v>0.75586047434167281</v>
      </c>
      <c r="E1361" s="7">
        <f t="shared" si="69"/>
        <v>-0.27989847758459119</v>
      </c>
    </row>
    <row r="1362" spans="1:5" x14ac:dyDescent="0.15">
      <c r="A1362" s="7">
        <v>1355</v>
      </c>
      <c r="B1362" s="7">
        <v>0</v>
      </c>
      <c r="C1362" s="7">
        <f t="shared" si="67"/>
        <v>0.75583605794746755</v>
      </c>
      <c r="D1362" s="7">
        <f t="shared" si="68"/>
        <v>0.75586047434167281</v>
      </c>
      <c r="E1362" s="7">
        <f t="shared" si="69"/>
        <v>-0.27989847758459119</v>
      </c>
    </row>
    <row r="1363" spans="1:5" x14ac:dyDescent="0.15">
      <c r="A1363" s="7">
        <v>1356</v>
      </c>
      <c r="B1363" s="7">
        <v>0</v>
      </c>
      <c r="C1363" s="7">
        <f t="shared" si="67"/>
        <v>0.75583605794746755</v>
      </c>
      <c r="D1363" s="7">
        <f t="shared" si="68"/>
        <v>0.75586047434167281</v>
      </c>
      <c r="E1363" s="7">
        <f t="shared" si="69"/>
        <v>-0.27989847758459119</v>
      </c>
    </row>
    <row r="1364" spans="1:5" x14ac:dyDescent="0.15">
      <c r="A1364" s="7">
        <v>1357</v>
      </c>
      <c r="B1364" s="7">
        <v>0</v>
      </c>
      <c r="C1364" s="7">
        <f t="shared" si="67"/>
        <v>0.75583605794746755</v>
      </c>
      <c r="D1364" s="7">
        <f t="shared" si="68"/>
        <v>0.75586047434167281</v>
      </c>
      <c r="E1364" s="7">
        <f t="shared" si="69"/>
        <v>-0.27989847758459119</v>
      </c>
    </row>
    <row r="1365" spans="1:5" x14ac:dyDescent="0.15">
      <c r="A1365" s="7">
        <v>1358</v>
      </c>
      <c r="B1365" s="7">
        <v>0</v>
      </c>
      <c r="C1365" s="7">
        <f t="shared" si="67"/>
        <v>0.75583605794746755</v>
      </c>
      <c r="D1365" s="7">
        <f t="shared" si="68"/>
        <v>0.75586047434167281</v>
      </c>
      <c r="E1365" s="7">
        <f t="shared" si="69"/>
        <v>-0.27989847758459119</v>
      </c>
    </row>
    <row r="1366" spans="1:5" x14ac:dyDescent="0.15">
      <c r="A1366" s="7">
        <v>1359</v>
      </c>
      <c r="B1366" s="7">
        <v>0</v>
      </c>
      <c r="C1366" s="7">
        <f t="shared" si="67"/>
        <v>0.75583605794746755</v>
      </c>
      <c r="D1366" s="7">
        <f t="shared" si="68"/>
        <v>0.75586047434167281</v>
      </c>
      <c r="E1366" s="7">
        <f t="shared" si="69"/>
        <v>-0.27989847758459119</v>
      </c>
    </row>
    <row r="1367" spans="1:5" x14ac:dyDescent="0.15">
      <c r="A1367" s="7">
        <v>1360</v>
      </c>
      <c r="B1367" s="7">
        <v>0</v>
      </c>
      <c r="C1367" s="7">
        <f t="shared" si="67"/>
        <v>0.75583605794746755</v>
      </c>
      <c r="D1367" s="7">
        <f t="shared" si="68"/>
        <v>0.75586047434167281</v>
      </c>
      <c r="E1367" s="7">
        <f t="shared" si="69"/>
        <v>-0.27989847758459119</v>
      </c>
    </row>
    <row r="1368" spans="1:5" x14ac:dyDescent="0.15">
      <c r="A1368" s="7">
        <v>1361</v>
      </c>
      <c r="B1368" s="7">
        <v>0</v>
      </c>
      <c r="C1368" s="7">
        <f t="shared" si="67"/>
        <v>0.75583605794746755</v>
      </c>
      <c r="D1368" s="7">
        <f t="shared" si="68"/>
        <v>0.75586047434167281</v>
      </c>
      <c r="E1368" s="7">
        <f t="shared" si="69"/>
        <v>-0.27989847758459119</v>
      </c>
    </row>
    <row r="1369" spans="1:5" x14ac:dyDescent="0.15">
      <c r="A1369" s="7">
        <v>1362</v>
      </c>
      <c r="B1369" s="7">
        <v>0</v>
      </c>
      <c r="C1369" s="7">
        <f t="shared" si="67"/>
        <v>0.75583605794746755</v>
      </c>
      <c r="D1369" s="7">
        <f t="shared" si="68"/>
        <v>0.75586047434167281</v>
      </c>
      <c r="E1369" s="7">
        <f t="shared" si="69"/>
        <v>-0.27989847758459119</v>
      </c>
    </row>
    <row r="1370" spans="1:5" x14ac:dyDescent="0.15">
      <c r="A1370" s="7">
        <v>1363</v>
      </c>
      <c r="B1370" s="7">
        <v>36</v>
      </c>
      <c r="C1370" s="7">
        <f t="shared" si="67"/>
        <v>4.1856654866893243E-5</v>
      </c>
      <c r="D1370" s="7">
        <f t="shared" si="68"/>
        <v>4.1852469201406554E-5</v>
      </c>
      <c r="E1370" s="7">
        <f t="shared" si="69"/>
        <v>-10.081359761540941</v>
      </c>
    </row>
    <row r="1371" spans="1:5" x14ac:dyDescent="0.15">
      <c r="A1371" s="7">
        <v>1364</v>
      </c>
      <c r="B1371" s="7">
        <v>11</v>
      </c>
      <c r="C1371" s="7">
        <f t="shared" si="67"/>
        <v>3.1496470211733337E-3</v>
      </c>
      <c r="D1371" s="7">
        <f t="shared" si="68"/>
        <v>3.1493320564712165E-3</v>
      </c>
      <c r="E1371" s="7">
        <f t="shared" si="69"/>
        <v>-5.7605648941941281</v>
      </c>
    </row>
    <row r="1372" spans="1:5" x14ac:dyDescent="0.15">
      <c r="A1372" s="7">
        <v>1365</v>
      </c>
      <c r="B1372" s="7">
        <v>0</v>
      </c>
      <c r="C1372" s="7">
        <f t="shared" si="67"/>
        <v>0.75583605794746755</v>
      </c>
      <c r="D1372" s="7">
        <f t="shared" si="68"/>
        <v>0.75586047434167281</v>
      </c>
      <c r="E1372" s="7">
        <f t="shared" si="69"/>
        <v>-0.27989847758459119</v>
      </c>
    </row>
    <row r="1373" spans="1:5" x14ac:dyDescent="0.15">
      <c r="A1373" s="7">
        <v>1366</v>
      </c>
      <c r="B1373" s="7">
        <v>1</v>
      </c>
      <c r="C1373" s="7">
        <f t="shared" si="67"/>
        <v>8.8686757970141181E-2</v>
      </c>
      <c r="D1373" s="7">
        <f t="shared" si="68"/>
        <v>8.867788929434417E-2</v>
      </c>
      <c r="E1373" s="7">
        <f t="shared" si="69"/>
        <v>-2.4227446958891354</v>
      </c>
    </row>
    <row r="1374" spans="1:5" x14ac:dyDescent="0.15">
      <c r="A1374" s="7">
        <v>1367</v>
      </c>
      <c r="B1374" s="7">
        <v>0</v>
      </c>
      <c r="C1374" s="7">
        <f t="shared" si="67"/>
        <v>0.75583605794746755</v>
      </c>
      <c r="D1374" s="7">
        <f t="shared" si="68"/>
        <v>0.75586047434167281</v>
      </c>
      <c r="E1374" s="7">
        <f t="shared" si="69"/>
        <v>-0.27989847758459119</v>
      </c>
    </row>
    <row r="1375" spans="1:5" x14ac:dyDescent="0.15">
      <c r="A1375" s="7">
        <v>1368</v>
      </c>
      <c r="B1375" s="7">
        <v>1</v>
      </c>
      <c r="C1375" s="7">
        <f t="shared" si="67"/>
        <v>8.8686757970141181E-2</v>
      </c>
      <c r="D1375" s="7">
        <f t="shared" si="68"/>
        <v>8.867788929434417E-2</v>
      </c>
      <c r="E1375" s="7">
        <f t="shared" si="69"/>
        <v>-2.4227446958891354</v>
      </c>
    </row>
    <row r="1376" spans="1:5" x14ac:dyDescent="0.15">
      <c r="A1376" s="7">
        <v>1369</v>
      </c>
      <c r="B1376" s="7">
        <v>0</v>
      </c>
      <c r="C1376" s="7">
        <f t="shared" si="67"/>
        <v>0.75583605794746755</v>
      </c>
      <c r="D1376" s="7">
        <f t="shared" si="68"/>
        <v>0.75586047434167281</v>
      </c>
      <c r="E1376" s="7">
        <f t="shared" si="69"/>
        <v>-0.27989847758459119</v>
      </c>
    </row>
    <row r="1377" spans="1:5" x14ac:dyDescent="0.15">
      <c r="A1377" s="7">
        <v>1370</v>
      </c>
      <c r="B1377" s="7">
        <v>0</v>
      </c>
      <c r="C1377" s="7">
        <f t="shared" si="67"/>
        <v>0.75583605794746755</v>
      </c>
      <c r="D1377" s="7">
        <f t="shared" si="68"/>
        <v>0.75586047434167281</v>
      </c>
      <c r="E1377" s="7">
        <f t="shared" si="69"/>
        <v>-0.27989847758459119</v>
      </c>
    </row>
    <row r="1378" spans="1:5" x14ac:dyDescent="0.15">
      <c r="A1378" s="7">
        <v>1371</v>
      </c>
      <c r="B1378" s="7">
        <v>0</v>
      </c>
      <c r="C1378" s="7">
        <f t="shared" si="67"/>
        <v>0.75583605794746755</v>
      </c>
      <c r="D1378" s="7">
        <f t="shared" si="68"/>
        <v>0.75586047434167281</v>
      </c>
      <c r="E1378" s="7">
        <f t="shared" si="69"/>
        <v>-0.27989847758459119</v>
      </c>
    </row>
    <row r="1379" spans="1:5" x14ac:dyDescent="0.15">
      <c r="A1379" s="7">
        <v>1372</v>
      </c>
      <c r="B1379" s="7">
        <v>0</v>
      </c>
      <c r="C1379" s="7">
        <f t="shared" si="67"/>
        <v>0.75583605794746755</v>
      </c>
      <c r="D1379" s="7">
        <f t="shared" si="68"/>
        <v>0.75586047434167281</v>
      </c>
      <c r="E1379" s="7">
        <f t="shared" si="69"/>
        <v>-0.27989847758459119</v>
      </c>
    </row>
    <row r="1380" spans="1:5" x14ac:dyDescent="0.15">
      <c r="A1380" s="7">
        <v>1373</v>
      </c>
      <c r="B1380" s="7">
        <v>1</v>
      </c>
      <c r="C1380" s="7">
        <f t="shared" si="67"/>
        <v>8.8686757970141181E-2</v>
      </c>
      <c r="D1380" s="7">
        <f t="shared" si="68"/>
        <v>8.867788929434417E-2</v>
      </c>
      <c r="E1380" s="7">
        <f t="shared" si="69"/>
        <v>-2.4227446958891354</v>
      </c>
    </row>
    <row r="1381" spans="1:5" x14ac:dyDescent="0.15">
      <c r="A1381" s="7">
        <v>1374</v>
      </c>
      <c r="B1381" s="7">
        <v>1</v>
      </c>
      <c r="C1381" s="7">
        <f t="shared" si="67"/>
        <v>8.8686757970141181E-2</v>
      </c>
      <c r="D1381" s="7">
        <f t="shared" si="68"/>
        <v>8.867788929434417E-2</v>
      </c>
      <c r="E1381" s="7">
        <f t="shared" si="69"/>
        <v>-2.4227446958891354</v>
      </c>
    </row>
    <row r="1382" spans="1:5" x14ac:dyDescent="0.15">
      <c r="A1382" s="7">
        <v>1375</v>
      </c>
      <c r="B1382" s="7">
        <v>2</v>
      </c>
      <c r="C1382" s="7">
        <f t="shared" si="67"/>
        <v>4.4066701399555049E-2</v>
      </c>
      <c r="D1382" s="7">
        <f t="shared" si="68"/>
        <v>4.4062294729415093E-2</v>
      </c>
      <c r="E1382" s="7">
        <f t="shared" si="69"/>
        <v>-3.1221508570437044</v>
      </c>
    </row>
    <row r="1383" spans="1:5" x14ac:dyDescent="0.15">
      <c r="A1383" s="7">
        <v>1376</v>
      </c>
      <c r="B1383" s="7">
        <v>0</v>
      </c>
      <c r="C1383" s="7">
        <f t="shared" si="67"/>
        <v>0.75583605794746755</v>
      </c>
      <c r="D1383" s="7">
        <f t="shared" si="68"/>
        <v>0.75586047434167281</v>
      </c>
      <c r="E1383" s="7">
        <f t="shared" si="69"/>
        <v>-0.27989847758459119</v>
      </c>
    </row>
    <row r="1384" spans="1:5" x14ac:dyDescent="0.15">
      <c r="A1384" s="7">
        <v>1377</v>
      </c>
      <c r="B1384" s="7">
        <v>0</v>
      </c>
      <c r="C1384" s="7">
        <f t="shared" si="67"/>
        <v>0.75583605794746755</v>
      </c>
      <c r="D1384" s="7">
        <f t="shared" si="68"/>
        <v>0.75586047434167281</v>
      </c>
      <c r="E1384" s="7">
        <f t="shared" si="69"/>
        <v>-0.27989847758459119</v>
      </c>
    </row>
    <row r="1385" spans="1:5" x14ac:dyDescent="0.15">
      <c r="A1385" s="7">
        <v>1378</v>
      </c>
      <c r="B1385" s="7">
        <v>0</v>
      </c>
      <c r="C1385" s="7">
        <f t="shared" si="67"/>
        <v>0.75583605794746755</v>
      </c>
      <c r="D1385" s="7">
        <f t="shared" si="68"/>
        <v>0.75586047434167281</v>
      </c>
      <c r="E1385" s="7">
        <f t="shared" si="69"/>
        <v>-0.27989847758459119</v>
      </c>
    </row>
    <row r="1386" spans="1:5" x14ac:dyDescent="0.15">
      <c r="A1386" s="7">
        <v>1379</v>
      </c>
      <c r="B1386" s="7">
        <v>0</v>
      </c>
      <c r="C1386" s="7">
        <f t="shared" si="67"/>
        <v>0.75583605794746755</v>
      </c>
      <c r="D1386" s="7">
        <f t="shared" si="68"/>
        <v>0.75586047434167281</v>
      </c>
      <c r="E1386" s="7">
        <f t="shared" si="69"/>
        <v>-0.27989847758459119</v>
      </c>
    </row>
    <row r="1387" spans="1:5" x14ac:dyDescent="0.15">
      <c r="A1387" s="7">
        <v>1380</v>
      </c>
      <c r="B1387" s="7">
        <v>0</v>
      </c>
      <c r="C1387" s="7">
        <f t="shared" si="67"/>
        <v>0.75583605794746755</v>
      </c>
      <c r="D1387" s="7">
        <f t="shared" si="68"/>
        <v>0.75586047434167281</v>
      </c>
      <c r="E1387" s="7">
        <f t="shared" si="69"/>
        <v>-0.27989847758459119</v>
      </c>
    </row>
    <row r="1388" spans="1:5" x14ac:dyDescent="0.15">
      <c r="A1388" s="7">
        <v>1381</v>
      </c>
      <c r="B1388" s="7">
        <v>0</v>
      </c>
      <c r="C1388" s="7">
        <f t="shared" si="67"/>
        <v>0.75583605794746755</v>
      </c>
      <c r="D1388" s="7">
        <f t="shared" si="68"/>
        <v>0.75586047434167281</v>
      </c>
      <c r="E1388" s="7">
        <f t="shared" si="69"/>
        <v>-0.27989847758459119</v>
      </c>
    </row>
    <row r="1389" spans="1:5" x14ac:dyDescent="0.15">
      <c r="A1389" s="7">
        <v>1382</v>
      </c>
      <c r="B1389" s="7">
        <v>5</v>
      </c>
      <c r="C1389" s="7">
        <f t="shared" si="67"/>
        <v>1.366826244062944E-2</v>
      </c>
      <c r="D1389" s="7">
        <f t="shared" si="68"/>
        <v>1.3666895614385376E-2</v>
      </c>
      <c r="E1389" s="7">
        <f t="shared" si="69"/>
        <v>-4.2927787488141558</v>
      </c>
    </row>
    <row r="1390" spans="1:5" x14ac:dyDescent="0.15">
      <c r="A1390" s="7">
        <v>1383</v>
      </c>
      <c r="B1390" s="7">
        <v>0</v>
      </c>
      <c r="C1390" s="7">
        <f t="shared" si="67"/>
        <v>0.75583605794746755</v>
      </c>
      <c r="D1390" s="7">
        <f t="shared" si="68"/>
        <v>0.75586047434167281</v>
      </c>
      <c r="E1390" s="7">
        <f t="shared" si="69"/>
        <v>-0.27989847758459119</v>
      </c>
    </row>
    <row r="1391" spans="1:5" x14ac:dyDescent="0.15">
      <c r="A1391" s="7">
        <v>1384</v>
      </c>
      <c r="B1391" s="7">
        <v>0</v>
      </c>
      <c r="C1391" s="7">
        <f t="shared" si="67"/>
        <v>0.75583605794746755</v>
      </c>
      <c r="D1391" s="7">
        <f t="shared" si="68"/>
        <v>0.75586047434167281</v>
      </c>
      <c r="E1391" s="7">
        <f t="shared" si="69"/>
        <v>-0.27989847758459119</v>
      </c>
    </row>
    <row r="1392" spans="1:5" x14ac:dyDescent="0.15">
      <c r="A1392" s="7">
        <v>1385</v>
      </c>
      <c r="B1392" s="7">
        <v>1</v>
      </c>
      <c r="C1392" s="7">
        <f t="shared" si="67"/>
        <v>8.8686757970141181E-2</v>
      </c>
      <c r="D1392" s="7">
        <f t="shared" si="68"/>
        <v>8.867788929434417E-2</v>
      </c>
      <c r="E1392" s="7">
        <f t="shared" si="69"/>
        <v>-2.4227446958891354</v>
      </c>
    </row>
    <row r="1393" spans="1:5" x14ac:dyDescent="0.15">
      <c r="A1393" s="7">
        <v>1386</v>
      </c>
      <c r="B1393" s="7">
        <v>0</v>
      </c>
      <c r="C1393" s="7">
        <f t="shared" si="67"/>
        <v>0.75583605794746755</v>
      </c>
      <c r="D1393" s="7">
        <f t="shared" si="68"/>
        <v>0.75586047434167281</v>
      </c>
      <c r="E1393" s="7">
        <f t="shared" si="69"/>
        <v>-0.27989847758459119</v>
      </c>
    </row>
    <row r="1394" spans="1:5" x14ac:dyDescent="0.15">
      <c r="A1394" s="7">
        <v>1387</v>
      </c>
      <c r="B1394" s="7">
        <v>0</v>
      </c>
      <c r="C1394" s="7">
        <f t="shared" si="67"/>
        <v>0.75583605794746755</v>
      </c>
      <c r="D1394" s="7">
        <f t="shared" si="68"/>
        <v>0.75586047434167281</v>
      </c>
      <c r="E1394" s="7">
        <f t="shared" si="69"/>
        <v>-0.27989847758459119</v>
      </c>
    </row>
    <row r="1395" spans="1:5" x14ac:dyDescent="0.15">
      <c r="A1395" s="7">
        <v>1388</v>
      </c>
      <c r="B1395" s="7">
        <v>1</v>
      </c>
      <c r="C1395" s="7">
        <f t="shared" si="67"/>
        <v>8.8686757970141181E-2</v>
      </c>
      <c r="D1395" s="7">
        <f t="shared" si="68"/>
        <v>8.867788929434417E-2</v>
      </c>
      <c r="E1395" s="7">
        <f t="shared" si="69"/>
        <v>-2.4227446958891354</v>
      </c>
    </row>
    <row r="1396" spans="1:5" x14ac:dyDescent="0.15">
      <c r="A1396" s="7">
        <v>1389</v>
      </c>
      <c r="B1396" s="7">
        <v>9</v>
      </c>
      <c r="C1396" s="7">
        <f t="shared" si="67"/>
        <v>4.8729771313975011E-3</v>
      </c>
      <c r="D1396" s="7">
        <f t="shared" si="68"/>
        <v>4.8724898336843618E-3</v>
      </c>
      <c r="E1396" s="7">
        <f t="shared" si="69"/>
        <v>-5.324150213052798</v>
      </c>
    </row>
    <row r="1397" spans="1:5" x14ac:dyDescent="0.15">
      <c r="A1397" s="7">
        <v>1390</v>
      </c>
      <c r="B1397" s="7">
        <v>0</v>
      </c>
      <c r="C1397" s="7">
        <f t="shared" si="67"/>
        <v>0.75583605794746755</v>
      </c>
      <c r="D1397" s="7">
        <f t="shared" si="68"/>
        <v>0.75586047434167281</v>
      </c>
      <c r="E1397" s="7">
        <f t="shared" si="69"/>
        <v>-0.27989847758459119</v>
      </c>
    </row>
    <row r="1398" spans="1:5" x14ac:dyDescent="0.15">
      <c r="A1398" s="7">
        <v>1391</v>
      </c>
      <c r="B1398" s="7">
        <v>0</v>
      </c>
      <c r="C1398" s="7">
        <f t="shared" si="67"/>
        <v>0.75583605794746755</v>
      </c>
      <c r="D1398" s="7">
        <f t="shared" si="68"/>
        <v>0.75586047434167281</v>
      </c>
      <c r="E1398" s="7">
        <f t="shared" si="69"/>
        <v>-0.27989847758459119</v>
      </c>
    </row>
    <row r="1399" spans="1:5" x14ac:dyDescent="0.15">
      <c r="A1399" s="7">
        <v>1392</v>
      </c>
      <c r="B1399" s="7">
        <v>0</v>
      </c>
      <c r="C1399" s="7">
        <f t="shared" si="67"/>
        <v>0.75583605794746755</v>
      </c>
      <c r="D1399" s="7">
        <f t="shared" si="68"/>
        <v>0.75586047434167281</v>
      </c>
      <c r="E1399" s="7">
        <f t="shared" si="69"/>
        <v>-0.27989847758459119</v>
      </c>
    </row>
    <row r="1400" spans="1:5" x14ac:dyDescent="0.15">
      <c r="A1400" s="7">
        <v>1393</v>
      </c>
      <c r="B1400" s="7">
        <v>0</v>
      </c>
      <c r="C1400" s="7">
        <f t="shared" si="67"/>
        <v>0.75583605794746755</v>
      </c>
      <c r="D1400" s="7">
        <f t="shared" si="68"/>
        <v>0.75586047434167281</v>
      </c>
      <c r="E1400" s="7">
        <f t="shared" si="69"/>
        <v>-0.27989847758459119</v>
      </c>
    </row>
    <row r="1401" spans="1:5" x14ac:dyDescent="0.15">
      <c r="A1401" s="7">
        <v>1394</v>
      </c>
      <c r="B1401" s="7">
        <v>0</v>
      </c>
      <c r="C1401" s="7">
        <f t="shared" si="67"/>
        <v>0.75583605794746755</v>
      </c>
      <c r="D1401" s="7">
        <f t="shared" si="68"/>
        <v>0.75586047434167281</v>
      </c>
      <c r="E1401" s="7">
        <f t="shared" si="69"/>
        <v>-0.27989847758459119</v>
      </c>
    </row>
    <row r="1402" spans="1:5" x14ac:dyDescent="0.15">
      <c r="A1402" s="7">
        <v>1395</v>
      </c>
      <c r="B1402" s="7">
        <v>8</v>
      </c>
      <c r="C1402" s="7">
        <f t="shared" si="67"/>
        <v>6.1521164907488192E-3</v>
      </c>
      <c r="D1402" s="7">
        <f t="shared" si="68"/>
        <v>6.1515012790997444E-3</v>
      </c>
      <c r="E1402" s="7">
        <f t="shared" si="69"/>
        <v>-5.0910591165310892</v>
      </c>
    </row>
    <row r="1403" spans="1:5" x14ac:dyDescent="0.15">
      <c r="A1403" s="7">
        <v>1396</v>
      </c>
      <c r="B1403" s="7">
        <v>0</v>
      </c>
      <c r="C1403" s="7">
        <f t="shared" si="67"/>
        <v>0.75583605794746755</v>
      </c>
      <c r="D1403" s="7">
        <f t="shared" si="68"/>
        <v>0.75586047434167281</v>
      </c>
      <c r="E1403" s="7">
        <f t="shared" si="69"/>
        <v>-0.27989847758459119</v>
      </c>
    </row>
    <row r="1404" spans="1:5" x14ac:dyDescent="0.15">
      <c r="A1404" s="7">
        <v>1397</v>
      </c>
      <c r="B1404" s="7">
        <v>1</v>
      </c>
      <c r="C1404" s="7">
        <f t="shared" si="67"/>
        <v>8.8686757970141181E-2</v>
      </c>
      <c r="D1404" s="7">
        <f t="shared" si="68"/>
        <v>8.867788929434417E-2</v>
      </c>
      <c r="E1404" s="7">
        <f t="shared" si="69"/>
        <v>-2.4227446958891354</v>
      </c>
    </row>
    <row r="1405" spans="1:5" x14ac:dyDescent="0.15">
      <c r="A1405" s="7">
        <v>1398</v>
      </c>
      <c r="B1405" s="7">
        <v>0</v>
      </c>
      <c r="C1405" s="7">
        <f t="shared" si="67"/>
        <v>0.75583605794746755</v>
      </c>
      <c r="D1405" s="7">
        <f t="shared" si="68"/>
        <v>0.75586047434167281</v>
      </c>
      <c r="E1405" s="7">
        <f t="shared" si="69"/>
        <v>-0.27989847758459119</v>
      </c>
    </row>
    <row r="1406" spans="1:5" x14ac:dyDescent="0.15">
      <c r="A1406" s="7">
        <v>1399</v>
      </c>
      <c r="B1406" s="7">
        <v>2</v>
      </c>
      <c r="C1406" s="7">
        <f t="shared" si="67"/>
        <v>4.4066701399555049E-2</v>
      </c>
      <c r="D1406" s="7">
        <f t="shared" si="68"/>
        <v>4.4062294729415093E-2</v>
      </c>
      <c r="E1406" s="7">
        <f t="shared" si="69"/>
        <v>-3.1221508570437044</v>
      </c>
    </row>
    <row r="1407" spans="1:5" x14ac:dyDescent="0.15">
      <c r="A1407" s="7">
        <v>1400</v>
      </c>
      <c r="B1407" s="7">
        <v>0</v>
      </c>
      <c r="C1407" s="7">
        <f t="shared" si="67"/>
        <v>0.75583605794746755</v>
      </c>
      <c r="D1407" s="7">
        <f t="shared" si="68"/>
        <v>0.75586047434167281</v>
      </c>
      <c r="E1407" s="7">
        <f t="shared" si="69"/>
        <v>-0.27989847758459119</v>
      </c>
    </row>
    <row r="1408" spans="1:5" x14ac:dyDescent="0.15">
      <c r="A1408" s="7">
        <v>1401</v>
      </c>
      <c r="B1408" s="7">
        <v>22</v>
      </c>
      <c r="C1408" s="7">
        <f t="shared" si="67"/>
        <v>4.0602915611962279E-4</v>
      </c>
      <c r="D1408" s="7">
        <f t="shared" si="68"/>
        <v>4.0598855320401084E-4</v>
      </c>
      <c r="E1408" s="7">
        <f t="shared" si="69"/>
        <v>-7.8091855928387934</v>
      </c>
    </row>
    <row r="1409" spans="1:5" x14ac:dyDescent="0.15">
      <c r="A1409" s="7">
        <v>1402</v>
      </c>
      <c r="B1409" s="7">
        <v>0</v>
      </c>
      <c r="C1409" s="7">
        <f t="shared" si="67"/>
        <v>0.75583605794746755</v>
      </c>
      <c r="D1409" s="7">
        <f t="shared" si="68"/>
        <v>0.75586047434167281</v>
      </c>
      <c r="E1409" s="7">
        <f t="shared" si="69"/>
        <v>-0.27989847758459119</v>
      </c>
    </row>
    <row r="1410" spans="1:5" x14ac:dyDescent="0.15">
      <c r="A1410" s="7">
        <v>1403</v>
      </c>
      <c r="B1410" s="7">
        <v>0</v>
      </c>
      <c r="C1410" s="7">
        <f t="shared" si="67"/>
        <v>0.75583605794746755</v>
      </c>
      <c r="D1410" s="7">
        <f t="shared" si="68"/>
        <v>0.75586047434167281</v>
      </c>
      <c r="E1410" s="7">
        <f t="shared" si="69"/>
        <v>-0.27989847758459119</v>
      </c>
    </row>
    <row r="1411" spans="1:5" x14ac:dyDescent="0.15">
      <c r="A1411" s="7">
        <v>1404</v>
      </c>
      <c r="B1411" s="7">
        <v>0</v>
      </c>
      <c r="C1411" s="7">
        <f t="shared" si="67"/>
        <v>0.75583605794746755</v>
      </c>
      <c r="D1411" s="7">
        <f t="shared" si="68"/>
        <v>0.75586047434167281</v>
      </c>
      <c r="E1411" s="7">
        <f t="shared" si="69"/>
        <v>-0.27989847758459119</v>
      </c>
    </row>
    <row r="1412" spans="1:5" x14ac:dyDescent="0.15">
      <c r="A1412" s="7">
        <v>1405</v>
      </c>
      <c r="B1412" s="7">
        <v>0</v>
      </c>
      <c r="C1412" s="7">
        <f t="shared" si="67"/>
        <v>0.75583605794746755</v>
      </c>
      <c r="D1412" s="7">
        <f t="shared" si="68"/>
        <v>0.75586047434167281</v>
      </c>
      <c r="E1412" s="7">
        <f t="shared" si="69"/>
        <v>-0.27989847758459119</v>
      </c>
    </row>
    <row r="1413" spans="1:5" x14ac:dyDescent="0.15">
      <c r="A1413" s="7">
        <v>1406</v>
      </c>
      <c r="B1413" s="7">
        <v>0</v>
      </c>
      <c r="C1413" s="7">
        <f t="shared" si="67"/>
        <v>0.75583605794746755</v>
      </c>
      <c r="D1413" s="7">
        <f t="shared" si="68"/>
        <v>0.75586047434167281</v>
      </c>
      <c r="E1413" s="7">
        <f t="shared" si="69"/>
        <v>-0.27989847758459119</v>
      </c>
    </row>
    <row r="1414" spans="1:5" x14ac:dyDescent="0.15">
      <c r="A1414" s="7">
        <v>1407</v>
      </c>
      <c r="B1414" s="7">
        <v>0</v>
      </c>
      <c r="C1414" s="7">
        <f t="shared" si="67"/>
        <v>0.75583605794746755</v>
      </c>
      <c r="D1414" s="7">
        <f t="shared" si="68"/>
        <v>0.75586047434167281</v>
      </c>
      <c r="E1414" s="7">
        <f t="shared" si="69"/>
        <v>-0.27989847758459119</v>
      </c>
    </row>
    <row r="1415" spans="1:5" x14ac:dyDescent="0.15">
      <c r="A1415" s="7">
        <v>1408</v>
      </c>
      <c r="B1415" s="7">
        <v>0</v>
      </c>
      <c r="C1415" s="7">
        <f t="shared" si="67"/>
        <v>0.75583605794746755</v>
      </c>
      <c r="D1415" s="7">
        <f t="shared" si="68"/>
        <v>0.75586047434167281</v>
      </c>
      <c r="E1415" s="7">
        <f t="shared" si="69"/>
        <v>-0.27989847758459119</v>
      </c>
    </row>
    <row r="1416" spans="1:5" x14ac:dyDescent="0.15">
      <c r="A1416" s="7">
        <v>1409</v>
      </c>
      <c r="B1416" s="7">
        <v>0</v>
      </c>
      <c r="C1416" s="7">
        <f t="shared" si="67"/>
        <v>0.75583605794746755</v>
      </c>
      <c r="D1416" s="7">
        <f t="shared" si="68"/>
        <v>0.75586047434167281</v>
      </c>
      <c r="E1416" s="7">
        <f t="shared" si="69"/>
        <v>-0.27989847758459119</v>
      </c>
    </row>
    <row r="1417" spans="1:5" x14ac:dyDescent="0.15">
      <c r="A1417" s="7">
        <v>1410</v>
      </c>
      <c r="B1417" s="7">
        <v>0</v>
      </c>
      <c r="C1417" s="7">
        <f t="shared" ref="C1417:C1480" si="70">(_xlfn.GAMMA($B$1+B1417)/(_xlfn.GAMMA($B$1)*FACT(B1417))) * ($B$2/($B$2+$B$5))^$B$1 * (1/($B$2 +$B$5))^B1417</f>
        <v>0.75583605794746755</v>
      </c>
      <c r="D1417" s="7">
        <f t="shared" ref="D1417:D1480" si="71" xml:space="preserve"> IF(B1417 = 0, $B$3 + (1-$B$3) * C1417, (1-$B$3) *C1417)</f>
        <v>0.75586047434167281</v>
      </c>
      <c r="E1417" s="7">
        <f t="shared" ref="E1417:E1480" si="72">LN(D1417)</f>
        <v>-0.27989847758459119</v>
      </c>
    </row>
    <row r="1418" spans="1:5" x14ac:dyDescent="0.15">
      <c r="A1418" s="7">
        <v>1411</v>
      </c>
      <c r="B1418" s="7">
        <v>0</v>
      </c>
      <c r="C1418" s="7">
        <f t="shared" si="70"/>
        <v>0.75583605794746755</v>
      </c>
      <c r="D1418" s="7">
        <f t="shared" si="71"/>
        <v>0.75586047434167281</v>
      </c>
      <c r="E1418" s="7">
        <f t="shared" si="72"/>
        <v>-0.27989847758459119</v>
      </c>
    </row>
    <row r="1419" spans="1:5" x14ac:dyDescent="0.15">
      <c r="A1419" s="7">
        <v>1412</v>
      </c>
      <c r="B1419" s="7">
        <v>0</v>
      </c>
      <c r="C1419" s="7">
        <f t="shared" si="70"/>
        <v>0.75583605794746755</v>
      </c>
      <c r="D1419" s="7">
        <f t="shared" si="71"/>
        <v>0.75586047434167281</v>
      </c>
      <c r="E1419" s="7">
        <f t="shared" si="72"/>
        <v>-0.27989847758459119</v>
      </c>
    </row>
    <row r="1420" spans="1:5" x14ac:dyDescent="0.15">
      <c r="A1420" s="7">
        <v>1413</v>
      </c>
      <c r="B1420" s="7">
        <v>0</v>
      </c>
      <c r="C1420" s="7">
        <f t="shared" si="70"/>
        <v>0.75583605794746755</v>
      </c>
      <c r="D1420" s="7">
        <f t="shared" si="71"/>
        <v>0.75586047434167281</v>
      </c>
      <c r="E1420" s="7">
        <f t="shared" si="72"/>
        <v>-0.27989847758459119</v>
      </c>
    </row>
    <row r="1421" spans="1:5" x14ac:dyDescent="0.15">
      <c r="A1421" s="7">
        <v>1414</v>
      </c>
      <c r="B1421" s="7">
        <v>2</v>
      </c>
      <c r="C1421" s="7">
        <f t="shared" si="70"/>
        <v>4.4066701399555049E-2</v>
      </c>
      <c r="D1421" s="7">
        <f t="shared" si="71"/>
        <v>4.4062294729415093E-2</v>
      </c>
      <c r="E1421" s="7">
        <f t="shared" si="72"/>
        <v>-3.1221508570437044</v>
      </c>
    </row>
    <row r="1422" spans="1:5" x14ac:dyDescent="0.15">
      <c r="A1422" s="7">
        <v>1415</v>
      </c>
      <c r="B1422" s="7">
        <v>1</v>
      </c>
      <c r="C1422" s="7">
        <f t="shared" si="70"/>
        <v>8.8686757970141181E-2</v>
      </c>
      <c r="D1422" s="7">
        <f t="shared" si="71"/>
        <v>8.867788929434417E-2</v>
      </c>
      <c r="E1422" s="7">
        <f t="shared" si="72"/>
        <v>-2.4227446958891354</v>
      </c>
    </row>
    <row r="1423" spans="1:5" x14ac:dyDescent="0.15">
      <c r="A1423" s="7">
        <v>1416</v>
      </c>
      <c r="B1423" s="7">
        <v>1</v>
      </c>
      <c r="C1423" s="7">
        <f t="shared" si="70"/>
        <v>8.8686757970141181E-2</v>
      </c>
      <c r="D1423" s="7">
        <f t="shared" si="71"/>
        <v>8.867788929434417E-2</v>
      </c>
      <c r="E1423" s="7">
        <f t="shared" si="72"/>
        <v>-2.4227446958891354</v>
      </c>
    </row>
    <row r="1424" spans="1:5" x14ac:dyDescent="0.15">
      <c r="A1424" s="7">
        <v>1417</v>
      </c>
      <c r="B1424" s="7">
        <v>0</v>
      </c>
      <c r="C1424" s="7">
        <f t="shared" si="70"/>
        <v>0.75583605794746755</v>
      </c>
      <c r="D1424" s="7">
        <f t="shared" si="71"/>
        <v>0.75586047434167281</v>
      </c>
      <c r="E1424" s="7">
        <f t="shared" si="72"/>
        <v>-0.27989847758459119</v>
      </c>
    </row>
    <row r="1425" spans="1:5" x14ac:dyDescent="0.15">
      <c r="A1425" s="7">
        <v>1418</v>
      </c>
      <c r="B1425" s="7">
        <v>0</v>
      </c>
      <c r="C1425" s="7">
        <f t="shared" si="70"/>
        <v>0.75583605794746755</v>
      </c>
      <c r="D1425" s="7">
        <f t="shared" si="71"/>
        <v>0.75586047434167281</v>
      </c>
      <c r="E1425" s="7">
        <f t="shared" si="72"/>
        <v>-0.27989847758459119</v>
      </c>
    </row>
    <row r="1426" spans="1:5" x14ac:dyDescent="0.15">
      <c r="A1426" s="7">
        <v>1419</v>
      </c>
      <c r="B1426" s="7">
        <v>0</v>
      </c>
      <c r="C1426" s="7">
        <f t="shared" si="70"/>
        <v>0.75583605794746755</v>
      </c>
      <c r="D1426" s="7">
        <f t="shared" si="71"/>
        <v>0.75586047434167281</v>
      </c>
      <c r="E1426" s="7">
        <f t="shared" si="72"/>
        <v>-0.27989847758459119</v>
      </c>
    </row>
    <row r="1427" spans="1:5" x14ac:dyDescent="0.15">
      <c r="A1427" s="7">
        <v>1420</v>
      </c>
      <c r="B1427" s="7">
        <v>0</v>
      </c>
      <c r="C1427" s="7">
        <f t="shared" si="70"/>
        <v>0.75583605794746755</v>
      </c>
      <c r="D1427" s="7">
        <f t="shared" si="71"/>
        <v>0.75586047434167281</v>
      </c>
      <c r="E1427" s="7">
        <f t="shared" si="72"/>
        <v>-0.27989847758459119</v>
      </c>
    </row>
    <row r="1428" spans="1:5" x14ac:dyDescent="0.15">
      <c r="A1428" s="7">
        <v>1421</v>
      </c>
      <c r="B1428" s="7">
        <v>1</v>
      </c>
      <c r="C1428" s="7">
        <f t="shared" si="70"/>
        <v>8.8686757970141181E-2</v>
      </c>
      <c r="D1428" s="7">
        <f t="shared" si="71"/>
        <v>8.867788929434417E-2</v>
      </c>
      <c r="E1428" s="7">
        <f t="shared" si="72"/>
        <v>-2.4227446958891354</v>
      </c>
    </row>
    <row r="1429" spans="1:5" x14ac:dyDescent="0.15">
      <c r="A1429" s="7">
        <v>1422</v>
      </c>
      <c r="B1429" s="7">
        <v>5</v>
      </c>
      <c r="C1429" s="7">
        <f t="shared" si="70"/>
        <v>1.366826244062944E-2</v>
      </c>
      <c r="D1429" s="7">
        <f t="shared" si="71"/>
        <v>1.3666895614385376E-2</v>
      </c>
      <c r="E1429" s="7">
        <f t="shared" si="72"/>
        <v>-4.2927787488141558</v>
      </c>
    </row>
    <row r="1430" spans="1:5" x14ac:dyDescent="0.15">
      <c r="A1430" s="7">
        <v>1423</v>
      </c>
      <c r="B1430" s="7">
        <v>0</v>
      </c>
      <c r="C1430" s="7">
        <f t="shared" si="70"/>
        <v>0.75583605794746755</v>
      </c>
      <c r="D1430" s="7">
        <f t="shared" si="71"/>
        <v>0.75586047434167281</v>
      </c>
      <c r="E1430" s="7">
        <f t="shared" si="72"/>
        <v>-0.27989847758459119</v>
      </c>
    </row>
    <row r="1431" spans="1:5" x14ac:dyDescent="0.15">
      <c r="A1431" s="7">
        <v>1424</v>
      </c>
      <c r="B1431" s="7">
        <v>0</v>
      </c>
      <c r="C1431" s="7">
        <f t="shared" si="70"/>
        <v>0.75583605794746755</v>
      </c>
      <c r="D1431" s="7">
        <f t="shared" si="71"/>
        <v>0.75586047434167281</v>
      </c>
      <c r="E1431" s="7">
        <f t="shared" si="72"/>
        <v>-0.27989847758459119</v>
      </c>
    </row>
    <row r="1432" spans="1:5" x14ac:dyDescent="0.15">
      <c r="A1432" s="7">
        <v>1425</v>
      </c>
      <c r="B1432" s="7">
        <v>0</v>
      </c>
      <c r="C1432" s="7">
        <f t="shared" si="70"/>
        <v>0.75583605794746755</v>
      </c>
      <c r="D1432" s="7">
        <f t="shared" si="71"/>
        <v>0.75586047434167281</v>
      </c>
      <c r="E1432" s="7">
        <f t="shared" si="72"/>
        <v>-0.27989847758459119</v>
      </c>
    </row>
    <row r="1433" spans="1:5" x14ac:dyDescent="0.15">
      <c r="A1433" s="7">
        <v>1426</v>
      </c>
      <c r="B1433" s="7">
        <v>0</v>
      </c>
      <c r="C1433" s="7">
        <f t="shared" si="70"/>
        <v>0.75583605794746755</v>
      </c>
      <c r="D1433" s="7">
        <f t="shared" si="71"/>
        <v>0.75586047434167281</v>
      </c>
      <c r="E1433" s="7">
        <f t="shared" si="72"/>
        <v>-0.27989847758459119</v>
      </c>
    </row>
    <row r="1434" spans="1:5" x14ac:dyDescent="0.15">
      <c r="A1434" s="7">
        <v>1427</v>
      </c>
      <c r="B1434" s="7">
        <v>0</v>
      </c>
      <c r="C1434" s="7">
        <f t="shared" si="70"/>
        <v>0.75583605794746755</v>
      </c>
      <c r="D1434" s="7">
        <f t="shared" si="71"/>
        <v>0.75586047434167281</v>
      </c>
      <c r="E1434" s="7">
        <f t="shared" si="72"/>
        <v>-0.27989847758459119</v>
      </c>
    </row>
    <row r="1435" spans="1:5" x14ac:dyDescent="0.15">
      <c r="A1435" s="7">
        <v>1428</v>
      </c>
      <c r="B1435" s="7">
        <v>0</v>
      </c>
      <c r="C1435" s="7">
        <f t="shared" si="70"/>
        <v>0.75583605794746755</v>
      </c>
      <c r="D1435" s="7">
        <f t="shared" si="71"/>
        <v>0.75586047434167281</v>
      </c>
      <c r="E1435" s="7">
        <f t="shared" si="72"/>
        <v>-0.27989847758459119</v>
      </c>
    </row>
    <row r="1436" spans="1:5" x14ac:dyDescent="0.15">
      <c r="A1436" s="7">
        <v>1429</v>
      </c>
      <c r="B1436" s="7">
        <v>0</v>
      </c>
      <c r="C1436" s="7">
        <f t="shared" si="70"/>
        <v>0.75583605794746755</v>
      </c>
      <c r="D1436" s="7">
        <f t="shared" si="71"/>
        <v>0.75586047434167281</v>
      </c>
      <c r="E1436" s="7">
        <f t="shared" si="72"/>
        <v>-0.27989847758459119</v>
      </c>
    </row>
    <row r="1437" spans="1:5" x14ac:dyDescent="0.15">
      <c r="A1437" s="7">
        <v>1430</v>
      </c>
      <c r="B1437" s="7">
        <v>0</v>
      </c>
      <c r="C1437" s="7">
        <f t="shared" si="70"/>
        <v>0.75583605794746755</v>
      </c>
      <c r="D1437" s="7">
        <f t="shared" si="71"/>
        <v>0.75586047434167281</v>
      </c>
      <c r="E1437" s="7">
        <f t="shared" si="72"/>
        <v>-0.27989847758459119</v>
      </c>
    </row>
    <row r="1438" spans="1:5" x14ac:dyDescent="0.15">
      <c r="A1438" s="7">
        <v>1431</v>
      </c>
      <c r="B1438" s="7">
        <v>0</v>
      </c>
      <c r="C1438" s="7">
        <f t="shared" si="70"/>
        <v>0.75583605794746755</v>
      </c>
      <c r="D1438" s="7">
        <f t="shared" si="71"/>
        <v>0.75586047434167281</v>
      </c>
      <c r="E1438" s="7">
        <f t="shared" si="72"/>
        <v>-0.27989847758459119</v>
      </c>
    </row>
    <row r="1439" spans="1:5" x14ac:dyDescent="0.15">
      <c r="A1439" s="7">
        <v>1432</v>
      </c>
      <c r="B1439" s="7">
        <v>0</v>
      </c>
      <c r="C1439" s="7">
        <f t="shared" si="70"/>
        <v>0.75583605794746755</v>
      </c>
      <c r="D1439" s="7">
        <f t="shared" si="71"/>
        <v>0.75586047434167281</v>
      </c>
      <c r="E1439" s="7">
        <f t="shared" si="72"/>
        <v>-0.27989847758459119</v>
      </c>
    </row>
    <row r="1440" spans="1:5" x14ac:dyDescent="0.15">
      <c r="A1440" s="7">
        <v>1433</v>
      </c>
      <c r="B1440" s="7">
        <v>3</v>
      </c>
      <c r="C1440" s="7">
        <f t="shared" si="70"/>
        <v>2.7470963680778882E-2</v>
      </c>
      <c r="D1440" s="7">
        <f t="shared" si="71"/>
        <v>2.7468216584410805E-2</v>
      </c>
      <c r="E1440" s="7">
        <f t="shared" si="72"/>
        <v>-3.5947257032827968</v>
      </c>
    </row>
    <row r="1441" spans="1:5" x14ac:dyDescent="0.15">
      <c r="A1441" s="7">
        <v>1434</v>
      </c>
      <c r="B1441" s="7">
        <v>1</v>
      </c>
      <c r="C1441" s="7">
        <f t="shared" si="70"/>
        <v>8.8686757970141181E-2</v>
      </c>
      <c r="D1441" s="7">
        <f t="shared" si="71"/>
        <v>8.867788929434417E-2</v>
      </c>
      <c r="E1441" s="7">
        <f t="shared" si="72"/>
        <v>-2.4227446958891354</v>
      </c>
    </row>
    <row r="1442" spans="1:5" x14ac:dyDescent="0.15">
      <c r="A1442" s="7">
        <v>1435</v>
      </c>
      <c r="B1442" s="7">
        <v>0</v>
      </c>
      <c r="C1442" s="7">
        <f t="shared" si="70"/>
        <v>0.75583605794746755</v>
      </c>
      <c r="D1442" s="7">
        <f t="shared" si="71"/>
        <v>0.75586047434167281</v>
      </c>
      <c r="E1442" s="7">
        <f t="shared" si="72"/>
        <v>-0.27989847758459119</v>
      </c>
    </row>
    <row r="1443" spans="1:5" x14ac:dyDescent="0.15">
      <c r="A1443" s="7">
        <v>1436</v>
      </c>
      <c r="B1443" s="7">
        <v>0</v>
      </c>
      <c r="C1443" s="7">
        <f t="shared" si="70"/>
        <v>0.75583605794746755</v>
      </c>
      <c r="D1443" s="7">
        <f t="shared" si="71"/>
        <v>0.75586047434167281</v>
      </c>
      <c r="E1443" s="7">
        <f t="shared" si="72"/>
        <v>-0.27989847758459119</v>
      </c>
    </row>
    <row r="1444" spans="1:5" x14ac:dyDescent="0.15">
      <c r="A1444" s="7">
        <v>1437</v>
      </c>
      <c r="B1444" s="7">
        <v>0</v>
      </c>
      <c r="C1444" s="7">
        <f t="shared" si="70"/>
        <v>0.75583605794746755</v>
      </c>
      <c r="D1444" s="7">
        <f t="shared" si="71"/>
        <v>0.75586047434167281</v>
      </c>
      <c r="E1444" s="7">
        <f t="shared" si="72"/>
        <v>-0.27989847758459119</v>
      </c>
    </row>
    <row r="1445" spans="1:5" x14ac:dyDescent="0.15">
      <c r="A1445" s="7">
        <v>1438</v>
      </c>
      <c r="B1445" s="7">
        <v>0</v>
      </c>
      <c r="C1445" s="7">
        <f t="shared" si="70"/>
        <v>0.75583605794746755</v>
      </c>
      <c r="D1445" s="7">
        <f t="shared" si="71"/>
        <v>0.75586047434167281</v>
      </c>
      <c r="E1445" s="7">
        <f t="shared" si="72"/>
        <v>-0.27989847758459119</v>
      </c>
    </row>
    <row r="1446" spans="1:5" x14ac:dyDescent="0.15">
      <c r="A1446" s="7">
        <v>1439</v>
      </c>
      <c r="B1446" s="7">
        <v>0</v>
      </c>
      <c r="C1446" s="7">
        <f t="shared" si="70"/>
        <v>0.75583605794746755</v>
      </c>
      <c r="D1446" s="7">
        <f t="shared" si="71"/>
        <v>0.75586047434167281</v>
      </c>
      <c r="E1446" s="7">
        <f t="shared" si="72"/>
        <v>-0.27989847758459119</v>
      </c>
    </row>
    <row r="1447" spans="1:5" x14ac:dyDescent="0.15">
      <c r="A1447" s="7">
        <v>1440</v>
      </c>
      <c r="B1447" s="7">
        <v>3</v>
      </c>
      <c r="C1447" s="7">
        <f t="shared" si="70"/>
        <v>2.7470963680778882E-2</v>
      </c>
      <c r="D1447" s="7">
        <f t="shared" si="71"/>
        <v>2.7468216584410805E-2</v>
      </c>
      <c r="E1447" s="7">
        <f t="shared" si="72"/>
        <v>-3.5947257032827968</v>
      </c>
    </row>
    <row r="1448" spans="1:5" x14ac:dyDescent="0.15">
      <c r="A1448" s="7">
        <v>1441</v>
      </c>
      <c r="B1448" s="7">
        <v>3</v>
      </c>
      <c r="C1448" s="7">
        <f t="shared" si="70"/>
        <v>2.7470963680778882E-2</v>
      </c>
      <c r="D1448" s="7">
        <f t="shared" si="71"/>
        <v>2.7468216584410805E-2</v>
      </c>
      <c r="E1448" s="7">
        <f t="shared" si="72"/>
        <v>-3.5947257032827968</v>
      </c>
    </row>
    <row r="1449" spans="1:5" x14ac:dyDescent="0.15">
      <c r="A1449" s="7">
        <v>1442</v>
      </c>
      <c r="B1449" s="7">
        <v>2</v>
      </c>
      <c r="C1449" s="7">
        <f t="shared" si="70"/>
        <v>4.4066701399555049E-2</v>
      </c>
      <c r="D1449" s="7">
        <f t="shared" si="71"/>
        <v>4.4062294729415093E-2</v>
      </c>
      <c r="E1449" s="7">
        <f t="shared" si="72"/>
        <v>-3.1221508570437044</v>
      </c>
    </row>
    <row r="1450" spans="1:5" x14ac:dyDescent="0.15">
      <c r="A1450" s="7">
        <v>1443</v>
      </c>
      <c r="B1450" s="7">
        <v>0</v>
      </c>
      <c r="C1450" s="7">
        <f t="shared" si="70"/>
        <v>0.75583605794746755</v>
      </c>
      <c r="D1450" s="7">
        <f t="shared" si="71"/>
        <v>0.75586047434167281</v>
      </c>
      <c r="E1450" s="7">
        <f t="shared" si="72"/>
        <v>-0.27989847758459119</v>
      </c>
    </row>
    <row r="1451" spans="1:5" x14ac:dyDescent="0.15">
      <c r="A1451" s="7">
        <v>1444</v>
      </c>
      <c r="B1451" s="7">
        <v>3</v>
      </c>
      <c r="C1451" s="7">
        <f t="shared" si="70"/>
        <v>2.7470963680778882E-2</v>
      </c>
      <c r="D1451" s="7">
        <f t="shared" si="71"/>
        <v>2.7468216584410805E-2</v>
      </c>
      <c r="E1451" s="7">
        <f t="shared" si="72"/>
        <v>-3.5947257032827968</v>
      </c>
    </row>
    <row r="1452" spans="1:5" x14ac:dyDescent="0.15">
      <c r="A1452" s="7">
        <v>1445</v>
      </c>
      <c r="B1452" s="7">
        <v>0</v>
      </c>
      <c r="C1452" s="7">
        <f t="shared" si="70"/>
        <v>0.75583605794746755</v>
      </c>
      <c r="D1452" s="7">
        <f t="shared" si="71"/>
        <v>0.75586047434167281</v>
      </c>
      <c r="E1452" s="7">
        <f t="shared" si="72"/>
        <v>-0.27989847758459119</v>
      </c>
    </row>
    <row r="1453" spans="1:5" x14ac:dyDescent="0.15">
      <c r="A1453" s="7">
        <v>1446</v>
      </c>
      <c r="B1453" s="7">
        <v>0</v>
      </c>
      <c r="C1453" s="7">
        <f t="shared" si="70"/>
        <v>0.75583605794746755</v>
      </c>
      <c r="D1453" s="7">
        <f t="shared" si="71"/>
        <v>0.75586047434167281</v>
      </c>
      <c r="E1453" s="7">
        <f t="shared" si="72"/>
        <v>-0.27989847758459119</v>
      </c>
    </row>
    <row r="1454" spans="1:5" x14ac:dyDescent="0.15">
      <c r="A1454" s="7">
        <v>1447</v>
      </c>
      <c r="B1454" s="7">
        <v>0</v>
      </c>
      <c r="C1454" s="7">
        <f t="shared" si="70"/>
        <v>0.75583605794746755</v>
      </c>
      <c r="D1454" s="7">
        <f t="shared" si="71"/>
        <v>0.75586047434167281</v>
      </c>
      <c r="E1454" s="7">
        <f t="shared" si="72"/>
        <v>-0.27989847758459119</v>
      </c>
    </row>
    <row r="1455" spans="1:5" x14ac:dyDescent="0.15">
      <c r="A1455" s="7">
        <v>1448</v>
      </c>
      <c r="B1455" s="7">
        <v>2</v>
      </c>
      <c r="C1455" s="7">
        <f t="shared" si="70"/>
        <v>4.4066701399555049E-2</v>
      </c>
      <c r="D1455" s="7">
        <f t="shared" si="71"/>
        <v>4.4062294729415093E-2</v>
      </c>
      <c r="E1455" s="7">
        <f t="shared" si="72"/>
        <v>-3.1221508570437044</v>
      </c>
    </row>
    <row r="1456" spans="1:5" x14ac:dyDescent="0.15">
      <c r="A1456" s="7">
        <v>1449</v>
      </c>
      <c r="B1456" s="7">
        <v>0</v>
      </c>
      <c r="C1456" s="7">
        <f t="shared" si="70"/>
        <v>0.75583605794746755</v>
      </c>
      <c r="D1456" s="7">
        <f t="shared" si="71"/>
        <v>0.75586047434167281</v>
      </c>
      <c r="E1456" s="7">
        <f t="shared" si="72"/>
        <v>-0.27989847758459119</v>
      </c>
    </row>
    <row r="1457" spans="1:5" x14ac:dyDescent="0.15">
      <c r="A1457" s="7">
        <v>1450</v>
      </c>
      <c r="B1457" s="7">
        <v>0</v>
      </c>
      <c r="C1457" s="7">
        <f t="shared" si="70"/>
        <v>0.75583605794746755</v>
      </c>
      <c r="D1457" s="7">
        <f t="shared" si="71"/>
        <v>0.75586047434167281</v>
      </c>
      <c r="E1457" s="7">
        <f t="shared" si="72"/>
        <v>-0.27989847758459119</v>
      </c>
    </row>
    <row r="1458" spans="1:5" x14ac:dyDescent="0.15">
      <c r="A1458" s="7">
        <v>1451</v>
      </c>
      <c r="B1458" s="7">
        <v>0</v>
      </c>
      <c r="C1458" s="7">
        <f t="shared" si="70"/>
        <v>0.75583605794746755</v>
      </c>
      <c r="D1458" s="7">
        <f t="shared" si="71"/>
        <v>0.75586047434167281</v>
      </c>
      <c r="E1458" s="7">
        <f t="shared" si="72"/>
        <v>-0.27989847758459119</v>
      </c>
    </row>
    <row r="1459" spans="1:5" x14ac:dyDescent="0.15">
      <c r="A1459" s="7">
        <v>1452</v>
      </c>
      <c r="B1459" s="7">
        <v>0</v>
      </c>
      <c r="C1459" s="7">
        <f t="shared" si="70"/>
        <v>0.75583605794746755</v>
      </c>
      <c r="D1459" s="7">
        <f t="shared" si="71"/>
        <v>0.75586047434167281</v>
      </c>
      <c r="E1459" s="7">
        <f t="shared" si="72"/>
        <v>-0.27989847758459119</v>
      </c>
    </row>
    <row r="1460" spans="1:5" x14ac:dyDescent="0.15">
      <c r="A1460" s="7">
        <v>1453</v>
      </c>
      <c r="B1460" s="7">
        <v>1</v>
      </c>
      <c r="C1460" s="7">
        <f t="shared" si="70"/>
        <v>8.8686757970141181E-2</v>
      </c>
      <c r="D1460" s="7">
        <f t="shared" si="71"/>
        <v>8.867788929434417E-2</v>
      </c>
      <c r="E1460" s="7">
        <f t="shared" si="72"/>
        <v>-2.4227446958891354</v>
      </c>
    </row>
    <row r="1461" spans="1:5" x14ac:dyDescent="0.15">
      <c r="A1461" s="7">
        <v>1454</v>
      </c>
      <c r="B1461" s="7">
        <v>0</v>
      </c>
      <c r="C1461" s="7">
        <f t="shared" si="70"/>
        <v>0.75583605794746755</v>
      </c>
      <c r="D1461" s="7">
        <f t="shared" si="71"/>
        <v>0.75586047434167281</v>
      </c>
      <c r="E1461" s="7">
        <f t="shared" si="72"/>
        <v>-0.27989847758459119</v>
      </c>
    </row>
    <row r="1462" spans="1:5" x14ac:dyDescent="0.15">
      <c r="A1462" s="7">
        <v>1455</v>
      </c>
      <c r="B1462" s="7">
        <v>0</v>
      </c>
      <c r="C1462" s="7">
        <f t="shared" si="70"/>
        <v>0.75583605794746755</v>
      </c>
      <c r="D1462" s="7">
        <f t="shared" si="71"/>
        <v>0.75586047434167281</v>
      </c>
      <c r="E1462" s="7">
        <f t="shared" si="72"/>
        <v>-0.27989847758459119</v>
      </c>
    </row>
    <row r="1463" spans="1:5" x14ac:dyDescent="0.15">
      <c r="A1463" s="7">
        <v>1456</v>
      </c>
      <c r="B1463" s="7">
        <v>0</v>
      </c>
      <c r="C1463" s="7">
        <f t="shared" si="70"/>
        <v>0.75583605794746755</v>
      </c>
      <c r="D1463" s="7">
        <f t="shared" si="71"/>
        <v>0.75586047434167281</v>
      </c>
      <c r="E1463" s="7">
        <f t="shared" si="72"/>
        <v>-0.27989847758459119</v>
      </c>
    </row>
    <row r="1464" spans="1:5" x14ac:dyDescent="0.15">
      <c r="A1464" s="7">
        <v>1457</v>
      </c>
      <c r="B1464" s="7">
        <v>7</v>
      </c>
      <c r="C1464" s="7">
        <f t="shared" si="70"/>
        <v>7.8718020395525893E-3</v>
      </c>
      <c r="D1464" s="7">
        <f t="shared" si="71"/>
        <v>7.8710148593486347E-3</v>
      </c>
      <c r="E1464" s="7">
        <f t="shared" si="72"/>
        <v>-4.8445682719632792</v>
      </c>
    </row>
    <row r="1465" spans="1:5" x14ac:dyDescent="0.15">
      <c r="A1465" s="7">
        <v>1458</v>
      </c>
      <c r="B1465" s="7">
        <v>0</v>
      </c>
      <c r="C1465" s="7">
        <f t="shared" si="70"/>
        <v>0.75583605794746755</v>
      </c>
      <c r="D1465" s="7">
        <f t="shared" si="71"/>
        <v>0.75586047434167281</v>
      </c>
      <c r="E1465" s="7">
        <f t="shared" si="72"/>
        <v>-0.27989847758459119</v>
      </c>
    </row>
    <row r="1466" spans="1:5" x14ac:dyDescent="0.15">
      <c r="A1466" s="7">
        <v>1459</v>
      </c>
      <c r="B1466" s="7">
        <v>0</v>
      </c>
      <c r="C1466" s="7">
        <f t="shared" si="70"/>
        <v>0.75583605794746755</v>
      </c>
      <c r="D1466" s="7">
        <f t="shared" si="71"/>
        <v>0.75586047434167281</v>
      </c>
      <c r="E1466" s="7">
        <f t="shared" si="72"/>
        <v>-0.27989847758459119</v>
      </c>
    </row>
    <row r="1467" spans="1:5" x14ac:dyDescent="0.15">
      <c r="A1467" s="7">
        <v>1460</v>
      </c>
      <c r="B1467" s="7">
        <v>0</v>
      </c>
      <c r="C1467" s="7">
        <f t="shared" si="70"/>
        <v>0.75583605794746755</v>
      </c>
      <c r="D1467" s="7">
        <f t="shared" si="71"/>
        <v>0.75586047434167281</v>
      </c>
      <c r="E1467" s="7">
        <f t="shared" si="72"/>
        <v>-0.27989847758459119</v>
      </c>
    </row>
    <row r="1468" spans="1:5" x14ac:dyDescent="0.15">
      <c r="A1468" s="7">
        <v>1461</v>
      </c>
      <c r="B1468" s="7">
        <v>0</v>
      </c>
      <c r="C1468" s="7">
        <f t="shared" si="70"/>
        <v>0.75583605794746755</v>
      </c>
      <c r="D1468" s="7">
        <f t="shared" si="71"/>
        <v>0.75586047434167281</v>
      </c>
      <c r="E1468" s="7">
        <f t="shared" si="72"/>
        <v>-0.27989847758459119</v>
      </c>
    </row>
    <row r="1469" spans="1:5" x14ac:dyDescent="0.15">
      <c r="A1469" s="7">
        <v>1462</v>
      </c>
      <c r="B1469" s="7">
        <v>0</v>
      </c>
      <c r="C1469" s="7">
        <f t="shared" si="70"/>
        <v>0.75583605794746755</v>
      </c>
      <c r="D1469" s="7">
        <f t="shared" si="71"/>
        <v>0.75586047434167281</v>
      </c>
      <c r="E1469" s="7">
        <f t="shared" si="72"/>
        <v>-0.27989847758459119</v>
      </c>
    </row>
    <row r="1470" spans="1:5" x14ac:dyDescent="0.15">
      <c r="A1470" s="7">
        <v>1463</v>
      </c>
      <c r="B1470" s="7">
        <v>0</v>
      </c>
      <c r="C1470" s="7">
        <f t="shared" si="70"/>
        <v>0.75583605794746755</v>
      </c>
      <c r="D1470" s="7">
        <f t="shared" si="71"/>
        <v>0.75586047434167281</v>
      </c>
      <c r="E1470" s="7">
        <f t="shared" si="72"/>
        <v>-0.27989847758459119</v>
      </c>
    </row>
    <row r="1471" spans="1:5" x14ac:dyDescent="0.15">
      <c r="A1471" s="7">
        <v>1464</v>
      </c>
      <c r="B1471" s="7">
        <v>0</v>
      </c>
      <c r="C1471" s="7">
        <f t="shared" si="70"/>
        <v>0.75583605794746755</v>
      </c>
      <c r="D1471" s="7">
        <f t="shared" si="71"/>
        <v>0.75586047434167281</v>
      </c>
      <c r="E1471" s="7">
        <f t="shared" si="72"/>
        <v>-0.27989847758459119</v>
      </c>
    </row>
    <row r="1472" spans="1:5" x14ac:dyDescent="0.15">
      <c r="A1472" s="7">
        <v>1465</v>
      </c>
      <c r="B1472" s="7">
        <v>1</v>
      </c>
      <c r="C1472" s="7">
        <f t="shared" si="70"/>
        <v>8.8686757970141181E-2</v>
      </c>
      <c r="D1472" s="7">
        <f t="shared" si="71"/>
        <v>8.867788929434417E-2</v>
      </c>
      <c r="E1472" s="7">
        <f t="shared" si="72"/>
        <v>-2.4227446958891354</v>
      </c>
    </row>
    <row r="1473" spans="1:5" x14ac:dyDescent="0.15">
      <c r="A1473" s="7">
        <v>1466</v>
      </c>
      <c r="B1473" s="7">
        <v>0</v>
      </c>
      <c r="C1473" s="7">
        <f t="shared" si="70"/>
        <v>0.75583605794746755</v>
      </c>
      <c r="D1473" s="7">
        <f t="shared" si="71"/>
        <v>0.75586047434167281</v>
      </c>
      <c r="E1473" s="7">
        <f t="shared" si="72"/>
        <v>-0.27989847758459119</v>
      </c>
    </row>
    <row r="1474" spans="1:5" x14ac:dyDescent="0.15">
      <c r="A1474" s="7">
        <v>1467</v>
      </c>
      <c r="B1474" s="7">
        <v>3</v>
      </c>
      <c r="C1474" s="7">
        <f t="shared" si="70"/>
        <v>2.7470963680778882E-2</v>
      </c>
      <c r="D1474" s="7">
        <f t="shared" si="71"/>
        <v>2.7468216584410805E-2</v>
      </c>
      <c r="E1474" s="7">
        <f t="shared" si="72"/>
        <v>-3.5947257032827968</v>
      </c>
    </row>
    <row r="1475" spans="1:5" x14ac:dyDescent="0.15">
      <c r="A1475" s="7">
        <v>1468</v>
      </c>
      <c r="B1475" s="7">
        <v>0</v>
      </c>
      <c r="C1475" s="7">
        <f t="shared" si="70"/>
        <v>0.75583605794746755</v>
      </c>
      <c r="D1475" s="7">
        <f t="shared" si="71"/>
        <v>0.75586047434167281</v>
      </c>
      <c r="E1475" s="7">
        <f t="shared" si="72"/>
        <v>-0.27989847758459119</v>
      </c>
    </row>
    <row r="1476" spans="1:5" x14ac:dyDescent="0.15">
      <c r="A1476" s="7">
        <v>1469</v>
      </c>
      <c r="B1476" s="7">
        <v>1</v>
      </c>
      <c r="C1476" s="7">
        <f t="shared" si="70"/>
        <v>8.8686757970141181E-2</v>
      </c>
      <c r="D1476" s="7">
        <f t="shared" si="71"/>
        <v>8.867788929434417E-2</v>
      </c>
      <c r="E1476" s="7">
        <f t="shared" si="72"/>
        <v>-2.4227446958891354</v>
      </c>
    </row>
    <row r="1477" spans="1:5" x14ac:dyDescent="0.15">
      <c r="A1477" s="7">
        <v>1470</v>
      </c>
      <c r="B1477" s="7">
        <v>0</v>
      </c>
      <c r="C1477" s="7">
        <f t="shared" si="70"/>
        <v>0.75583605794746755</v>
      </c>
      <c r="D1477" s="7">
        <f t="shared" si="71"/>
        <v>0.75586047434167281</v>
      </c>
      <c r="E1477" s="7">
        <f t="shared" si="72"/>
        <v>-0.27989847758459119</v>
      </c>
    </row>
    <row r="1478" spans="1:5" x14ac:dyDescent="0.15">
      <c r="A1478" s="7">
        <v>1471</v>
      </c>
      <c r="B1478" s="7">
        <v>0</v>
      </c>
      <c r="C1478" s="7">
        <f t="shared" si="70"/>
        <v>0.75583605794746755</v>
      </c>
      <c r="D1478" s="7">
        <f t="shared" si="71"/>
        <v>0.75586047434167281</v>
      </c>
      <c r="E1478" s="7">
        <f t="shared" si="72"/>
        <v>-0.27989847758459119</v>
      </c>
    </row>
    <row r="1479" spans="1:5" x14ac:dyDescent="0.15">
      <c r="A1479" s="7">
        <v>1472</v>
      </c>
      <c r="B1479" s="7">
        <v>0</v>
      </c>
      <c r="C1479" s="7">
        <f t="shared" si="70"/>
        <v>0.75583605794746755</v>
      </c>
      <c r="D1479" s="7">
        <f t="shared" si="71"/>
        <v>0.75586047434167281</v>
      </c>
      <c r="E1479" s="7">
        <f t="shared" si="72"/>
        <v>-0.27989847758459119</v>
      </c>
    </row>
    <row r="1480" spans="1:5" x14ac:dyDescent="0.15">
      <c r="A1480" s="7">
        <v>1473</v>
      </c>
      <c r="B1480" s="7">
        <v>0</v>
      </c>
      <c r="C1480" s="7">
        <f t="shared" si="70"/>
        <v>0.75583605794746755</v>
      </c>
      <c r="D1480" s="7">
        <f t="shared" si="71"/>
        <v>0.75586047434167281</v>
      </c>
      <c r="E1480" s="7">
        <f t="shared" si="72"/>
        <v>-0.27989847758459119</v>
      </c>
    </row>
    <row r="1481" spans="1:5" x14ac:dyDescent="0.15">
      <c r="A1481" s="7">
        <v>1474</v>
      </c>
      <c r="B1481" s="7">
        <v>0</v>
      </c>
      <c r="C1481" s="7">
        <f t="shared" ref="C1481:C1544" si="73">(_xlfn.GAMMA($B$1+B1481)/(_xlfn.GAMMA($B$1)*FACT(B1481))) * ($B$2/($B$2+$B$5))^$B$1 * (1/($B$2 +$B$5))^B1481</f>
        <v>0.75583605794746755</v>
      </c>
      <c r="D1481" s="7">
        <f t="shared" ref="D1481:D1544" si="74" xml:space="preserve"> IF(B1481 = 0, $B$3 + (1-$B$3) * C1481, (1-$B$3) *C1481)</f>
        <v>0.75586047434167281</v>
      </c>
      <c r="E1481" s="7">
        <f t="shared" ref="E1481:E1544" si="75">LN(D1481)</f>
        <v>-0.27989847758459119</v>
      </c>
    </row>
    <row r="1482" spans="1:5" x14ac:dyDescent="0.15">
      <c r="A1482" s="7">
        <v>1475</v>
      </c>
      <c r="B1482" s="7">
        <v>0</v>
      </c>
      <c r="C1482" s="7">
        <f t="shared" si="73"/>
        <v>0.75583605794746755</v>
      </c>
      <c r="D1482" s="7">
        <f t="shared" si="74"/>
        <v>0.75586047434167281</v>
      </c>
      <c r="E1482" s="7">
        <f t="shared" si="75"/>
        <v>-0.27989847758459119</v>
      </c>
    </row>
    <row r="1483" spans="1:5" x14ac:dyDescent="0.15">
      <c r="A1483" s="7">
        <v>1476</v>
      </c>
      <c r="B1483" s="7">
        <v>0</v>
      </c>
      <c r="C1483" s="7">
        <f t="shared" si="73"/>
        <v>0.75583605794746755</v>
      </c>
      <c r="D1483" s="7">
        <f t="shared" si="74"/>
        <v>0.75586047434167281</v>
      </c>
      <c r="E1483" s="7">
        <f t="shared" si="75"/>
        <v>-0.27989847758459119</v>
      </c>
    </row>
    <row r="1484" spans="1:5" x14ac:dyDescent="0.15">
      <c r="A1484" s="7">
        <v>1477</v>
      </c>
      <c r="B1484" s="7">
        <v>0</v>
      </c>
      <c r="C1484" s="7">
        <f t="shared" si="73"/>
        <v>0.75583605794746755</v>
      </c>
      <c r="D1484" s="7">
        <f t="shared" si="74"/>
        <v>0.75586047434167281</v>
      </c>
      <c r="E1484" s="7">
        <f t="shared" si="75"/>
        <v>-0.27989847758459119</v>
      </c>
    </row>
    <row r="1485" spans="1:5" x14ac:dyDescent="0.15">
      <c r="A1485" s="7">
        <v>1478</v>
      </c>
      <c r="B1485" s="7">
        <v>0</v>
      </c>
      <c r="C1485" s="7">
        <f t="shared" si="73"/>
        <v>0.75583605794746755</v>
      </c>
      <c r="D1485" s="7">
        <f t="shared" si="74"/>
        <v>0.75586047434167281</v>
      </c>
      <c r="E1485" s="7">
        <f t="shared" si="75"/>
        <v>-0.27989847758459119</v>
      </c>
    </row>
    <row r="1486" spans="1:5" x14ac:dyDescent="0.15">
      <c r="A1486" s="7">
        <v>1479</v>
      </c>
      <c r="B1486" s="7">
        <v>3</v>
      </c>
      <c r="C1486" s="7">
        <f t="shared" si="73"/>
        <v>2.7470963680778882E-2</v>
      </c>
      <c r="D1486" s="7">
        <f t="shared" si="74"/>
        <v>2.7468216584410805E-2</v>
      </c>
      <c r="E1486" s="7">
        <f t="shared" si="75"/>
        <v>-3.5947257032827968</v>
      </c>
    </row>
    <row r="1487" spans="1:5" x14ac:dyDescent="0.15">
      <c r="A1487" s="7">
        <v>1480</v>
      </c>
      <c r="B1487" s="7">
        <v>3</v>
      </c>
      <c r="C1487" s="7">
        <f t="shared" si="73"/>
        <v>2.7470963680778882E-2</v>
      </c>
      <c r="D1487" s="7">
        <f t="shared" si="74"/>
        <v>2.7468216584410805E-2</v>
      </c>
      <c r="E1487" s="7">
        <f t="shared" si="75"/>
        <v>-3.5947257032827968</v>
      </c>
    </row>
    <row r="1488" spans="1:5" x14ac:dyDescent="0.15">
      <c r="A1488" s="7">
        <v>1481</v>
      </c>
      <c r="B1488" s="7">
        <v>0</v>
      </c>
      <c r="C1488" s="7">
        <f t="shared" si="73"/>
        <v>0.75583605794746755</v>
      </c>
      <c r="D1488" s="7">
        <f t="shared" si="74"/>
        <v>0.75586047434167281</v>
      </c>
      <c r="E1488" s="7">
        <f t="shared" si="75"/>
        <v>-0.27989847758459119</v>
      </c>
    </row>
    <row r="1489" spans="1:5" x14ac:dyDescent="0.15">
      <c r="A1489" s="7">
        <v>1482</v>
      </c>
      <c r="B1489" s="7">
        <v>0</v>
      </c>
      <c r="C1489" s="7">
        <f t="shared" si="73"/>
        <v>0.75583605794746755</v>
      </c>
      <c r="D1489" s="7">
        <f t="shared" si="74"/>
        <v>0.75586047434167281</v>
      </c>
      <c r="E1489" s="7">
        <f t="shared" si="75"/>
        <v>-0.27989847758459119</v>
      </c>
    </row>
    <row r="1490" spans="1:5" x14ac:dyDescent="0.15">
      <c r="A1490" s="7">
        <v>1483</v>
      </c>
      <c r="B1490" s="7">
        <v>1</v>
      </c>
      <c r="C1490" s="7">
        <f t="shared" si="73"/>
        <v>8.8686757970141181E-2</v>
      </c>
      <c r="D1490" s="7">
        <f t="shared" si="74"/>
        <v>8.867788929434417E-2</v>
      </c>
      <c r="E1490" s="7">
        <f t="shared" si="75"/>
        <v>-2.4227446958891354</v>
      </c>
    </row>
    <row r="1491" spans="1:5" x14ac:dyDescent="0.15">
      <c r="A1491" s="7">
        <v>1484</v>
      </c>
      <c r="B1491" s="7">
        <v>4</v>
      </c>
      <c r="C1491" s="7">
        <f t="shared" si="73"/>
        <v>1.8863004210024691E-2</v>
      </c>
      <c r="D1491" s="7">
        <f t="shared" si="74"/>
        <v>1.8861117909603688E-2</v>
      </c>
      <c r="E1491" s="7">
        <f t="shared" si="75"/>
        <v>-3.9706527294293466</v>
      </c>
    </row>
    <row r="1492" spans="1:5" x14ac:dyDescent="0.15">
      <c r="A1492" s="7">
        <v>1485</v>
      </c>
      <c r="B1492" s="7">
        <v>3</v>
      </c>
      <c r="C1492" s="7">
        <f t="shared" si="73"/>
        <v>2.7470963680778882E-2</v>
      </c>
      <c r="D1492" s="7">
        <f t="shared" si="74"/>
        <v>2.7468216584410805E-2</v>
      </c>
      <c r="E1492" s="7">
        <f t="shared" si="75"/>
        <v>-3.5947257032827968</v>
      </c>
    </row>
    <row r="1493" spans="1:5" x14ac:dyDescent="0.15">
      <c r="A1493" s="7">
        <v>1486</v>
      </c>
      <c r="B1493" s="7">
        <v>0</v>
      </c>
      <c r="C1493" s="7">
        <f t="shared" si="73"/>
        <v>0.75583605794746755</v>
      </c>
      <c r="D1493" s="7">
        <f t="shared" si="74"/>
        <v>0.75586047434167281</v>
      </c>
      <c r="E1493" s="7">
        <f t="shared" si="75"/>
        <v>-0.27989847758459119</v>
      </c>
    </row>
    <row r="1494" spans="1:5" x14ac:dyDescent="0.15">
      <c r="A1494" s="7">
        <v>1487</v>
      </c>
      <c r="B1494" s="7">
        <v>0</v>
      </c>
      <c r="C1494" s="7">
        <f t="shared" si="73"/>
        <v>0.75583605794746755</v>
      </c>
      <c r="D1494" s="7">
        <f t="shared" si="74"/>
        <v>0.75586047434167281</v>
      </c>
      <c r="E1494" s="7">
        <f t="shared" si="75"/>
        <v>-0.27989847758459119</v>
      </c>
    </row>
    <row r="1495" spans="1:5" x14ac:dyDescent="0.15">
      <c r="A1495" s="7">
        <v>1488</v>
      </c>
      <c r="B1495" s="7">
        <v>0</v>
      </c>
      <c r="C1495" s="7">
        <f t="shared" si="73"/>
        <v>0.75583605794746755</v>
      </c>
      <c r="D1495" s="7">
        <f t="shared" si="74"/>
        <v>0.75586047434167281</v>
      </c>
      <c r="E1495" s="7">
        <f t="shared" si="75"/>
        <v>-0.27989847758459119</v>
      </c>
    </row>
    <row r="1496" spans="1:5" x14ac:dyDescent="0.15">
      <c r="A1496" s="7">
        <v>1489</v>
      </c>
      <c r="B1496" s="7">
        <v>2</v>
      </c>
      <c r="C1496" s="7">
        <f t="shared" si="73"/>
        <v>4.4066701399555049E-2</v>
      </c>
      <c r="D1496" s="7">
        <f t="shared" si="74"/>
        <v>4.4062294729415093E-2</v>
      </c>
      <c r="E1496" s="7">
        <f t="shared" si="75"/>
        <v>-3.1221508570437044</v>
      </c>
    </row>
    <row r="1497" spans="1:5" x14ac:dyDescent="0.15">
      <c r="A1497" s="7">
        <v>1490</v>
      </c>
      <c r="B1497" s="7">
        <v>1</v>
      </c>
      <c r="C1497" s="7">
        <f t="shared" si="73"/>
        <v>8.8686757970141181E-2</v>
      </c>
      <c r="D1497" s="7">
        <f t="shared" si="74"/>
        <v>8.867788929434417E-2</v>
      </c>
      <c r="E1497" s="7">
        <f t="shared" si="75"/>
        <v>-2.4227446958891354</v>
      </c>
    </row>
    <row r="1498" spans="1:5" x14ac:dyDescent="0.15">
      <c r="A1498" s="7">
        <v>1491</v>
      </c>
      <c r="B1498" s="7">
        <v>0</v>
      </c>
      <c r="C1498" s="7">
        <f t="shared" si="73"/>
        <v>0.75583605794746755</v>
      </c>
      <c r="D1498" s="7">
        <f t="shared" si="74"/>
        <v>0.75586047434167281</v>
      </c>
      <c r="E1498" s="7">
        <f t="shared" si="75"/>
        <v>-0.27989847758459119</v>
      </c>
    </row>
    <row r="1499" spans="1:5" x14ac:dyDescent="0.15">
      <c r="A1499" s="7">
        <v>1492</v>
      </c>
      <c r="B1499" s="7">
        <v>1</v>
      </c>
      <c r="C1499" s="7">
        <f t="shared" si="73"/>
        <v>8.8686757970141181E-2</v>
      </c>
      <c r="D1499" s="7">
        <f t="shared" si="74"/>
        <v>8.867788929434417E-2</v>
      </c>
      <c r="E1499" s="7">
        <f t="shared" si="75"/>
        <v>-2.4227446958891354</v>
      </c>
    </row>
    <row r="1500" spans="1:5" x14ac:dyDescent="0.15">
      <c r="A1500" s="7">
        <v>1493</v>
      </c>
      <c r="B1500" s="7">
        <v>0</v>
      </c>
      <c r="C1500" s="7">
        <f t="shared" si="73"/>
        <v>0.75583605794746755</v>
      </c>
      <c r="D1500" s="7">
        <f t="shared" si="74"/>
        <v>0.75586047434167281</v>
      </c>
      <c r="E1500" s="7">
        <f t="shared" si="75"/>
        <v>-0.27989847758459119</v>
      </c>
    </row>
    <row r="1501" spans="1:5" x14ac:dyDescent="0.15">
      <c r="A1501" s="7">
        <v>1494</v>
      </c>
      <c r="B1501" s="7">
        <v>0</v>
      </c>
      <c r="C1501" s="7">
        <f t="shared" si="73"/>
        <v>0.75583605794746755</v>
      </c>
      <c r="D1501" s="7">
        <f t="shared" si="74"/>
        <v>0.75586047434167281</v>
      </c>
      <c r="E1501" s="7">
        <f t="shared" si="75"/>
        <v>-0.27989847758459119</v>
      </c>
    </row>
    <row r="1502" spans="1:5" x14ac:dyDescent="0.15">
      <c r="A1502" s="7">
        <v>1495</v>
      </c>
      <c r="B1502" s="7">
        <v>0</v>
      </c>
      <c r="C1502" s="7">
        <f t="shared" si="73"/>
        <v>0.75583605794746755</v>
      </c>
      <c r="D1502" s="7">
        <f t="shared" si="74"/>
        <v>0.75586047434167281</v>
      </c>
      <c r="E1502" s="7">
        <f t="shared" si="75"/>
        <v>-0.27989847758459119</v>
      </c>
    </row>
    <row r="1503" spans="1:5" x14ac:dyDescent="0.15">
      <c r="A1503" s="7">
        <v>1496</v>
      </c>
      <c r="B1503" s="7">
        <v>1</v>
      </c>
      <c r="C1503" s="7">
        <f t="shared" si="73"/>
        <v>8.8686757970141181E-2</v>
      </c>
      <c r="D1503" s="7">
        <f t="shared" si="74"/>
        <v>8.867788929434417E-2</v>
      </c>
      <c r="E1503" s="7">
        <f t="shared" si="75"/>
        <v>-2.4227446958891354</v>
      </c>
    </row>
    <row r="1504" spans="1:5" x14ac:dyDescent="0.15">
      <c r="A1504" s="7">
        <v>1497</v>
      </c>
      <c r="B1504" s="7">
        <v>1</v>
      </c>
      <c r="C1504" s="7">
        <f t="shared" si="73"/>
        <v>8.8686757970141181E-2</v>
      </c>
      <c r="D1504" s="7">
        <f t="shared" si="74"/>
        <v>8.867788929434417E-2</v>
      </c>
      <c r="E1504" s="7">
        <f t="shared" si="75"/>
        <v>-2.4227446958891354</v>
      </c>
    </row>
    <row r="1505" spans="1:5" x14ac:dyDescent="0.15">
      <c r="A1505" s="7">
        <v>1498</v>
      </c>
      <c r="B1505" s="7">
        <v>0</v>
      </c>
      <c r="C1505" s="7">
        <f t="shared" si="73"/>
        <v>0.75583605794746755</v>
      </c>
      <c r="D1505" s="7">
        <f t="shared" si="74"/>
        <v>0.75586047434167281</v>
      </c>
      <c r="E1505" s="7">
        <f t="shared" si="75"/>
        <v>-0.27989847758459119</v>
      </c>
    </row>
    <row r="1506" spans="1:5" x14ac:dyDescent="0.15">
      <c r="A1506" s="7">
        <v>1499</v>
      </c>
      <c r="B1506" s="7">
        <v>0</v>
      </c>
      <c r="C1506" s="7">
        <f t="shared" si="73"/>
        <v>0.75583605794746755</v>
      </c>
      <c r="D1506" s="7">
        <f t="shared" si="74"/>
        <v>0.75586047434167281</v>
      </c>
      <c r="E1506" s="7">
        <f t="shared" si="75"/>
        <v>-0.27989847758459119</v>
      </c>
    </row>
    <row r="1507" spans="1:5" x14ac:dyDescent="0.15">
      <c r="A1507" s="7">
        <v>1500</v>
      </c>
      <c r="B1507" s="7">
        <v>0</v>
      </c>
      <c r="C1507" s="7">
        <f t="shared" si="73"/>
        <v>0.75583605794746755</v>
      </c>
      <c r="D1507" s="7">
        <f t="shared" si="74"/>
        <v>0.75586047434167281</v>
      </c>
      <c r="E1507" s="7">
        <f t="shared" si="75"/>
        <v>-0.27989847758459119</v>
      </c>
    </row>
    <row r="1508" spans="1:5" x14ac:dyDescent="0.15">
      <c r="A1508" s="7">
        <v>1501</v>
      </c>
      <c r="B1508" s="7">
        <v>0</v>
      </c>
      <c r="C1508" s="7">
        <f t="shared" si="73"/>
        <v>0.75583605794746755</v>
      </c>
      <c r="D1508" s="7">
        <f t="shared" si="74"/>
        <v>0.75586047434167281</v>
      </c>
      <c r="E1508" s="7">
        <f t="shared" si="75"/>
        <v>-0.27989847758459119</v>
      </c>
    </row>
    <row r="1509" spans="1:5" x14ac:dyDescent="0.15">
      <c r="A1509" s="7">
        <v>1502</v>
      </c>
      <c r="B1509" s="7">
        <v>0</v>
      </c>
      <c r="C1509" s="7">
        <f t="shared" si="73"/>
        <v>0.75583605794746755</v>
      </c>
      <c r="D1509" s="7">
        <f t="shared" si="74"/>
        <v>0.75586047434167281</v>
      </c>
      <c r="E1509" s="7">
        <f t="shared" si="75"/>
        <v>-0.27989847758459119</v>
      </c>
    </row>
    <row r="1510" spans="1:5" x14ac:dyDescent="0.15">
      <c r="A1510" s="7">
        <v>1503</v>
      </c>
      <c r="B1510" s="7">
        <v>0</v>
      </c>
      <c r="C1510" s="7">
        <f t="shared" si="73"/>
        <v>0.75583605794746755</v>
      </c>
      <c r="D1510" s="7">
        <f t="shared" si="74"/>
        <v>0.75586047434167281</v>
      </c>
      <c r="E1510" s="7">
        <f t="shared" si="75"/>
        <v>-0.27989847758459119</v>
      </c>
    </row>
    <row r="1511" spans="1:5" x14ac:dyDescent="0.15">
      <c r="A1511" s="7">
        <v>1504</v>
      </c>
      <c r="B1511" s="7">
        <v>0</v>
      </c>
      <c r="C1511" s="7">
        <f t="shared" si="73"/>
        <v>0.75583605794746755</v>
      </c>
      <c r="D1511" s="7">
        <f t="shared" si="74"/>
        <v>0.75586047434167281</v>
      </c>
      <c r="E1511" s="7">
        <f t="shared" si="75"/>
        <v>-0.27989847758459119</v>
      </c>
    </row>
    <row r="1512" spans="1:5" x14ac:dyDescent="0.15">
      <c r="A1512" s="7">
        <v>1505</v>
      </c>
      <c r="B1512" s="7">
        <v>3</v>
      </c>
      <c r="C1512" s="7">
        <f t="shared" si="73"/>
        <v>2.7470963680778882E-2</v>
      </c>
      <c r="D1512" s="7">
        <f t="shared" si="74"/>
        <v>2.7468216584410805E-2</v>
      </c>
      <c r="E1512" s="7">
        <f t="shared" si="75"/>
        <v>-3.5947257032827968</v>
      </c>
    </row>
    <row r="1513" spans="1:5" x14ac:dyDescent="0.15">
      <c r="A1513" s="7">
        <v>1506</v>
      </c>
      <c r="B1513" s="7">
        <v>0</v>
      </c>
      <c r="C1513" s="7">
        <f t="shared" si="73"/>
        <v>0.75583605794746755</v>
      </c>
      <c r="D1513" s="7">
        <f t="shared" si="74"/>
        <v>0.75586047434167281</v>
      </c>
      <c r="E1513" s="7">
        <f t="shared" si="75"/>
        <v>-0.27989847758459119</v>
      </c>
    </row>
    <row r="1514" spans="1:5" x14ac:dyDescent="0.15">
      <c r="A1514" s="7">
        <v>1507</v>
      </c>
      <c r="B1514" s="7">
        <v>0</v>
      </c>
      <c r="C1514" s="7">
        <f t="shared" si="73"/>
        <v>0.75583605794746755</v>
      </c>
      <c r="D1514" s="7">
        <f t="shared" si="74"/>
        <v>0.75586047434167281</v>
      </c>
      <c r="E1514" s="7">
        <f t="shared" si="75"/>
        <v>-0.27989847758459119</v>
      </c>
    </row>
    <row r="1515" spans="1:5" x14ac:dyDescent="0.15">
      <c r="A1515" s="7">
        <v>1508</v>
      </c>
      <c r="B1515" s="7">
        <v>0</v>
      </c>
      <c r="C1515" s="7">
        <f t="shared" si="73"/>
        <v>0.75583605794746755</v>
      </c>
      <c r="D1515" s="7">
        <f t="shared" si="74"/>
        <v>0.75586047434167281</v>
      </c>
      <c r="E1515" s="7">
        <f t="shared" si="75"/>
        <v>-0.27989847758459119</v>
      </c>
    </row>
    <row r="1516" spans="1:5" x14ac:dyDescent="0.15">
      <c r="A1516" s="7">
        <v>1509</v>
      </c>
      <c r="B1516" s="7">
        <v>2</v>
      </c>
      <c r="C1516" s="7">
        <f t="shared" si="73"/>
        <v>4.4066701399555049E-2</v>
      </c>
      <c r="D1516" s="7">
        <f t="shared" si="74"/>
        <v>4.4062294729415093E-2</v>
      </c>
      <c r="E1516" s="7">
        <f t="shared" si="75"/>
        <v>-3.1221508570437044</v>
      </c>
    </row>
    <row r="1517" spans="1:5" x14ac:dyDescent="0.15">
      <c r="A1517" s="7">
        <v>1510</v>
      </c>
      <c r="B1517" s="7">
        <v>0</v>
      </c>
      <c r="C1517" s="7">
        <f t="shared" si="73"/>
        <v>0.75583605794746755</v>
      </c>
      <c r="D1517" s="7">
        <f t="shared" si="74"/>
        <v>0.75586047434167281</v>
      </c>
      <c r="E1517" s="7">
        <f t="shared" si="75"/>
        <v>-0.27989847758459119</v>
      </c>
    </row>
    <row r="1518" spans="1:5" x14ac:dyDescent="0.15">
      <c r="A1518" s="7">
        <v>1511</v>
      </c>
      <c r="B1518" s="7">
        <v>0</v>
      </c>
      <c r="C1518" s="7">
        <f t="shared" si="73"/>
        <v>0.75583605794746755</v>
      </c>
      <c r="D1518" s="7">
        <f t="shared" si="74"/>
        <v>0.75586047434167281</v>
      </c>
      <c r="E1518" s="7">
        <f t="shared" si="75"/>
        <v>-0.27989847758459119</v>
      </c>
    </row>
    <row r="1519" spans="1:5" x14ac:dyDescent="0.15">
      <c r="A1519" s="7">
        <v>1512</v>
      </c>
      <c r="B1519" s="7">
        <v>0</v>
      </c>
      <c r="C1519" s="7">
        <f t="shared" si="73"/>
        <v>0.75583605794746755</v>
      </c>
      <c r="D1519" s="7">
        <f t="shared" si="74"/>
        <v>0.75586047434167281</v>
      </c>
      <c r="E1519" s="7">
        <f t="shared" si="75"/>
        <v>-0.27989847758459119</v>
      </c>
    </row>
    <row r="1520" spans="1:5" x14ac:dyDescent="0.15">
      <c r="A1520" s="7">
        <v>1513</v>
      </c>
      <c r="B1520" s="7">
        <v>1</v>
      </c>
      <c r="C1520" s="7">
        <f t="shared" si="73"/>
        <v>8.8686757970141181E-2</v>
      </c>
      <c r="D1520" s="7">
        <f t="shared" si="74"/>
        <v>8.867788929434417E-2</v>
      </c>
      <c r="E1520" s="7">
        <f t="shared" si="75"/>
        <v>-2.4227446958891354</v>
      </c>
    </row>
    <row r="1521" spans="1:5" x14ac:dyDescent="0.15">
      <c r="A1521" s="7">
        <v>1514</v>
      </c>
      <c r="B1521" s="7">
        <v>0</v>
      </c>
      <c r="C1521" s="7">
        <f t="shared" si="73"/>
        <v>0.75583605794746755</v>
      </c>
      <c r="D1521" s="7">
        <f t="shared" si="74"/>
        <v>0.75586047434167281</v>
      </c>
      <c r="E1521" s="7">
        <f t="shared" si="75"/>
        <v>-0.27989847758459119</v>
      </c>
    </row>
    <row r="1522" spans="1:5" x14ac:dyDescent="0.15">
      <c r="A1522" s="7">
        <v>1515</v>
      </c>
      <c r="B1522" s="7">
        <v>0</v>
      </c>
      <c r="C1522" s="7">
        <f t="shared" si="73"/>
        <v>0.75583605794746755</v>
      </c>
      <c r="D1522" s="7">
        <f t="shared" si="74"/>
        <v>0.75586047434167281</v>
      </c>
      <c r="E1522" s="7">
        <f t="shared" si="75"/>
        <v>-0.27989847758459119</v>
      </c>
    </row>
    <row r="1523" spans="1:5" x14ac:dyDescent="0.15">
      <c r="A1523" s="7">
        <v>1516</v>
      </c>
      <c r="B1523" s="7">
        <v>0</v>
      </c>
      <c r="C1523" s="7">
        <f t="shared" si="73"/>
        <v>0.75583605794746755</v>
      </c>
      <c r="D1523" s="7">
        <f t="shared" si="74"/>
        <v>0.75586047434167281</v>
      </c>
      <c r="E1523" s="7">
        <f t="shared" si="75"/>
        <v>-0.27989847758459119</v>
      </c>
    </row>
    <row r="1524" spans="1:5" x14ac:dyDescent="0.15">
      <c r="A1524" s="7">
        <v>1517</v>
      </c>
      <c r="B1524" s="7">
        <v>0</v>
      </c>
      <c r="C1524" s="7">
        <f t="shared" si="73"/>
        <v>0.75583605794746755</v>
      </c>
      <c r="D1524" s="7">
        <f t="shared" si="74"/>
        <v>0.75586047434167281</v>
      </c>
      <c r="E1524" s="7">
        <f t="shared" si="75"/>
        <v>-0.27989847758459119</v>
      </c>
    </row>
    <row r="1525" spans="1:5" x14ac:dyDescent="0.15">
      <c r="A1525" s="7">
        <v>1518</v>
      </c>
      <c r="B1525" s="7">
        <v>0</v>
      </c>
      <c r="C1525" s="7">
        <f t="shared" si="73"/>
        <v>0.75583605794746755</v>
      </c>
      <c r="D1525" s="7">
        <f t="shared" si="74"/>
        <v>0.75586047434167281</v>
      </c>
      <c r="E1525" s="7">
        <f t="shared" si="75"/>
        <v>-0.27989847758459119</v>
      </c>
    </row>
    <row r="1526" spans="1:5" x14ac:dyDescent="0.15">
      <c r="A1526" s="7">
        <v>1519</v>
      </c>
      <c r="B1526" s="7">
        <v>0</v>
      </c>
      <c r="C1526" s="7">
        <f t="shared" si="73"/>
        <v>0.75583605794746755</v>
      </c>
      <c r="D1526" s="7">
        <f t="shared" si="74"/>
        <v>0.75586047434167281</v>
      </c>
      <c r="E1526" s="7">
        <f t="shared" si="75"/>
        <v>-0.27989847758459119</v>
      </c>
    </row>
    <row r="1527" spans="1:5" x14ac:dyDescent="0.15">
      <c r="A1527" s="7">
        <v>1520</v>
      </c>
      <c r="B1527" s="7">
        <v>0</v>
      </c>
      <c r="C1527" s="7">
        <f t="shared" si="73"/>
        <v>0.75583605794746755</v>
      </c>
      <c r="D1527" s="7">
        <f t="shared" si="74"/>
        <v>0.75586047434167281</v>
      </c>
      <c r="E1527" s="7">
        <f t="shared" si="75"/>
        <v>-0.27989847758459119</v>
      </c>
    </row>
    <row r="1528" spans="1:5" x14ac:dyDescent="0.15">
      <c r="A1528" s="7">
        <v>1521</v>
      </c>
      <c r="B1528" s="7">
        <v>26</v>
      </c>
      <c r="C1528" s="7">
        <f t="shared" si="73"/>
        <v>2.0737468941824696E-4</v>
      </c>
      <c r="D1528" s="7">
        <f t="shared" si="74"/>
        <v>2.0735395194930513E-4</v>
      </c>
      <c r="E1528" s="7">
        <f t="shared" si="75"/>
        <v>-8.4810833121368709</v>
      </c>
    </row>
    <row r="1529" spans="1:5" x14ac:dyDescent="0.15">
      <c r="A1529" s="7">
        <v>1522</v>
      </c>
      <c r="B1529" s="7">
        <v>0</v>
      </c>
      <c r="C1529" s="7">
        <f t="shared" si="73"/>
        <v>0.75583605794746755</v>
      </c>
      <c r="D1529" s="7">
        <f t="shared" si="74"/>
        <v>0.75586047434167281</v>
      </c>
      <c r="E1529" s="7">
        <f t="shared" si="75"/>
        <v>-0.27989847758459119</v>
      </c>
    </row>
    <row r="1530" spans="1:5" x14ac:dyDescent="0.15">
      <c r="A1530" s="7">
        <v>1523</v>
      </c>
      <c r="B1530" s="7">
        <v>0</v>
      </c>
      <c r="C1530" s="7">
        <f t="shared" si="73"/>
        <v>0.75583605794746755</v>
      </c>
      <c r="D1530" s="7">
        <f t="shared" si="74"/>
        <v>0.75586047434167281</v>
      </c>
      <c r="E1530" s="7">
        <f t="shared" si="75"/>
        <v>-0.27989847758459119</v>
      </c>
    </row>
    <row r="1531" spans="1:5" x14ac:dyDescent="0.15">
      <c r="A1531" s="7">
        <v>1524</v>
      </c>
      <c r="B1531" s="7">
        <v>1</v>
      </c>
      <c r="C1531" s="7">
        <f t="shared" si="73"/>
        <v>8.8686757970141181E-2</v>
      </c>
      <c r="D1531" s="7">
        <f t="shared" si="74"/>
        <v>8.867788929434417E-2</v>
      </c>
      <c r="E1531" s="7">
        <f t="shared" si="75"/>
        <v>-2.4227446958891354</v>
      </c>
    </row>
    <row r="1532" spans="1:5" x14ac:dyDescent="0.15">
      <c r="A1532" s="7">
        <v>1525</v>
      </c>
      <c r="B1532" s="7">
        <v>0</v>
      </c>
      <c r="C1532" s="7">
        <f t="shared" si="73"/>
        <v>0.75583605794746755</v>
      </c>
      <c r="D1532" s="7">
        <f t="shared" si="74"/>
        <v>0.75586047434167281</v>
      </c>
      <c r="E1532" s="7">
        <f t="shared" si="75"/>
        <v>-0.27989847758459119</v>
      </c>
    </row>
    <row r="1533" spans="1:5" x14ac:dyDescent="0.15">
      <c r="A1533" s="7">
        <v>1526</v>
      </c>
      <c r="B1533" s="7">
        <v>0</v>
      </c>
      <c r="C1533" s="7">
        <f t="shared" si="73"/>
        <v>0.75583605794746755</v>
      </c>
      <c r="D1533" s="7">
        <f t="shared" si="74"/>
        <v>0.75586047434167281</v>
      </c>
      <c r="E1533" s="7">
        <f t="shared" si="75"/>
        <v>-0.27989847758459119</v>
      </c>
    </row>
    <row r="1534" spans="1:5" x14ac:dyDescent="0.15">
      <c r="A1534" s="7">
        <v>1527</v>
      </c>
      <c r="B1534" s="7">
        <v>0</v>
      </c>
      <c r="C1534" s="7">
        <f t="shared" si="73"/>
        <v>0.75583605794746755</v>
      </c>
      <c r="D1534" s="7">
        <f t="shared" si="74"/>
        <v>0.75586047434167281</v>
      </c>
      <c r="E1534" s="7">
        <f t="shared" si="75"/>
        <v>-0.27989847758459119</v>
      </c>
    </row>
    <row r="1535" spans="1:5" x14ac:dyDescent="0.15">
      <c r="A1535" s="7">
        <v>1528</v>
      </c>
      <c r="B1535" s="7">
        <v>0</v>
      </c>
      <c r="C1535" s="7">
        <f t="shared" si="73"/>
        <v>0.75583605794746755</v>
      </c>
      <c r="D1535" s="7">
        <f t="shared" si="74"/>
        <v>0.75586047434167281</v>
      </c>
      <c r="E1535" s="7">
        <f t="shared" si="75"/>
        <v>-0.27989847758459119</v>
      </c>
    </row>
    <row r="1536" spans="1:5" x14ac:dyDescent="0.15">
      <c r="A1536" s="7">
        <v>1529</v>
      </c>
      <c r="B1536" s="7">
        <v>0</v>
      </c>
      <c r="C1536" s="7">
        <f t="shared" si="73"/>
        <v>0.75583605794746755</v>
      </c>
      <c r="D1536" s="7">
        <f t="shared" si="74"/>
        <v>0.75586047434167281</v>
      </c>
      <c r="E1536" s="7">
        <f t="shared" si="75"/>
        <v>-0.27989847758459119</v>
      </c>
    </row>
    <row r="1537" spans="1:5" x14ac:dyDescent="0.15">
      <c r="A1537" s="7">
        <v>1530</v>
      </c>
      <c r="B1537" s="7">
        <v>0</v>
      </c>
      <c r="C1537" s="7">
        <f t="shared" si="73"/>
        <v>0.75583605794746755</v>
      </c>
      <c r="D1537" s="7">
        <f t="shared" si="74"/>
        <v>0.75586047434167281</v>
      </c>
      <c r="E1537" s="7">
        <f t="shared" si="75"/>
        <v>-0.27989847758459119</v>
      </c>
    </row>
    <row r="1538" spans="1:5" x14ac:dyDescent="0.15">
      <c r="A1538" s="7">
        <v>1531</v>
      </c>
      <c r="B1538" s="7">
        <v>0</v>
      </c>
      <c r="C1538" s="7">
        <f t="shared" si="73"/>
        <v>0.75583605794746755</v>
      </c>
      <c r="D1538" s="7">
        <f t="shared" si="74"/>
        <v>0.75586047434167281</v>
      </c>
      <c r="E1538" s="7">
        <f t="shared" si="75"/>
        <v>-0.27989847758459119</v>
      </c>
    </row>
    <row r="1539" spans="1:5" x14ac:dyDescent="0.15">
      <c r="A1539" s="7">
        <v>1532</v>
      </c>
      <c r="B1539" s="7">
        <v>3</v>
      </c>
      <c r="C1539" s="7">
        <f t="shared" si="73"/>
        <v>2.7470963680778882E-2</v>
      </c>
      <c r="D1539" s="7">
        <f t="shared" si="74"/>
        <v>2.7468216584410805E-2</v>
      </c>
      <c r="E1539" s="7">
        <f t="shared" si="75"/>
        <v>-3.5947257032827968</v>
      </c>
    </row>
    <row r="1540" spans="1:5" x14ac:dyDescent="0.15">
      <c r="A1540" s="7">
        <v>1533</v>
      </c>
      <c r="B1540" s="7">
        <v>0</v>
      </c>
      <c r="C1540" s="7">
        <f t="shared" si="73"/>
        <v>0.75583605794746755</v>
      </c>
      <c r="D1540" s="7">
        <f t="shared" si="74"/>
        <v>0.75586047434167281</v>
      </c>
      <c r="E1540" s="7">
        <f t="shared" si="75"/>
        <v>-0.27989847758459119</v>
      </c>
    </row>
    <row r="1541" spans="1:5" x14ac:dyDescent="0.15">
      <c r="A1541" s="7">
        <v>1534</v>
      </c>
      <c r="B1541" s="7">
        <v>0</v>
      </c>
      <c r="C1541" s="7">
        <f t="shared" si="73"/>
        <v>0.75583605794746755</v>
      </c>
      <c r="D1541" s="7">
        <f t="shared" si="74"/>
        <v>0.75586047434167281</v>
      </c>
      <c r="E1541" s="7">
        <f t="shared" si="75"/>
        <v>-0.27989847758459119</v>
      </c>
    </row>
    <row r="1542" spans="1:5" x14ac:dyDescent="0.15">
      <c r="A1542" s="7">
        <v>1535</v>
      </c>
      <c r="B1542" s="7">
        <v>0</v>
      </c>
      <c r="C1542" s="7">
        <f t="shared" si="73"/>
        <v>0.75583605794746755</v>
      </c>
      <c r="D1542" s="7">
        <f t="shared" si="74"/>
        <v>0.75586047434167281</v>
      </c>
      <c r="E1542" s="7">
        <f t="shared" si="75"/>
        <v>-0.27989847758459119</v>
      </c>
    </row>
    <row r="1543" spans="1:5" x14ac:dyDescent="0.15">
      <c r="A1543" s="7">
        <v>1536</v>
      </c>
      <c r="B1543" s="7">
        <v>0</v>
      </c>
      <c r="C1543" s="7">
        <f t="shared" si="73"/>
        <v>0.75583605794746755</v>
      </c>
      <c r="D1543" s="7">
        <f t="shared" si="74"/>
        <v>0.75586047434167281</v>
      </c>
      <c r="E1543" s="7">
        <f t="shared" si="75"/>
        <v>-0.27989847758459119</v>
      </c>
    </row>
    <row r="1544" spans="1:5" x14ac:dyDescent="0.15">
      <c r="A1544" s="7">
        <v>1537</v>
      </c>
      <c r="B1544" s="7">
        <v>0</v>
      </c>
      <c r="C1544" s="7">
        <f t="shared" si="73"/>
        <v>0.75583605794746755</v>
      </c>
      <c r="D1544" s="7">
        <f t="shared" si="74"/>
        <v>0.75586047434167281</v>
      </c>
      <c r="E1544" s="7">
        <f t="shared" si="75"/>
        <v>-0.27989847758459119</v>
      </c>
    </row>
    <row r="1545" spans="1:5" x14ac:dyDescent="0.15">
      <c r="A1545" s="7">
        <v>1538</v>
      </c>
      <c r="B1545" s="7">
        <v>1</v>
      </c>
      <c r="C1545" s="7">
        <f t="shared" ref="C1545:C1608" si="76">(_xlfn.GAMMA($B$1+B1545)/(_xlfn.GAMMA($B$1)*FACT(B1545))) * ($B$2/($B$2+$B$5))^$B$1 * (1/($B$2 +$B$5))^B1545</f>
        <v>8.8686757970141181E-2</v>
      </c>
      <c r="D1545" s="7">
        <f t="shared" ref="D1545:D1608" si="77" xml:space="preserve"> IF(B1545 = 0, $B$3 + (1-$B$3) * C1545, (1-$B$3) *C1545)</f>
        <v>8.867788929434417E-2</v>
      </c>
      <c r="E1545" s="7">
        <f t="shared" ref="E1545:E1608" si="78">LN(D1545)</f>
        <v>-2.4227446958891354</v>
      </c>
    </row>
    <row r="1546" spans="1:5" x14ac:dyDescent="0.15">
      <c r="A1546" s="7">
        <v>1539</v>
      </c>
      <c r="B1546" s="7">
        <v>0</v>
      </c>
      <c r="C1546" s="7">
        <f t="shared" si="76"/>
        <v>0.75583605794746755</v>
      </c>
      <c r="D1546" s="7">
        <f t="shared" si="77"/>
        <v>0.75586047434167281</v>
      </c>
      <c r="E1546" s="7">
        <f t="shared" si="78"/>
        <v>-0.27989847758459119</v>
      </c>
    </row>
    <row r="1547" spans="1:5" x14ac:dyDescent="0.15">
      <c r="A1547" s="7">
        <v>1540</v>
      </c>
      <c r="B1547" s="7">
        <v>0</v>
      </c>
      <c r="C1547" s="7">
        <f t="shared" si="76"/>
        <v>0.75583605794746755</v>
      </c>
      <c r="D1547" s="7">
        <f t="shared" si="77"/>
        <v>0.75586047434167281</v>
      </c>
      <c r="E1547" s="7">
        <f t="shared" si="78"/>
        <v>-0.27989847758459119</v>
      </c>
    </row>
    <row r="1548" spans="1:5" x14ac:dyDescent="0.15">
      <c r="A1548" s="7">
        <v>1541</v>
      </c>
      <c r="B1548" s="7">
        <v>0</v>
      </c>
      <c r="C1548" s="7">
        <f t="shared" si="76"/>
        <v>0.75583605794746755</v>
      </c>
      <c r="D1548" s="7">
        <f t="shared" si="77"/>
        <v>0.75586047434167281</v>
      </c>
      <c r="E1548" s="7">
        <f t="shared" si="78"/>
        <v>-0.27989847758459119</v>
      </c>
    </row>
    <row r="1549" spans="1:5" x14ac:dyDescent="0.15">
      <c r="A1549" s="7">
        <v>1542</v>
      </c>
      <c r="B1549" s="7">
        <v>0</v>
      </c>
      <c r="C1549" s="7">
        <f t="shared" si="76"/>
        <v>0.75583605794746755</v>
      </c>
      <c r="D1549" s="7">
        <f t="shared" si="77"/>
        <v>0.75586047434167281</v>
      </c>
      <c r="E1549" s="7">
        <f t="shared" si="78"/>
        <v>-0.27989847758459119</v>
      </c>
    </row>
    <row r="1550" spans="1:5" x14ac:dyDescent="0.15">
      <c r="A1550" s="7">
        <v>1543</v>
      </c>
      <c r="B1550" s="7">
        <v>0</v>
      </c>
      <c r="C1550" s="7">
        <f t="shared" si="76"/>
        <v>0.75583605794746755</v>
      </c>
      <c r="D1550" s="7">
        <f t="shared" si="77"/>
        <v>0.75586047434167281</v>
      </c>
      <c r="E1550" s="7">
        <f t="shared" si="78"/>
        <v>-0.27989847758459119</v>
      </c>
    </row>
    <row r="1551" spans="1:5" x14ac:dyDescent="0.15">
      <c r="A1551" s="7">
        <v>1544</v>
      </c>
      <c r="B1551" s="7">
        <v>0</v>
      </c>
      <c r="C1551" s="7">
        <f t="shared" si="76"/>
        <v>0.75583605794746755</v>
      </c>
      <c r="D1551" s="7">
        <f t="shared" si="77"/>
        <v>0.75586047434167281</v>
      </c>
      <c r="E1551" s="7">
        <f t="shared" si="78"/>
        <v>-0.27989847758459119</v>
      </c>
    </row>
    <row r="1552" spans="1:5" x14ac:dyDescent="0.15">
      <c r="A1552" s="7">
        <v>1545</v>
      </c>
      <c r="B1552" s="7">
        <v>0</v>
      </c>
      <c r="C1552" s="7">
        <f t="shared" si="76"/>
        <v>0.75583605794746755</v>
      </c>
      <c r="D1552" s="7">
        <f t="shared" si="77"/>
        <v>0.75586047434167281</v>
      </c>
      <c r="E1552" s="7">
        <f t="shared" si="78"/>
        <v>-0.27989847758459119</v>
      </c>
    </row>
    <row r="1553" spans="1:5" x14ac:dyDescent="0.15">
      <c r="A1553" s="7">
        <v>1546</v>
      </c>
      <c r="B1553" s="7">
        <v>0</v>
      </c>
      <c r="C1553" s="7">
        <f t="shared" si="76"/>
        <v>0.75583605794746755</v>
      </c>
      <c r="D1553" s="7">
        <f t="shared" si="77"/>
        <v>0.75586047434167281</v>
      </c>
      <c r="E1553" s="7">
        <f t="shared" si="78"/>
        <v>-0.27989847758459119</v>
      </c>
    </row>
    <row r="1554" spans="1:5" x14ac:dyDescent="0.15">
      <c r="A1554" s="7">
        <v>1547</v>
      </c>
      <c r="B1554" s="7">
        <v>0</v>
      </c>
      <c r="C1554" s="7">
        <f t="shared" si="76"/>
        <v>0.75583605794746755</v>
      </c>
      <c r="D1554" s="7">
        <f t="shared" si="77"/>
        <v>0.75586047434167281</v>
      </c>
      <c r="E1554" s="7">
        <f t="shared" si="78"/>
        <v>-0.27989847758459119</v>
      </c>
    </row>
    <row r="1555" spans="1:5" x14ac:dyDescent="0.15">
      <c r="A1555" s="7">
        <v>1548</v>
      </c>
      <c r="B1555" s="7">
        <v>0</v>
      </c>
      <c r="C1555" s="7">
        <f t="shared" si="76"/>
        <v>0.75583605794746755</v>
      </c>
      <c r="D1555" s="7">
        <f t="shared" si="77"/>
        <v>0.75586047434167281</v>
      </c>
      <c r="E1555" s="7">
        <f t="shared" si="78"/>
        <v>-0.27989847758459119</v>
      </c>
    </row>
    <row r="1556" spans="1:5" x14ac:dyDescent="0.15">
      <c r="A1556" s="7">
        <v>1549</v>
      </c>
      <c r="B1556" s="7">
        <v>0</v>
      </c>
      <c r="C1556" s="7">
        <f t="shared" si="76"/>
        <v>0.75583605794746755</v>
      </c>
      <c r="D1556" s="7">
        <f t="shared" si="77"/>
        <v>0.75586047434167281</v>
      </c>
      <c r="E1556" s="7">
        <f t="shared" si="78"/>
        <v>-0.27989847758459119</v>
      </c>
    </row>
    <row r="1557" spans="1:5" x14ac:dyDescent="0.15">
      <c r="A1557" s="7">
        <v>1550</v>
      </c>
      <c r="B1557" s="7">
        <v>0</v>
      </c>
      <c r="C1557" s="7">
        <f t="shared" si="76"/>
        <v>0.75583605794746755</v>
      </c>
      <c r="D1557" s="7">
        <f t="shared" si="77"/>
        <v>0.75586047434167281</v>
      </c>
      <c r="E1557" s="7">
        <f t="shared" si="78"/>
        <v>-0.27989847758459119</v>
      </c>
    </row>
    <row r="1558" spans="1:5" x14ac:dyDescent="0.15">
      <c r="A1558" s="7">
        <v>1551</v>
      </c>
      <c r="B1558" s="7">
        <v>0</v>
      </c>
      <c r="C1558" s="7">
        <f t="shared" si="76"/>
        <v>0.75583605794746755</v>
      </c>
      <c r="D1558" s="7">
        <f t="shared" si="77"/>
        <v>0.75586047434167281</v>
      </c>
      <c r="E1558" s="7">
        <f t="shared" si="78"/>
        <v>-0.27989847758459119</v>
      </c>
    </row>
    <row r="1559" spans="1:5" x14ac:dyDescent="0.15">
      <c r="A1559" s="7">
        <v>1552</v>
      </c>
      <c r="B1559" s="7">
        <v>0</v>
      </c>
      <c r="C1559" s="7">
        <f t="shared" si="76"/>
        <v>0.75583605794746755</v>
      </c>
      <c r="D1559" s="7">
        <f t="shared" si="77"/>
        <v>0.75586047434167281</v>
      </c>
      <c r="E1559" s="7">
        <f t="shared" si="78"/>
        <v>-0.27989847758459119</v>
      </c>
    </row>
    <row r="1560" spans="1:5" x14ac:dyDescent="0.15">
      <c r="A1560" s="7">
        <v>1553</v>
      </c>
      <c r="B1560" s="7">
        <v>0</v>
      </c>
      <c r="C1560" s="7">
        <f t="shared" si="76"/>
        <v>0.75583605794746755</v>
      </c>
      <c r="D1560" s="7">
        <f t="shared" si="77"/>
        <v>0.75586047434167281</v>
      </c>
      <c r="E1560" s="7">
        <f t="shared" si="78"/>
        <v>-0.27989847758459119</v>
      </c>
    </row>
    <row r="1561" spans="1:5" x14ac:dyDescent="0.15">
      <c r="A1561" s="7">
        <v>1554</v>
      </c>
      <c r="B1561" s="7">
        <v>0</v>
      </c>
      <c r="C1561" s="7">
        <f t="shared" si="76"/>
        <v>0.75583605794746755</v>
      </c>
      <c r="D1561" s="7">
        <f t="shared" si="77"/>
        <v>0.75586047434167281</v>
      </c>
      <c r="E1561" s="7">
        <f t="shared" si="78"/>
        <v>-0.27989847758459119</v>
      </c>
    </row>
    <row r="1562" spans="1:5" x14ac:dyDescent="0.15">
      <c r="A1562" s="7">
        <v>1555</v>
      </c>
      <c r="B1562" s="7">
        <v>0</v>
      </c>
      <c r="C1562" s="7">
        <f t="shared" si="76"/>
        <v>0.75583605794746755</v>
      </c>
      <c r="D1562" s="7">
        <f t="shared" si="77"/>
        <v>0.75586047434167281</v>
      </c>
      <c r="E1562" s="7">
        <f t="shared" si="78"/>
        <v>-0.27989847758459119</v>
      </c>
    </row>
    <row r="1563" spans="1:5" x14ac:dyDescent="0.15">
      <c r="A1563" s="7">
        <v>1556</v>
      </c>
      <c r="B1563" s="7">
        <v>1</v>
      </c>
      <c r="C1563" s="7">
        <f t="shared" si="76"/>
        <v>8.8686757970141181E-2</v>
      </c>
      <c r="D1563" s="7">
        <f t="shared" si="77"/>
        <v>8.867788929434417E-2</v>
      </c>
      <c r="E1563" s="7">
        <f t="shared" si="78"/>
        <v>-2.4227446958891354</v>
      </c>
    </row>
    <row r="1564" spans="1:5" x14ac:dyDescent="0.15">
      <c r="A1564" s="7">
        <v>1557</v>
      </c>
      <c r="B1564" s="7">
        <v>0</v>
      </c>
      <c r="C1564" s="7">
        <f t="shared" si="76"/>
        <v>0.75583605794746755</v>
      </c>
      <c r="D1564" s="7">
        <f t="shared" si="77"/>
        <v>0.75586047434167281</v>
      </c>
      <c r="E1564" s="7">
        <f t="shared" si="78"/>
        <v>-0.27989847758459119</v>
      </c>
    </row>
    <row r="1565" spans="1:5" x14ac:dyDescent="0.15">
      <c r="A1565" s="7">
        <v>1558</v>
      </c>
      <c r="B1565" s="7">
        <v>0</v>
      </c>
      <c r="C1565" s="7">
        <f t="shared" si="76"/>
        <v>0.75583605794746755</v>
      </c>
      <c r="D1565" s="7">
        <f t="shared" si="77"/>
        <v>0.75586047434167281</v>
      </c>
      <c r="E1565" s="7">
        <f t="shared" si="78"/>
        <v>-0.27989847758459119</v>
      </c>
    </row>
    <row r="1566" spans="1:5" x14ac:dyDescent="0.15">
      <c r="A1566" s="7">
        <v>1559</v>
      </c>
      <c r="B1566" s="7">
        <v>0</v>
      </c>
      <c r="C1566" s="7">
        <f t="shared" si="76"/>
        <v>0.75583605794746755</v>
      </c>
      <c r="D1566" s="7">
        <f t="shared" si="77"/>
        <v>0.75586047434167281</v>
      </c>
      <c r="E1566" s="7">
        <f t="shared" si="78"/>
        <v>-0.27989847758459119</v>
      </c>
    </row>
    <row r="1567" spans="1:5" x14ac:dyDescent="0.15">
      <c r="A1567" s="7">
        <v>1560</v>
      </c>
      <c r="B1567" s="7">
        <v>0</v>
      </c>
      <c r="C1567" s="7">
        <f t="shared" si="76"/>
        <v>0.75583605794746755</v>
      </c>
      <c r="D1567" s="7">
        <f t="shared" si="77"/>
        <v>0.75586047434167281</v>
      </c>
      <c r="E1567" s="7">
        <f t="shared" si="78"/>
        <v>-0.27989847758459119</v>
      </c>
    </row>
    <row r="1568" spans="1:5" x14ac:dyDescent="0.15">
      <c r="A1568" s="7">
        <v>1561</v>
      </c>
      <c r="B1568" s="7">
        <v>0</v>
      </c>
      <c r="C1568" s="7">
        <f t="shared" si="76"/>
        <v>0.75583605794746755</v>
      </c>
      <c r="D1568" s="7">
        <f t="shared" si="77"/>
        <v>0.75586047434167281</v>
      </c>
      <c r="E1568" s="7">
        <f t="shared" si="78"/>
        <v>-0.27989847758459119</v>
      </c>
    </row>
    <row r="1569" spans="1:5" x14ac:dyDescent="0.15">
      <c r="A1569" s="7">
        <v>1562</v>
      </c>
      <c r="B1569" s="7">
        <v>0</v>
      </c>
      <c r="C1569" s="7">
        <f t="shared" si="76"/>
        <v>0.75583605794746755</v>
      </c>
      <c r="D1569" s="7">
        <f t="shared" si="77"/>
        <v>0.75586047434167281</v>
      </c>
      <c r="E1569" s="7">
        <f t="shared" si="78"/>
        <v>-0.27989847758459119</v>
      </c>
    </row>
    <row r="1570" spans="1:5" x14ac:dyDescent="0.15">
      <c r="A1570" s="7">
        <v>1563</v>
      </c>
      <c r="B1570" s="7">
        <v>4</v>
      </c>
      <c r="C1570" s="7">
        <f t="shared" si="76"/>
        <v>1.8863004210024691E-2</v>
      </c>
      <c r="D1570" s="7">
        <f t="shared" si="77"/>
        <v>1.8861117909603688E-2</v>
      </c>
      <c r="E1570" s="7">
        <f t="shared" si="78"/>
        <v>-3.9706527294293466</v>
      </c>
    </row>
    <row r="1571" spans="1:5" x14ac:dyDescent="0.15">
      <c r="A1571" s="7">
        <v>1564</v>
      </c>
      <c r="B1571" s="7">
        <v>0</v>
      </c>
      <c r="C1571" s="7">
        <f t="shared" si="76"/>
        <v>0.75583605794746755</v>
      </c>
      <c r="D1571" s="7">
        <f t="shared" si="77"/>
        <v>0.75586047434167281</v>
      </c>
      <c r="E1571" s="7">
        <f t="shared" si="78"/>
        <v>-0.27989847758459119</v>
      </c>
    </row>
    <row r="1572" spans="1:5" x14ac:dyDescent="0.15">
      <c r="A1572" s="7">
        <v>1565</v>
      </c>
      <c r="B1572" s="7">
        <v>1</v>
      </c>
      <c r="C1572" s="7">
        <f t="shared" si="76"/>
        <v>8.8686757970141181E-2</v>
      </c>
      <c r="D1572" s="7">
        <f t="shared" si="77"/>
        <v>8.867788929434417E-2</v>
      </c>
      <c r="E1572" s="7">
        <f t="shared" si="78"/>
        <v>-2.4227446958891354</v>
      </c>
    </row>
    <row r="1573" spans="1:5" x14ac:dyDescent="0.15">
      <c r="A1573" s="7">
        <v>1566</v>
      </c>
      <c r="B1573" s="7">
        <v>2</v>
      </c>
      <c r="C1573" s="7">
        <f t="shared" si="76"/>
        <v>4.4066701399555049E-2</v>
      </c>
      <c r="D1573" s="7">
        <f t="shared" si="77"/>
        <v>4.4062294729415093E-2</v>
      </c>
      <c r="E1573" s="7">
        <f t="shared" si="78"/>
        <v>-3.1221508570437044</v>
      </c>
    </row>
    <row r="1574" spans="1:5" x14ac:dyDescent="0.15">
      <c r="A1574" s="7">
        <v>1567</v>
      </c>
      <c r="B1574" s="7">
        <v>0</v>
      </c>
      <c r="C1574" s="7">
        <f t="shared" si="76"/>
        <v>0.75583605794746755</v>
      </c>
      <c r="D1574" s="7">
        <f t="shared" si="77"/>
        <v>0.75586047434167281</v>
      </c>
      <c r="E1574" s="7">
        <f t="shared" si="78"/>
        <v>-0.27989847758459119</v>
      </c>
    </row>
    <row r="1575" spans="1:5" x14ac:dyDescent="0.15">
      <c r="A1575" s="7">
        <v>1568</v>
      </c>
      <c r="B1575" s="7">
        <v>14</v>
      </c>
      <c r="C1575" s="7">
        <f t="shared" si="76"/>
        <v>1.7226308754647042E-3</v>
      </c>
      <c r="D1575" s="7">
        <f t="shared" si="77"/>
        <v>1.7224586123771577E-3</v>
      </c>
      <c r="E1575" s="7">
        <f t="shared" si="78"/>
        <v>-6.3640025830126428</v>
      </c>
    </row>
    <row r="1576" spans="1:5" x14ac:dyDescent="0.15">
      <c r="A1576" s="7">
        <v>1569</v>
      </c>
      <c r="B1576" s="7">
        <v>50</v>
      </c>
      <c r="C1576" s="7">
        <f t="shared" si="76"/>
        <v>4.9704778931720936E-6</v>
      </c>
      <c r="D1576" s="7">
        <f t="shared" si="77"/>
        <v>4.9699808453827764E-6</v>
      </c>
      <c r="E1576" s="7">
        <f t="shared" si="78"/>
        <v>-12.212094571910894</v>
      </c>
    </row>
    <row r="1577" spans="1:5" x14ac:dyDescent="0.15">
      <c r="A1577" s="7">
        <v>1570</v>
      </c>
      <c r="B1577" s="7">
        <v>0</v>
      </c>
      <c r="C1577" s="7">
        <f t="shared" si="76"/>
        <v>0.75583605794746755</v>
      </c>
      <c r="D1577" s="7">
        <f t="shared" si="77"/>
        <v>0.75586047434167281</v>
      </c>
      <c r="E1577" s="7">
        <f t="shared" si="78"/>
        <v>-0.27989847758459119</v>
      </c>
    </row>
    <row r="1578" spans="1:5" x14ac:dyDescent="0.15">
      <c r="A1578" s="7">
        <v>1571</v>
      </c>
      <c r="B1578" s="7">
        <v>0</v>
      </c>
      <c r="C1578" s="7">
        <f t="shared" si="76"/>
        <v>0.75583605794746755</v>
      </c>
      <c r="D1578" s="7">
        <f t="shared" si="77"/>
        <v>0.75586047434167281</v>
      </c>
      <c r="E1578" s="7">
        <f t="shared" si="78"/>
        <v>-0.27989847758459119</v>
      </c>
    </row>
    <row r="1579" spans="1:5" x14ac:dyDescent="0.15">
      <c r="A1579" s="7">
        <v>1572</v>
      </c>
      <c r="B1579" s="7">
        <v>0</v>
      </c>
      <c r="C1579" s="7">
        <f t="shared" si="76"/>
        <v>0.75583605794746755</v>
      </c>
      <c r="D1579" s="7">
        <f t="shared" si="77"/>
        <v>0.75586047434167281</v>
      </c>
      <c r="E1579" s="7">
        <f t="shared" si="78"/>
        <v>-0.27989847758459119</v>
      </c>
    </row>
    <row r="1580" spans="1:5" x14ac:dyDescent="0.15">
      <c r="A1580" s="7">
        <v>1573</v>
      </c>
      <c r="B1580" s="7">
        <v>1</v>
      </c>
      <c r="C1580" s="7">
        <f t="shared" si="76"/>
        <v>8.8686757970141181E-2</v>
      </c>
      <c r="D1580" s="7">
        <f t="shared" si="77"/>
        <v>8.867788929434417E-2</v>
      </c>
      <c r="E1580" s="7">
        <f t="shared" si="78"/>
        <v>-2.4227446958891354</v>
      </c>
    </row>
    <row r="1581" spans="1:5" x14ac:dyDescent="0.15">
      <c r="A1581" s="7">
        <v>1574</v>
      </c>
      <c r="B1581" s="7">
        <v>1</v>
      </c>
      <c r="C1581" s="7">
        <f t="shared" si="76"/>
        <v>8.8686757970141181E-2</v>
      </c>
      <c r="D1581" s="7">
        <f t="shared" si="77"/>
        <v>8.867788929434417E-2</v>
      </c>
      <c r="E1581" s="7">
        <f t="shared" si="78"/>
        <v>-2.4227446958891354</v>
      </c>
    </row>
    <row r="1582" spans="1:5" x14ac:dyDescent="0.15">
      <c r="A1582" s="7">
        <v>1575</v>
      </c>
      <c r="B1582" s="7">
        <v>0</v>
      </c>
      <c r="C1582" s="7">
        <f t="shared" si="76"/>
        <v>0.75583605794746755</v>
      </c>
      <c r="D1582" s="7">
        <f t="shared" si="77"/>
        <v>0.75586047434167281</v>
      </c>
      <c r="E1582" s="7">
        <f t="shared" si="78"/>
        <v>-0.27989847758459119</v>
      </c>
    </row>
    <row r="1583" spans="1:5" x14ac:dyDescent="0.15">
      <c r="A1583" s="7">
        <v>1576</v>
      </c>
      <c r="B1583" s="7">
        <v>0</v>
      </c>
      <c r="C1583" s="7">
        <f t="shared" si="76"/>
        <v>0.75583605794746755</v>
      </c>
      <c r="D1583" s="7">
        <f t="shared" si="77"/>
        <v>0.75586047434167281</v>
      </c>
      <c r="E1583" s="7">
        <f t="shared" si="78"/>
        <v>-0.27989847758459119</v>
      </c>
    </row>
    <row r="1584" spans="1:5" x14ac:dyDescent="0.15">
      <c r="A1584" s="7">
        <v>1577</v>
      </c>
      <c r="B1584" s="7">
        <v>0</v>
      </c>
      <c r="C1584" s="7">
        <f t="shared" si="76"/>
        <v>0.75583605794746755</v>
      </c>
      <c r="D1584" s="7">
        <f t="shared" si="77"/>
        <v>0.75586047434167281</v>
      </c>
      <c r="E1584" s="7">
        <f t="shared" si="78"/>
        <v>-0.27989847758459119</v>
      </c>
    </row>
    <row r="1585" spans="1:5" x14ac:dyDescent="0.15">
      <c r="A1585" s="7">
        <v>1578</v>
      </c>
      <c r="B1585" s="7">
        <v>0</v>
      </c>
      <c r="C1585" s="7">
        <f t="shared" si="76"/>
        <v>0.75583605794746755</v>
      </c>
      <c r="D1585" s="7">
        <f t="shared" si="77"/>
        <v>0.75586047434167281</v>
      </c>
      <c r="E1585" s="7">
        <f t="shared" si="78"/>
        <v>-0.27989847758459119</v>
      </c>
    </row>
    <row r="1586" spans="1:5" x14ac:dyDescent="0.15">
      <c r="A1586" s="7">
        <v>1579</v>
      </c>
      <c r="B1586" s="7">
        <v>1</v>
      </c>
      <c r="C1586" s="7">
        <f t="shared" si="76"/>
        <v>8.8686757970141181E-2</v>
      </c>
      <c r="D1586" s="7">
        <f t="shared" si="77"/>
        <v>8.867788929434417E-2</v>
      </c>
      <c r="E1586" s="7">
        <f t="shared" si="78"/>
        <v>-2.4227446958891354</v>
      </c>
    </row>
    <row r="1587" spans="1:5" x14ac:dyDescent="0.15">
      <c r="A1587" s="7">
        <v>1580</v>
      </c>
      <c r="B1587" s="7">
        <v>0</v>
      </c>
      <c r="C1587" s="7">
        <f t="shared" si="76"/>
        <v>0.75583605794746755</v>
      </c>
      <c r="D1587" s="7">
        <f t="shared" si="77"/>
        <v>0.75586047434167281</v>
      </c>
      <c r="E1587" s="7">
        <f t="shared" si="78"/>
        <v>-0.27989847758459119</v>
      </c>
    </row>
    <row r="1588" spans="1:5" x14ac:dyDescent="0.15">
      <c r="A1588" s="7">
        <v>1581</v>
      </c>
      <c r="B1588" s="7">
        <v>1</v>
      </c>
      <c r="C1588" s="7">
        <f t="shared" si="76"/>
        <v>8.8686757970141181E-2</v>
      </c>
      <c r="D1588" s="7">
        <f t="shared" si="77"/>
        <v>8.867788929434417E-2</v>
      </c>
      <c r="E1588" s="7">
        <f t="shared" si="78"/>
        <v>-2.4227446958891354</v>
      </c>
    </row>
    <row r="1589" spans="1:5" x14ac:dyDescent="0.15">
      <c r="A1589" s="7">
        <v>1582</v>
      </c>
      <c r="B1589" s="7">
        <v>1</v>
      </c>
      <c r="C1589" s="7">
        <f t="shared" si="76"/>
        <v>8.8686757970141181E-2</v>
      </c>
      <c r="D1589" s="7">
        <f t="shared" si="77"/>
        <v>8.867788929434417E-2</v>
      </c>
      <c r="E1589" s="7">
        <f t="shared" si="78"/>
        <v>-2.4227446958891354</v>
      </c>
    </row>
    <row r="1590" spans="1:5" x14ac:dyDescent="0.15">
      <c r="A1590" s="7">
        <v>1583</v>
      </c>
      <c r="B1590" s="7">
        <v>0</v>
      </c>
      <c r="C1590" s="7">
        <f t="shared" si="76"/>
        <v>0.75583605794746755</v>
      </c>
      <c r="D1590" s="7">
        <f t="shared" si="77"/>
        <v>0.75586047434167281</v>
      </c>
      <c r="E1590" s="7">
        <f t="shared" si="78"/>
        <v>-0.27989847758459119</v>
      </c>
    </row>
    <row r="1591" spans="1:5" x14ac:dyDescent="0.15">
      <c r="A1591" s="7">
        <v>1584</v>
      </c>
      <c r="B1591" s="7">
        <v>0</v>
      </c>
      <c r="C1591" s="7">
        <f t="shared" si="76"/>
        <v>0.75583605794746755</v>
      </c>
      <c r="D1591" s="7">
        <f t="shared" si="77"/>
        <v>0.75586047434167281</v>
      </c>
      <c r="E1591" s="7">
        <f t="shared" si="78"/>
        <v>-0.27989847758459119</v>
      </c>
    </row>
    <row r="1592" spans="1:5" x14ac:dyDescent="0.15">
      <c r="A1592" s="7">
        <v>1585</v>
      </c>
      <c r="B1592" s="7">
        <v>0</v>
      </c>
      <c r="C1592" s="7">
        <f t="shared" si="76"/>
        <v>0.75583605794746755</v>
      </c>
      <c r="D1592" s="7">
        <f t="shared" si="77"/>
        <v>0.75586047434167281</v>
      </c>
      <c r="E1592" s="7">
        <f t="shared" si="78"/>
        <v>-0.27989847758459119</v>
      </c>
    </row>
    <row r="1593" spans="1:5" x14ac:dyDescent="0.15">
      <c r="A1593" s="7">
        <v>1586</v>
      </c>
      <c r="B1593" s="7">
        <v>0</v>
      </c>
      <c r="C1593" s="7">
        <f t="shared" si="76"/>
        <v>0.75583605794746755</v>
      </c>
      <c r="D1593" s="7">
        <f t="shared" si="77"/>
        <v>0.75586047434167281</v>
      </c>
      <c r="E1593" s="7">
        <f t="shared" si="78"/>
        <v>-0.27989847758459119</v>
      </c>
    </row>
    <row r="1594" spans="1:5" x14ac:dyDescent="0.15">
      <c r="A1594" s="7">
        <v>1587</v>
      </c>
      <c r="B1594" s="7">
        <v>0</v>
      </c>
      <c r="C1594" s="7">
        <f t="shared" si="76"/>
        <v>0.75583605794746755</v>
      </c>
      <c r="D1594" s="7">
        <f t="shared" si="77"/>
        <v>0.75586047434167281</v>
      </c>
      <c r="E1594" s="7">
        <f t="shared" si="78"/>
        <v>-0.27989847758459119</v>
      </c>
    </row>
    <row r="1595" spans="1:5" x14ac:dyDescent="0.15">
      <c r="A1595" s="7">
        <v>1588</v>
      </c>
      <c r="B1595" s="7">
        <v>1</v>
      </c>
      <c r="C1595" s="7">
        <f t="shared" si="76"/>
        <v>8.8686757970141181E-2</v>
      </c>
      <c r="D1595" s="7">
        <f t="shared" si="77"/>
        <v>8.867788929434417E-2</v>
      </c>
      <c r="E1595" s="7">
        <f t="shared" si="78"/>
        <v>-2.4227446958891354</v>
      </c>
    </row>
    <row r="1596" spans="1:5" x14ac:dyDescent="0.15">
      <c r="A1596" s="7">
        <v>1589</v>
      </c>
      <c r="B1596" s="7">
        <v>0</v>
      </c>
      <c r="C1596" s="7">
        <f t="shared" si="76"/>
        <v>0.75583605794746755</v>
      </c>
      <c r="D1596" s="7">
        <f t="shared" si="77"/>
        <v>0.75586047434167281</v>
      </c>
      <c r="E1596" s="7">
        <f t="shared" si="78"/>
        <v>-0.27989847758459119</v>
      </c>
    </row>
    <row r="1597" spans="1:5" x14ac:dyDescent="0.15">
      <c r="A1597" s="7">
        <v>1590</v>
      </c>
      <c r="B1597" s="7">
        <v>2</v>
      </c>
      <c r="C1597" s="7">
        <f t="shared" si="76"/>
        <v>4.4066701399555049E-2</v>
      </c>
      <c r="D1597" s="7">
        <f t="shared" si="77"/>
        <v>4.4062294729415093E-2</v>
      </c>
      <c r="E1597" s="7">
        <f t="shared" si="78"/>
        <v>-3.1221508570437044</v>
      </c>
    </row>
    <row r="1598" spans="1:5" x14ac:dyDescent="0.15">
      <c r="A1598" s="7">
        <v>1591</v>
      </c>
      <c r="B1598" s="7">
        <v>0</v>
      </c>
      <c r="C1598" s="7">
        <f t="shared" si="76"/>
        <v>0.75583605794746755</v>
      </c>
      <c r="D1598" s="7">
        <f t="shared" si="77"/>
        <v>0.75586047434167281</v>
      </c>
      <c r="E1598" s="7">
        <f t="shared" si="78"/>
        <v>-0.27989847758459119</v>
      </c>
    </row>
    <row r="1599" spans="1:5" x14ac:dyDescent="0.15">
      <c r="A1599" s="7">
        <v>1592</v>
      </c>
      <c r="B1599" s="7">
        <v>0</v>
      </c>
      <c r="C1599" s="7">
        <f t="shared" si="76"/>
        <v>0.75583605794746755</v>
      </c>
      <c r="D1599" s="7">
        <f t="shared" si="77"/>
        <v>0.75586047434167281</v>
      </c>
      <c r="E1599" s="7">
        <f t="shared" si="78"/>
        <v>-0.27989847758459119</v>
      </c>
    </row>
    <row r="1600" spans="1:5" x14ac:dyDescent="0.15">
      <c r="A1600" s="7">
        <v>1593</v>
      </c>
      <c r="B1600" s="7">
        <v>0</v>
      </c>
      <c r="C1600" s="7">
        <f t="shared" si="76"/>
        <v>0.75583605794746755</v>
      </c>
      <c r="D1600" s="7">
        <f t="shared" si="77"/>
        <v>0.75586047434167281</v>
      </c>
      <c r="E1600" s="7">
        <f t="shared" si="78"/>
        <v>-0.27989847758459119</v>
      </c>
    </row>
    <row r="1601" spans="1:5" x14ac:dyDescent="0.15">
      <c r="A1601" s="7">
        <v>1594</v>
      </c>
      <c r="B1601" s="7">
        <v>0</v>
      </c>
      <c r="C1601" s="7">
        <f t="shared" si="76"/>
        <v>0.75583605794746755</v>
      </c>
      <c r="D1601" s="7">
        <f t="shared" si="77"/>
        <v>0.75586047434167281</v>
      </c>
      <c r="E1601" s="7">
        <f t="shared" si="78"/>
        <v>-0.27989847758459119</v>
      </c>
    </row>
    <row r="1602" spans="1:5" x14ac:dyDescent="0.15">
      <c r="A1602" s="7">
        <v>1595</v>
      </c>
      <c r="B1602" s="7">
        <v>0</v>
      </c>
      <c r="C1602" s="7">
        <f t="shared" si="76"/>
        <v>0.75583605794746755</v>
      </c>
      <c r="D1602" s="7">
        <f t="shared" si="77"/>
        <v>0.75586047434167281</v>
      </c>
      <c r="E1602" s="7">
        <f t="shared" si="78"/>
        <v>-0.27989847758459119</v>
      </c>
    </row>
    <row r="1603" spans="1:5" x14ac:dyDescent="0.15">
      <c r="A1603" s="7">
        <v>1596</v>
      </c>
      <c r="B1603" s="7">
        <v>0</v>
      </c>
      <c r="C1603" s="7">
        <f t="shared" si="76"/>
        <v>0.75583605794746755</v>
      </c>
      <c r="D1603" s="7">
        <f t="shared" si="77"/>
        <v>0.75586047434167281</v>
      </c>
      <c r="E1603" s="7">
        <f t="shared" si="78"/>
        <v>-0.27989847758459119</v>
      </c>
    </row>
    <row r="1604" spans="1:5" x14ac:dyDescent="0.15">
      <c r="A1604" s="7">
        <v>1597</v>
      </c>
      <c r="B1604" s="7">
        <v>0</v>
      </c>
      <c r="C1604" s="7">
        <f t="shared" si="76"/>
        <v>0.75583605794746755</v>
      </c>
      <c r="D1604" s="7">
        <f t="shared" si="77"/>
        <v>0.75586047434167281</v>
      </c>
      <c r="E1604" s="7">
        <f t="shared" si="78"/>
        <v>-0.27989847758459119</v>
      </c>
    </row>
    <row r="1605" spans="1:5" x14ac:dyDescent="0.15">
      <c r="A1605" s="7">
        <v>1598</v>
      </c>
      <c r="B1605" s="7">
        <v>1</v>
      </c>
      <c r="C1605" s="7">
        <f t="shared" si="76"/>
        <v>8.8686757970141181E-2</v>
      </c>
      <c r="D1605" s="7">
        <f t="shared" si="77"/>
        <v>8.867788929434417E-2</v>
      </c>
      <c r="E1605" s="7">
        <f t="shared" si="78"/>
        <v>-2.4227446958891354</v>
      </c>
    </row>
    <row r="1606" spans="1:5" x14ac:dyDescent="0.15">
      <c r="A1606" s="7">
        <v>1599</v>
      </c>
      <c r="B1606" s="7">
        <v>0</v>
      </c>
      <c r="C1606" s="7">
        <f t="shared" si="76"/>
        <v>0.75583605794746755</v>
      </c>
      <c r="D1606" s="7">
        <f t="shared" si="77"/>
        <v>0.75586047434167281</v>
      </c>
      <c r="E1606" s="7">
        <f t="shared" si="78"/>
        <v>-0.27989847758459119</v>
      </c>
    </row>
    <row r="1607" spans="1:5" x14ac:dyDescent="0.15">
      <c r="A1607" s="7">
        <v>1600</v>
      </c>
      <c r="B1607" s="7">
        <v>0</v>
      </c>
      <c r="C1607" s="7">
        <f t="shared" si="76"/>
        <v>0.75583605794746755</v>
      </c>
      <c r="D1607" s="7">
        <f t="shared" si="77"/>
        <v>0.75586047434167281</v>
      </c>
      <c r="E1607" s="7">
        <f t="shared" si="78"/>
        <v>-0.27989847758459119</v>
      </c>
    </row>
    <row r="1608" spans="1:5" x14ac:dyDescent="0.15">
      <c r="A1608" s="7">
        <v>1601</v>
      </c>
      <c r="B1608" s="7">
        <v>0</v>
      </c>
      <c r="C1608" s="7">
        <f t="shared" si="76"/>
        <v>0.75583605794746755</v>
      </c>
      <c r="D1608" s="7">
        <f t="shared" si="77"/>
        <v>0.75586047434167281</v>
      </c>
      <c r="E1608" s="7">
        <f t="shared" si="78"/>
        <v>-0.27989847758459119</v>
      </c>
    </row>
    <row r="1609" spans="1:5" x14ac:dyDescent="0.15">
      <c r="A1609" s="7">
        <v>1602</v>
      </c>
      <c r="B1609" s="7">
        <v>0</v>
      </c>
      <c r="C1609" s="7">
        <f t="shared" ref="C1609:C1672" si="79">(_xlfn.GAMMA($B$1+B1609)/(_xlfn.GAMMA($B$1)*FACT(B1609))) * ($B$2/($B$2+$B$5))^$B$1 * (1/($B$2 +$B$5))^B1609</f>
        <v>0.75583605794746755</v>
      </c>
      <c r="D1609" s="7">
        <f t="shared" ref="D1609:D1672" si="80" xml:space="preserve"> IF(B1609 = 0, $B$3 + (1-$B$3) * C1609, (1-$B$3) *C1609)</f>
        <v>0.75586047434167281</v>
      </c>
      <c r="E1609" s="7">
        <f t="shared" ref="E1609:E1672" si="81">LN(D1609)</f>
        <v>-0.27989847758459119</v>
      </c>
    </row>
    <row r="1610" spans="1:5" x14ac:dyDescent="0.15">
      <c r="A1610" s="7">
        <v>1603</v>
      </c>
      <c r="B1610" s="7">
        <v>0</v>
      </c>
      <c r="C1610" s="7">
        <f t="shared" si="79"/>
        <v>0.75583605794746755</v>
      </c>
      <c r="D1610" s="7">
        <f t="shared" si="80"/>
        <v>0.75586047434167281</v>
      </c>
      <c r="E1610" s="7">
        <f t="shared" si="81"/>
        <v>-0.27989847758459119</v>
      </c>
    </row>
    <row r="1611" spans="1:5" x14ac:dyDescent="0.15">
      <c r="A1611" s="7">
        <v>1604</v>
      </c>
      <c r="B1611" s="7">
        <v>0</v>
      </c>
      <c r="C1611" s="7">
        <f t="shared" si="79"/>
        <v>0.75583605794746755</v>
      </c>
      <c r="D1611" s="7">
        <f t="shared" si="80"/>
        <v>0.75586047434167281</v>
      </c>
      <c r="E1611" s="7">
        <f t="shared" si="81"/>
        <v>-0.27989847758459119</v>
      </c>
    </row>
    <row r="1612" spans="1:5" x14ac:dyDescent="0.15">
      <c r="A1612" s="7">
        <v>1605</v>
      </c>
      <c r="B1612" s="7">
        <v>0</v>
      </c>
      <c r="C1612" s="7">
        <f t="shared" si="79"/>
        <v>0.75583605794746755</v>
      </c>
      <c r="D1612" s="7">
        <f t="shared" si="80"/>
        <v>0.75586047434167281</v>
      </c>
      <c r="E1612" s="7">
        <f t="shared" si="81"/>
        <v>-0.27989847758459119</v>
      </c>
    </row>
    <row r="1613" spans="1:5" x14ac:dyDescent="0.15">
      <c r="A1613" s="7">
        <v>1606</v>
      </c>
      <c r="B1613" s="7">
        <v>0</v>
      </c>
      <c r="C1613" s="7">
        <f t="shared" si="79"/>
        <v>0.75583605794746755</v>
      </c>
      <c r="D1613" s="7">
        <f t="shared" si="80"/>
        <v>0.75586047434167281</v>
      </c>
      <c r="E1613" s="7">
        <f t="shared" si="81"/>
        <v>-0.27989847758459119</v>
      </c>
    </row>
    <row r="1614" spans="1:5" x14ac:dyDescent="0.15">
      <c r="A1614" s="7">
        <v>1607</v>
      </c>
      <c r="B1614" s="7">
        <v>0</v>
      </c>
      <c r="C1614" s="7">
        <f t="shared" si="79"/>
        <v>0.75583605794746755</v>
      </c>
      <c r="D1614" s="7">
        <f t="shared" si="80"/>
        <v>0.75586047434167281</v>
      </c>
      <c r="E1614" s="7">
        <f t="shared" si="81"/>
        <v>-0.27989847758459119</v>
      </c>
    </row>
    <row r="1615" spans="1:5" x14ac:dyDescent="0.15">
      <c r="A1615" s="7">
        <v>1608</v>
      </c>
      <c r="B1615" s="7">
        <v>0</v>
      </c>
      <c r="C1615" s="7">
        <f t="shared" si="79"/>
        <v>0.75583605794746755</v>
      </c>
      <c r="D1615" s="7">
        <f t="shared" si="80"/>
        <v>0.75586047434167281</v>
      </c>
      <c r="E1615" s="7">
        <f t="shared" si="81"/>
        <v>-0.27989847758459119</v>
      </c>
    </row>
    <row r="1616" spans="1:5" x14ac:dyDescent="0.15">
      <c r="A1616" s="7">
        <v>1609</v>
      </c>
      <c r="B1616" s="7">
        <v>0</v>
      </c>
      <c r="C1616" s="7">
        <f t="shared" si="79"/>
        <v>0.75583605794746755</v>
      </c>
      <c r="D1616" s="7">
        <f t="shared" si="80"/>
        <v>0.75586047434167281</v>
      </c>
      <c r="E1616" s="7">
        <f t="shared" si="81"/>
        <v>-0.27989847758459119</v>
      </c>
    </row>
    <row r="1617" spans="1:5" x14ac:dyDescent="0.15">
      <c r="A1617" s="7">
        <v>1610</v>
      </c>
      <c r="B1617" s="7">
        <v>0</v>
      </c>
      <c r="C1617" s="7">
        <f t="shared" si="79"/>
        <v>0.75583605794746755</v>
      </c>
      <c r="D1617" s="7">
        <f t="shared" si="80"/>
        <v>0.75586047434167281</v>
      </c>
      <c r="E1617" s="7">
        <f t="shared" si="81"/>
        <v>-0.27989847758459119</v>
      </c>
    </row>
    <row r="1618" spans="1:5" x14ac:dyDescent="0.15">
      <c r="A1618" s="7">
        <v>1611</v>
      </c>
      <c r="B1618" s="7">
        <v>1</v>
      </c>
      <c r="C1618" s="7">
        <f t="shared" si="79"/>
        <v>8.8686757970141181E-2</v>
      </c>
      <c r="D1618" s="7">
        <f t="shared" si="80"/>
        <v>8.867788929434417E-2</v>
      </c>
      <c r="E1618" s="7">
        <f t="shared" si="81"/>
        <v>-2.4227446958891354</v>
      </c>
    </row>
    <row r="1619" spans="1:5" x14ac:dyDescent="0.15">
      <c r="A1619" s="7">
        <v>1612</v>
      </c>
      <c r="B1619" s="7">
        <v>1</v>
      </c>
      <c r="C1619" s="7">
        <f t="shared" si="79"/>
        <v>8.8686757970141181E-2</v>
      </c>
      <c r="D1619" s="7">
        <f t="shared" si="80"/>
        <v>8.867788929434417E-2</v>
      </c>
      <c r="E1619" s="7">
        <f t="shared" si="81"/>
        <v>-2.4227446958891354</v>
      </c>
    </row>
    <row r="1620" spans="1:5" x14ac:dyDescent="0.15">
      <c r="A1620" s="7">
        <v>1613</v>
      </c>
      <c r="B1620" s="7">
        <v>0</v>
      </c>
      <c r="C1620" s="7">
        <f t="shared" si="79"/>
        <v>0.75583605794746755</v>
      </c>
      <c r="D1620" s="7">
        <f t="shared" si="80"/>
        <v>0.75586047434167281</v>
      </c>
      <c r="E1620" s="7">
        <f t="shared" si="81"/>
        <v>-0.27989847758459119</v>
      </c>
    </row>
    <row r="1621" spans="1:5" x14ac:dyDescent="0.15">
      <c r="A1621" s="7">
        <v>1614</v>
      </c>
      <c r="B1621" s="7">
        <v>0</v>
      </c>
      <c r="C1621" s="7">
        <f t="shared" si="79"/>
        <v>0.75583605794746755</v>
      </c>
      <c r="D1621" s="7">
        <f t="shared" si="80"/>
        <v>0.75586047434167281</v>
      </c>
      <c r="E1621" s="7">
        <f t="shared" si="81"/>
        <v>-0.27989847758459119</v>
      </c>
    </row>
    <row r="1622" spans="1:5" x14ac:dyDescent="0.15">
      <c r="A1622" s="7">
        <v>1615</v>
      </c>
      <c r="B1622" s="7">
        <v>0</v>
      </c>
      <c r="C1622" s="7">
        <f t="shared" si="79"/>
        <v>0.75583605794746755</v>
      </c>
      <c r="D1622" s="7">
        <f t="shared" si="80"/>
        <v>0.75586047434167281</v>
      </c>
      <c r="E1622" s="7">
        <f t="shared" si="81"/>
        <v>-0.27989847758459119</v>
      </c>
    </row>
    <row r="1623" spans="1:5" x14ac:dyDescent="0.15">
      <c r="A1623" s="7">
        <v>1616</v>
      </c>
      <c r="B1623" s="7">
        <v>3</v>
      </c>
      <c r="C1623" s="7">
        <f t="shared" si="79"/>
        <v>2.7470963680778882E-2</v>
      </c>
      <c r="D1623" s="7">
        <f t="shared" si="80"/>
        <v>2.7468216584410805E-2</v>
      </c>
      <c r="E1623" s="7">
        <f t="shared" si="81"/>
        <v>-3.5947257032827968</v>
      </c>
    </row>
    <row r="1624" spans="1:5" x14ac:dyDescent="0.15">
      <c r="A1624" s="7">
        <v>1617</v>
      </c>
      <c r="B1624" s="7">
        <v>0</v>
      </c>
      <c r="C1624" s="7">
        <f t="shared" si="79"/>
        <v>0.75583605794746755</v>
      </c>
      <c r="D1624" s="7">
        <f t="shared" si="80"/>
        <v>0.75586047434167281</v>
      </c>
      <c r="E1624" s="7">
        <f t="shared" si="81"/>
        <v>-0.27989847758459119</v>
      </c>
    </row>
    <row r="1625" spans="1:5" x14ac:dyDescent="0.15">
      <c r="A1625" s="7">
        <v>1618</v>
      </c>
      <c r="B1625" s="7">
        <v>0</v>
      </c>
      <c r="C1625" s="7">
        <f t="shared" si="79"/>
        <v>0.75583605794746755</v>
      </c>
      <c r="D1625" s="7">
        <f t="shared" si="80"/>
        <v>0.75586047434167281</v>
      </c>
      <c r="E1625" s="7">
        <f t="shared" si="81"/>
        <v>-0.27989847758459119</v>
      </c>
    </row>
    <row r="1626" spans="1:5" x14ac:dyDescent="0.15">
      <c r="A1626" s="7">
        <v>1619</v>
      </c>
      <c r="B1626" s="7">
        <v>3</v>
      </c>
      <c r="C1626" s="7">
        <f t="shared" si="79"/>
        <v>2.7470963680778882E-2</v>
      </c>
      <c r="D1626" s="7">
        <f t="shared" si="80"/>
        <v>2.7468216584410805E-2</v>
      </c>
      <c r="E1626" s="7">
        <f t="shared" si="81"/>
        <v>-3.5947257032827968</v>
      </c>
    </row>
    <row r="1627" spans="1:5" x14ac:dyDescent="0.15">
      <c r="A1627" s="7">
        <v>1620</v>
      </c>
      <c r="B1627" s="7">
        <v>0</v>
      </c>
      <c r="C1627" s="7">
        <f t="shared" si="79"/>
        <v>0.75583605794746755</v>
      </c>
      <c r="D1627" s="7">
        <f t="shared" si="80"/>
        <v>0.75586047434167281</v>
      </c>
      <c r="E1627" s="7">
        <f t="shared" si="81"/>
        <v>-0.27989847758459119</v>
      </c>
    </row>
    <row r="1628" spans="1:5" x14ac:dyDescent="0.15">
      <c r="A1628" s="7">
        <v>1621</v>
      </c>
      <c r="B1628" s="7">
        <v>0</v>
      </c>
      <c r="C1628" s="7">
        <f t="shared" si="79"/>
        <v>0.75583605794746755</v>
      </c>
      <c r="D1628" s="7">
        <f t="shared" si="80"/>
        <v>0.75586047434167281</v>
      </c>
      <c r="E1628" s="7">
        <f t="shared" si="81"/>
        <v>-0.27989847758459119</v>
      </c>
    </row>
    <row r="1629" spans="1:5" x14ac:dyDescent="0.15">
      <c r="A1629" s="7">
        <v>1622</v>
      </c>
      <c r="B1629" s="7">
        <v>0</v>
      </c>
      <c r="C1629" s="7">
        <f t="shared" si="79"/>
        <v>0.75583605794746755</v>
      </c>
      <c r="D1629" s="7">
        <f t="shared" si="80"/>
        <v>0.75586047434167281</v>
      </c>
      <c r="E1629" s="7">
        <f t="shared" si="81"/>
        <v>-0.27989847758459119</v>
      </c>
    </row>
    <row r="1630" spans="1:5" x14ac:dyDescent="0.15">
      <c r="A1630" s="7">
        <v>1623</v>
      </c>
      <c r="B1630" s="7">
        <v>1</v>
      </c>
      <c r="C1630" s="7">
        <f t="shared" si="79"/>
        <v>8.8686757970141181E-2</v>
      </c>
      <c r="D1630" s="7">
        <f t="shared" si="80"/>
        <v>8.867788929434417E-2</v>
      </c>
      <c r="E1630" s="7">
        <f t="shared" si="81"/>
        <v>-2.4227446958891354</v>
      </c>
    </row>
    <row r="1631" spans="1:5" x14ac:dyDescent="0.15">
      <c r="A1631" s="7">
        <v>1624</v>
      </c>
      <c r="B1631" s="7">
        <v>0</v>
      </c>
      <c r="C1631" s="7">
        <f t="shared" si="79"/>
        <v>0.75583605794746755</v>
      </c>
      <c r="D1631" s="7">
        <f t="shared" si="80"/>
        <v>0.75586047434167281</v>
      </c>
      <c r="E1631" s="7">
        <f t="shared" si="81"/>
        <v>-0.27989847758459119</v>
      </c>
    </row>
    <row r="1632" spans="1:5" x14ac:dyDescent="0.15">
      <c r="A1632" s="7">
        <v>1625</v>
      </c>
      <c r="B1632" s="7">
        <v>0</v>
      </c>
      <c r="C1632" s="7">
        <f t="shared" si="79"/>
        <v>0.75583605794746755</v>
      </c>
      <c r="D1632" s="7">
        <f t="shared" si="80"/>
        <v>0.75586047434167281</v>
      </c>
      <c r="E1632" s="7">
        <f t="shared" si="81"/>
        <v>-0.27989847758459119</v>
      </c>
    </row>
    <row r="1633" spans="1:5" x14ac:dyDescent="0.15">
      <c r="A1633" s="7">
        <v>1626</v>
      </c>
      <c r="B1633" s="7">
        <v>0</v>
      </c>
      <c r="C1633" s="7">
        <f t="shared" si="79"/>
        <v>0.75583605794746755</v>
      </c>
      <c r="D1633" s="7">
        <f t="shared" si="80"/>
        <v>0.75586047434167281</v>
      </c>
      <c r="E1633" s="7">
        <f t="shared" si="81"/>
        <v>-0.27989847758459119</v>
      </c>
    </row>
    <row r="1634" spans="1:5" x14ac:dyDescent="0.15">
      <c r="A1634" s="7">
        <v>1627</v>
      </c>
      <c r="B1634" s="7">
        <v>0</v>
      </c>
      <c r="C1634" s="7">
        <f t="shared" si="79"/>
        <v>0.75583605794746755</v>
      </c>
      <c r="D1634" s="7">
        <f t="shared" si="80"/>
        <v>0.75586047434167281</v>
      </c>
      <c r="E1634" s="7">
        <f t="shared" si="81"/>
        <v>-0.27989847758459119</v>
      </c>
    </row>
    <row r="1635" spans="1:5" x14ac:dyDescent="0.15">
      <c r="A1635" s="7">
        <v>1628</v>
      </c>
      <c r="B1635" s="7">
        <v>0</v>
      </c>
      <c r="C1635" s="7">
        <f t="shared" si="79"/>
        <v>0.75583605794746755</v>
      </c>
      <c r="D1635" s="7">
        <f t="shared" si="80"/>
        <v>0.75586047434167281</v>
      </c>
      <c r="E1635" s="7">
        <f t="shared" si="81"/>
        <v>-0.27989847758459119</v>
      </c>
    </row>
    <row r="1636" spans="1:5" x14ac:dyDescent="0.15">
      <c r="A1636" s="7">
        <v>1629</v>
      </c>
      <c r="B1636" s="7">
        <v>0</v>
      </c>
      <c r="C1636" s="7">
        <f t="shared" si="79"/>
        <v>0.75583605794746755</v>
      </c>
      <c r="D1636" s="7">
        <f t="shared" si="80"/>
        <v>0.75586047434167281</v>
      </c>
      <c r="E1636" s="7">
        <f t="shared" si="81"/>
        <v>-0.27989847758459119</v>
      </c>
    </row>
    <row r="1637" spans="1:5" x14ac:dyDescent="0.15">
      <c r="A1637" s="7">
        <v>1630</v>
      </c>
      <c r="B1637" s="7">
        <v>0</v>
      </c>
      <c r="C1637" s="7">
        <f t="shared" si="79"/>
        <v>0.75583605794746755</v>
      </c>
      <c r="D1637" s="7">
        <f t="shared" si="80"/>
        <v>0.75586047434167281</v>
      </c>
      <c r="E1637" s="7">
        <f t="shared" si="81"/>
        <v>-0.27989847758459119</v>
      </c>
    </row>
    <row r="1638" spans="1:5" x14ac:dyDescent="0.15">
      <c r="A1638" s="7">
        <v>1631</v>
      </c>
      <c r="B1638" s="7">
        <v>0</v>
      </c>
      <c r="C1638" s="7">
        <f t="shared" si="79"/>
        <v>0.75583605794746755</v>
      </c>
      <c r="D1638" s="7">
        <f t="shared" si="80"/>
        <v>0.75586047434167281</v>
      </c>
      <c r="E1638" s="7">
        <f t="shared" si="81"/>
        <v>-0.27989847758459119</v>
      </c>
    </row>
    <row r="1639" spans="1:5" x14ac:dyDescent="0.15">
      <c r="A1639" s="7">
        <v>1632</v>
      </c>
      <c r="B1639" s="7">
        <v>1</v>
      </c>
      <c r="C1639" s="7">
        <f t="shared" si="79"/>
        <v>8.8686757970141181E-2</v>
      </c>
      <c r="D1639" s="7">
        <f t="shared" si="80"/>
        <v>8.867788929434417E-2</v>
      </c>
      <c r="E1639" s="7">
        <f t="shared" si="81"/>
        <v>-2.4227446958891354</v>
      </c>
    </row>
    <row r="1640" spans="1:5" x14ac:dyDescent="0.15">
      <c r="A1640" s="7">
        <v>1633</v>
      </c>
      <c r="B1640" s="7">
        <v>7</v>
      </c>
      <c r="C1640" s="7">
        <f t="shared" si="79"/>
        <v>7.8718020395525893E-3</v>
      </c>
      <c r="D1640" s="7">
        <f t="shared" si="80"/>
        <v>7.8710148593486347E-3</v>
      </c>
      <c r="E1640" s="7">
        <f t="shared" si="81"/>
        <v>-4.8445682719632792</v>
      </c>
    </row>
    <row r="1641" spans="1:5" x14ac:dyDescent="0.15">
      <c r="A1641" s="7">
        <v>1634</v>
      </c>
      <c r="B1641" s="7">
        <v>0</v>
      </c>
      <c r="C1641" s="7">
        <f t="shared" si="79"/>
        <v>0.75583605794746755</v>
      </c>
      <c r="D1641" s="7">
        <f t="shared" si="80"/>
        <v>0.75586047434167281</v>
      </c>
      <c r="E1641" s="7">
        <f t="shared" si="81"/>
        <v>-0.27989847758459119</v>
      </c>
    </row>
    <row r="1642" spans="1:5" x14ac:dyDescent="0.15">
      <c r="A1642" s="7">
        <v>1635</v>
      </c>
      <c r="B1642" s="7">
        <v>0</v>
      </c>
      <c r="C1642" s="7">
        <f t="shared" si="79"/>
        <v>0.75583605794746755</v>
      </c>
      <c r="D1642" s="7">
        <f t="shared" si="80"/>
        <v>0.75586047434167281</v>
      </c>
      <c r="E1642" s="7">
        <f t="shared" si="81"/>
        <v>-0.27989847758459119</v>
      </c>
    </row>
    <row r="1643" spans="1:5" x14ac:dyDescent="0.15">
      <c r="A1643" s="7">
        <v>1636</v>
      </c>
      <c r="B1643" s="7">
        <v>0</v>
      </c>
      <c r="C1643" s="7">
        <f t="shared" si="79"/>
        <v>0.75583605794746755</v>
      </c>
      <c r="D1643" s="7">
        <f t="shared" si="80"/>
        <v>0.75586047434167281</v>
      </c>
      <c r="E1643" s="7">
        <f t="shared" si="81"/>
        <v>-0.27989847758459119</v>
      </c>
    </row>
    <row r="1644" spans="1:5" x14ac:dyDescent="0.15">
      <c r="A1644" s="7">
        <v>1637</v>
      </c>
      <c r="B1644" s="7">
        <v>0</v>
      </c>
      <c r="C1644" s="7">
        <f t="shared" si="79"/>
        <v>0.75583605794746755</v>
      </c>
      <c r="D1644" s="7">
        <f t="shared" si="80"/>
        <v>0.75586047434167281</v>
      </c>
      <c r="E1644" s="7">
        <f t="shared" si="81"/>
        <v>-0.27989847758459119</v>
      </c>
    </row>
    <row r="1645" spans="1:5" x14ac:dyDescent="0.15">
      <c r="A1645" s="7">
        <v>1638</v>
      </c>
      <c r="B1645" s="7">
        <v>0</v>
      </c>
      <c r="C1645" s="7">
        <f t="shared" si="79"/>
        <v>0.75583605794746755</v>
      </c>
      <c r="D1645" s="7">
        <f t="shared" si="80"/>
        <v>0.75586047434167281</v>
      </c>
      <c r="E1645" s="7">
        <f t="shared" si="81"/>
        <v>-0.27989847758459119</v>
      </c>
    </row>
    <row r="1646" spans="1:5" x14ac:dyDescent="0.15">
      <c r="A1646" s="7">
        <v>1639</v>
      </c>
      <c r="B1646" s="7">
        <v>0</v>
      </c>
      <c r="C1646" s="7">
        <f t="shared" si="79"/>
        <v>0.75583605794746755</v>
      </c>
      <c r="D1646" s="7">
        <f t="shared" si="80"/>
        <v>0.75586047434167281</v>
      </c>
      <c r="E1646" s="7">
        <f t="shared" si="81"/>
        <v>-0.27989847758459119</v>
      </c>
    </row>
    <row r="1647" spans="1:5" x14ac:dyDescent="0.15">
      <c r="A1647" s="7">
        <v>1640</v>
      </c>
      <c r="B1647" s="7">
        <v>0</v>
      </c>
      <c r="C1647" s="7">
        <f t="shared" si="79"/>
        <v>0.75583605794746755</v>
      </c>
      <c r="D1647" s="7">
        <f t="shared" si="80"/>
        <v>0.75586047434167281</v>
      </c>
      <c r="E1647" s="7">
        <f t="shared" si="81"/>
        <v>-0.27989847758459119</v>
      </c>
    </row>
    <row r="1648" spans="1:5" x14ac:dyDescent="0.15">
      <c r="A1648" s="7">
        <v>1641</v>
      </c>
      <c r="B1648" s="7">
        <v>0</v>
      </c>
      <c r="C1648" s="7">
        <f t="shared" si="79"/>
        <v>0.75583605794746755</v>
      </c>
      <c r="D1648" s="7">
        <f t="shared" si="80"/>
        <v>0.75586047434167281</v>
      </c>
      <c r="E1648" s="7">
        <f t="shared" si="81"/>
        <v>-0.27989847758459119</v>
      </c>
    </row>
    <row r="1649" spans="1:5" x14ac:dyDescent="0.15">
      <c r="A1649" s="7">
        <v>1642</v>
      </c>
      <c r="B1649" s="7">
        <v>0</v>
      </c>
      <c r="C1649" s="7">
        <f t="shared" si="79"/>
        <v>0.75583605794746755</v>
      </c>
      <c r="D1649" s="7">
        <f t="shared" si="80"/>
        <v>0.75586047434167281</v>
      </c>
      <c r="E1649" s="7">
        <f t="shared" si="81"/>
        <v>-0.27989847758459119</v>
      </c>
    </row>
    <row r="1650" spans="1:5" x14ac:dyDescent="0.15">
      <c r="A1650" s="7">
        <v>1643</v>
      </c>
      <c r="B1650" s="7">
        <v>0</v>
      </c>
      <c r="C1650" s="7">
        <f t="shared" si="79"/>
        <v>0.75583605794746755</v>
      </c>
      <c r="D1650" s="7">
        <f t="shared" si="80"/>
        <v>0.75586047434167281</v>
      </c>
      <c r="E1650" s="7">
        <f t="shared" si="81"/>
        <v>-0.27989847758459119</v>
      </c>
    </row>
    <row r="1651" spans="1:5" x14ac:dyDescent="0.15">
      <c r="A1651" s="7">
        <v>1644</v>
      </c>
      <c r="B1651" s="7">
        <v>1</v>
      </c>
      <c r="C1651" s="7">
        <f t="shared" si="79"/>
        <v>8.8686757970141181E-2</v>
      </c>
      <c r="D1651" s="7">
        <f t="shared" si="80"/>
        <v>8.867788929434417E-2</v>
      </c>
      <c r="E1651" s="7">
        <f t="shared" si="81"/>
        <v>-2.4227446958891354</v>
      </c>
    </row>
    <row r="1652" spans="1:5" x14ac:dyDescent="0.15">
      <c r="A1652" s="7">
        <v>1645</v>
      </c>
      <c r="B1652" s="7">
        <v>0</v>
      </c>
      <c r="C1652" s="7">
        <f t="shared" si="79"/>
        <v>0.75583605794746755</v>
      </c>
      <c r="D1652" s="7">
        <f t="shared" si="80"/>
        <v>0.75586047434167281</v>
      </c>
      <c r="E1652" s="7">
        <f t="shared" si="81"/>
        <v>-0.27989847758459119</v>
      </c>
    </row>
    <row r="1653" spans="1:5" x14ac:dyDescent="0.15">
      <c r="A1653" s="7">
        <v>1646</v>
      </c>
      <c r="B1653" s="7">
        <v>0</v>
      </c>
      <c r="C1653" s="7">
        <f t="shared" si="79"/>
        <v>0.75583605794746755</v>
      </c>
      <c r="D1653" s="7">
        <f t="shared" si="80"/>
        <v>0.75586047434167281</v>
      </c>
      <c r="E1653" s="7">
        <f t="shared" si="81"/>
        <v>-0.27989847758459119</v>
      </c>
    </row>
    <row r="1654" spans="1:5" x14ac:dyDescent="0.15">
      <c r="A1654" s="7">
        <v>1647</v>
      </c>
      <c r="B1654" s="7">
        <v>0</v>
      </c>
      <c r="C1654" s="7">
        <f t="shared" si="79"/>
        <v>0.75583605794746755</v>
      </c>
      <c r="D1654" s="7">
        <f t="shared" si="80"/>
        <v>0.75586047434167281</v>
      </c>
      <c r="E1654" s="7">
        <f t="shared" si="81"/>
        <v>-0.27989847758459119</v>
      </c>
    </row>
    <row r="1655" spans="1:5" x14ac:dyDescent="0.15">
      <c r="A1655" s="7">
        <v>1648</v>
      </c>
      <c r="B1655" s="7">
        <v>0</v>
      </c>
      <c r="C1655" s="7">
        <f t="shared" si="79"/>
        <v>0.75583605794746755</v>
      </c>
      <c r="D1655" s="7">
        <f t="shared" si="80"/>
        <v>0.75586047434167281</v>
      </c>
      <c r="E1655" s="7">
        <f t="shared" si="81"/>
        <v>-0.27989847758459119</v>
      </c>
    </row>
    <row r="1656" spans="1:5" x14ac:dyDescent="0.15">
      <c r="A1656" s="7">
        <v>1649</v>
      </c>
      <c r="B1656" s="7">
        <v>0</v>
      </c>
      <c r="C1656" s="7">
        <f t="shared" si="79"/>
        <v>0.75583605794746755</v>
      </c>
      <c r="D1656" s="7">
        <f t="shared" si="80"/>
        <v>0.75586047434167281</v>
      </c>
      <c r="E1656" s="7">
        <f t="shared" si="81"/>
        <v>-0.27989847758459119</v>
      </c>
    </row>
    <row r="1657" spans="1:5" x14ac:dyDescent="0.15">
      <c r="A1657" s="7">
        <v>1650</v>
      </c>
      <c r="B1657" s="7">
        <v>0</v>
      </c>
      <c r="C1657" s="7">
        <f t="shared" si="79"/>
        <v>0.75583605794746755</v>
      </c>
      <c r="D1657" s="7">
        <f t="shared" si="80"/>
        <v>0.75586047434167281</v>
      </c>
      <c r="E1657" s="7">
        <f t="shared" si="81"/>
        <v>-0.27989847758459119</v>
      </c>
    </row>
    <row r="1658" spans="1:5" x14ac:dyDescent="0.15">
      <c r="A1658" s="7">
        <v>1651</v>
      </c>
      <c r="B1658" s="7">
        <v>0</v>
      </c>
      <c r="C1658" s="7">
        <f t="shared" si="79"/>
        <v>0.75583605794746755</v>
      </c>
      <c r="D1658" s="7">
        <f t="shared" si="80"/>
        <v>0.75586047434167281</v>
      </c>
      <c r="E1658" s="7">
        <f t="shared" si="81"/>
        <v>-0.27989847758459119</v>
      </c>
    </row>
    <row r="1659" spans="1:5" x14ac:dyDescent="0.15">
      <c r="A1659" s="7">
        <v>1652</v>
      </c>
      <c r="B1659" s="7">
        <v>0</v>
      </c>
      <c r="C1659" s="7">
        <f t="shared" si="79"/>
        <v>0.75583605794746755</v>
      </c>
      <c r="D1659" s="7">
        <f t="shared" si="80"/>
        <v>0.75586047434167281</v>
      </c>
      <c r="E1659" s="7">
        <f t="shared" si="81"/>
        <v>-0.27989847758459119</v>
      </c>
    </row>
    <row r="1660" spans="1:5" x14ac:dyDescent="0.15">
      <c r="A1660" s="7">
        <v>1653</v>
      </c>
      <c r="B1660" s="7">
        <v>1</v>
      </c>
      <c r="C1660" s="7">
        <f t="shared" si="79"/>
        <v>8.8686757970141181E-2</v>
      </c>
      <c r="D1660" s="7">
        <f t="shared" si="80"/>
        <v>8.867788929434417E-2</v>
      </c>
      <c r="E1660" s="7">
        <f t="shared" si="81"/>
        <v>-2.4227446958891354</v>
      </c>
    </row>
    <row r="1661" spans="1:5" x14ac:dyDescent="0.15">
      <c r="A1661" s="7">
        <v>1654</v>
      </c>
      <c r="B1661" s="7">
        <v>1</v>
      </c>
      <c r="C1661" s="7">
        <f t="shared" si="79"/>
        <v>8.8686757970141181E-2</v>
      </c>
      <c r="D1661" s="7">
        <f t="shared" si="80"/>
        <v>8.867788929434417E-2</v>
      </c>
      <c r="E1661" s="7">
        <f t="shared" si="81"/>
        <v>-2.4227446958891354</v>
      </c>
    </row>
    <row r="1662" spans="1:5" x14ac:dyDescent="0.15">
      <c r="A1662" s="7">
        <v>1655</v>
      </c>
      <c r="B1662" s="7">
        <v>0</v>
      </c>
      <c r="C1662" s="7">
        <f t="shared" si="79"/>
        <v>0.75583605794746755</v>
      </c>
      <c r="D1662" s="7">
        <f t="shared" si="80"/>
        <v>0.75586047434167281</v>
      </c>
      <c r="E1662" s="7">
        <f t="shared" si="81"/>
        <v>-0.27989847758459119</v>
      </c>
    </row>
    <row r="1663" spans="1:5" x14ac:dyDescent="0.15">
      <c r="A1663" s="7">
        <v>1656</v>
      </c>
      <c r="B1663" s="7">
        <v>1</v>
      </c>
      <c r="C1663" s="7">
        <f t="shared" si="79"/>
        <v>8.8686757970141181E-2</v>
      </c>
      <c r="D1663" s="7">
        <f t="shared" si="80"/>
        <v>8.867788929434417E-2</v>
      </c>
      <c r="E1663" s="7">
        <f t="shared" si="81"/>
        <v>-2.4227446958891354</v>
      </c>
    </row>
    <row r="1664" spans="1:5" x14ac:dyDescent="0.15">
      <c r="A1664" s="7">
        <v>1657</v>
      </c>
      <c r="B1664" s="7">
        <v>0</v>
      </c>
      <c r="C1664" s="7">
        <f t="shared" si="79"/>
        <v>0.75583605794746755</v>
      </c>
      <c r="D1664" s="7">
        <f t="shared" si="80"/>
        <v>0.75586047434167281</v>
      </c>
      <c r="E1664" s="7">
        <f t="shared" si="81"/>
        <v>-0.27989847758459119</v>
      </c>
    </row>
    <row r="1665" spans="1:5" x14ac:dyDescent="0.15">
      <c r="A1665" s="7">
        <v>1658</v>
      </c>
      <c r="B1665" s="7">
        <v>0</v>
      </c>
      <c r="C1665" s="7">
        <f t="shared" si="79"/>
        <v>0.75583605794746755</v>
      </c>
      <c r="D1665" s="7">
        <f t="shared" si="80"/>
        <v>0.75586047434167281</v>
      </c>
      <c r="E1665" s="7">
        <f t="shared" si="81"/>
        <v>-0.27989847758459119</v>
      </c>
    </row>
    <row r="1666" spans="1:5" x14ac:dyDescent="0.15">
      <c r="A1666" s="7">
        <v>1659</v>
      </c>
      <c r="B1666" s="7">
        <v>1</v>
      </c>
      <c r="C1666" s="7">
        <f t="shared" si="79"/>
        <v>8.8686757970141181E-2</v>
      </c>
      <c r="D1666" s="7">
        <f t="shared" si="80"/>
        <v>8.867788929434417E-2</v>
      </c>
      <c r="E1666" s="7">
        <f t="shared" si="81"/>
        <v>-2.4227446958891354</v>
      </c>
    </row>
    <row r="1667" spans="1:5" x14ac:dyDescent="0.15">
      <c r="A1667" s="7">
        <v>1660</v>
      </c>
      <c r="B1667" s="7">
        <v>1</v>
      </c>
      <c r="C1667" s="7">
        <f t="shared" si="79"/>
        <v>8.8686757970141181E-2</v>
      </c>
      <c r="D1667" s="7">
        <f t="shared" si="80"/>
        <v>8.867788929434417E-2</v>
      </c>
      <c r="E1667" s="7">
        <f t="shared" si="81"/>
        <v>-2.4227446958891354</v>
      </c>
    </row>
    <row r="1668" spans="1:5" x14ac:dyDescent="0.15">
      <c r="A1668" s="7">
        <v>1661</v>
      </c>
      <c r="B1668" s="7">
        <v>6</v>
      </c>
      <c r="C1668" s="7">
        <f t="shared" si="79"/>
        <v>1.0249964283711298E-2</v>
      </c>
      <c r="D1668" s="7">
        <f t="shared" si="80"/>
        <v>1.0248939287282927E-2</v>
      </c>
      <c r="E1668" s="7">
        <f t="shared" si="81"/>
        <v>-4.5805810629200954</v>
      </c>
    </row>
    <row r="1669" spans="1:5" x14ac:dyDescent="0.15">
      <c r="A1669" s="7">
        <v>1662</v>
      </c>
      <c r="B1669" s="7">
        <v>1</v>
      </c>
      <c r="C1669" s="7">
        <f t="shared" si="79"/>
        <v>8.8686757970141181E-2</v>
      </c>
      <c r="D1669" s="7">
        <f t="shared" si="80"/>
        <v>8.867788929434417E-2</v>
      </c>
      <c r="E1669" s="7">
        <f t="shared" si="81"/>
        <v>-2.4227446958891354</v>
      </c>
    </row>
    <row r="1670" spans="1:5" x14ac:dyDescent="0.15">
      <c r="A1670" s="7">
        <v>1663</v>
      </c>
      <c r="B1670" s="7">
        <v>0</v>
      </c>
      <c r="C1670" s="7">
        <f t="shared" si="79"/>
        <v>0.75583605794746755</v>
      </c>
      <c r="D1670" s="7">
        <f t="shared" si="80"/>
        <v>0.75586047434167281</v>
      </c>
      <c r="E1670" s="7">
        <f t="shared" si="81"/>
        <v>-0.27989847758459119</v>
      </c>
    </row>
    <row r="1671" spans="1:5" x14ac:dyDescent="0.15">
      <c r="A1671" s="7">
        <v>1664</v>
      </c>
      <c r="B1671" s="7">
        <v>0</v>
      </c>
      <c r="C1671" s="7">
        <f t="shared" si="79"/>
        <v>0.75583605794746755</v>
      </c>
      <c r="D1671" s="7">
        <f t="shared" si="80"/>
        <v>0.75586047434167281</v>
      </c>
      <c r="E1671" s="7">
        <f t="shared" si="81"/>
        <v>-0.27989847758459119</v>
      </c>
    </row>
    <row r="1672" spans="1:5" x14ac:dyDescent="0.15">
      <c r="A1672" s="7">
        <v>1665</v>
      </c>
      <c r="B1672" s="7">
        <v>0</v>
      </c>
      <c r="C1672" s="7">
        <f t="shared" si="79"/>
        <v>0.75583605794746755</v>
      </c>
      <c r="D1672" s="7">
        <f t="shared" si="80"/>
        <v>0.75586047434167281</v>
      </c>
      <c r="E1672" s="7">
        <f t="shared" si="81"/>
        <v>-0.27989847758459119</v>
      </c>
    </row>
    <row r="1673" spans="1:5" x14ac:dyDescent="0.15">
      <c r="A1673" s="7">
        <v>1666</v>
      </c>
      <c r="B1673" s="7">
        <v>0</v>
      </c>
      <c r="C1673" s="7">
        <f t="shared" ref="C1673:C1736" si="82">(_xlfn.GAMMA($B$1+B1673)/(_xlfn.GAMMA($B$1)*FACT(B1673))) * ($B$2/($B$2+$B$5))^$B$1 * (1/($B$2 +$B$5))^B1673</f>
        <v>0.75583605794746755</v>
      </c>
      <c r="D1673" s="7">
        <f t="shared" ref="D1673:D1736" si="83" xml:space="preserve"> IF(B1673 = 0, $B$3 + (1-$B$3) * C1673, (1-$B$3) *C1673)</f>
        <v>0.75586047434167281</v>
      </c>
      <c r="E1673" s="7">
        <f t="shared" ref="E1673:E1736" si="84">LN(D1673)</f>
        <v>-0.27989847758459119</v>
      </c>
    </row>
    <row r="1674" spans="1:5" x14ac:dyDescent="0.15">
      <c r="A1674" s="7">
        <v>1667</v>
      </c>
      <c r="B1674" s="7">
        <v>0</v>
      </c>
      <c r="C1674" s="7">
        <f t="shared" si="82"/>
        <v>0.75583605794746755</v>
      </c>
      <c r="D1674" s="7">
        <f t="shared" si="83"/>
        <v>0.75586047434167281</v>
      </c>
      <c r="E1674" s="7">
        <f t="shared" si="84"/>
        <v>-0.27989847758459119</v>
      </c>
    </row>
    <row r="1675" spans="1:5" x14ac:dyDescent="0.15">
      <c r="A1675" s="7">
        <v>1668</v>
      </c>
      <c r="B1675" s="7">
        <v>0</v>
      </c>
      <c r="C1675" s="7">
        <f t="shared" si="82"/>
        <v>0.75583605794746755</v>
      </c>
      <c r="D1675" s="7">
        <f t="shared" si="83"/>
        <v>0.75586047434167281</v>
      </c>
      <c r="E1675" s="7">
        <f t="shared" si="84"/>
        <v>-0.27989847758459119</v>
      </c>
    </row>
    <row r="1676" spans="1:5" x14ac:dyDescent="0.15">
      <c r="A1676" s="7">
        <v>1669</v>
      </c>
      <c r="B1676" s="7">
        <v>0</v>
      </c>
      <c r="C1676" s="7">
        <f t="shared" si="82"/>
        <v>0.75583605794746755</v>
      </c>
      <c r="D1676" s="7">
        <f t="shared" si="83"/>
        <v>0.75586047434167281</v>
      </c>
      <c r="E1676" s="7">
        <f t="shared" si="84"/>
        <v>-0.27989847758459119</v>
      </c>
    </row>
    <row r="1677" spans="1:5" x14ac:dyDescent="0.15">
      <c r="A1677" s="7">
        <v>1670</v>
      </c>
      <c r="B1677" s="7">
        <v>0</v>
      </c>
      <c r="C1677" s="7">
        <f t="shared" si="82"/>
        <v>0.75583605794746755</v>
      </c>
      <c r="D1677" s="7">
        <f t="shared" si="83"/>
        <v>0.75586047434167281</v>
      </c>
      <c r="E1677" s="7">
        <f t="shared" si="84"/>
        <v>-0.27989847758459119</v>
      </c>
    </row>
    <row r="1678" spans="1:5" x14ac:dyDescent="0.15">
      <c r="A1678" s="7">
        <v>1671</v>
      </c>
      <c r="B1678" s="7">
        <v>0</v>
      </c>
      <c r="C1678" s="7">
        <f t="shared" si="82"/>
        <v>0.75583605794746755</v>
      </c>
      <c r="D1678" s="7">
        <f t="shared" si="83"/>
        <v>0.75586047434167281</v>
      </c>
      <c r="E1678" s="7">
        <f t="shared" si="84"/>
        <v>-0.27989847758459119</v>
      </c>
    </row>
    <row r="1679" spans="1:5" x14ac:dyDescent="0.15">
      <c r="A1679" s="7">
        <v>1672</v>
      </c>
      <c r="B1679" s="7">
        <v>0</v>
      </c>
      <c r="C1679" s="7">
        <f t="shared" si="82"/>
        <v>0.75583605794746755</v>
      </c>
      <c r="D1679" s="7">
        <f t="shared" si="83"/>
        <v>0.75586047434167281</v>
      </c>
      <c r="E1679" s="7">
        <f t="shared" si="84"/>
        <v>-0.27989847758459119</v>
      </c>
    </row>
    <row r="1680" spans="1:5" x14ac:dyDescent="0.15">
      <c r="A1680" s="7">
        <v>1673</v>
      </c>
      <c r="B1680" s="7">
        <v>0</v>
      </c>
      <c r="C1680" s="7">
        <f t="shared" si="82"/>
        <v>0.75583605794746755</v>
      </c>
      <c r="D1680" s="7">
        <f t="shared" si="83"/>
        <v>0.75586047434167281</v>
      </c>
      <c r="E1680" s="7">
        <f t="shared" si="84"/>
        <v>-0.27989847758459119</v>
      </c>
    </row>
    <row r="1681" spans="1:5" x14ac:dyDescent="0.15">
      <c r="A1681" s="7">
        <v>1674</v>
      </c>
      <c r="B1681" s="7">
        <v>1</v>
      </c>
      <c r="C1681" s="7">
        <f t="shared" si="82"/>
        <v>8.8686757970141181E-2</v>
      </c>
      <c r="D1681" s="7">
        <f t="shared" si="83"/>
        <v>8.867788929434417E-2</v>
      </c>
      <c r="E1681" s="7">
        <f t="shared" si="84"/>
        <v>-2.4227446958891354</v>
      </c>
    </row>
    <row r="1682" spans="1:5" x14ac:dyDescent="0.15">
      <c r="A1682" s="7">
        <v>1675</v>
      </c>
      <c r="B1682" s="7">
        <v>0</v>
      </c>
      <c r="C1682" s="7">
        <f t="shared" si="82"/>
        <v>0.75583605794746755</v>
      </c>
      <c r="D1682" s="7">
        <f t="shared" si="83"/>
        <v>0.75586047434167281</v>
      </c>
      <c r="E1682" s="7">
        <f t="shared" si="84"/>
        <v>-0.27989847758459119</v>
      </c>
    </row>
    <row r="1683" spans="1:5" x14ac:dyDescent="0.15">
      <c r="A1683" s="7">
        <v>1676</v>
      </c>
      <c r="B1683" s="7">
        <v>0</v>
      </c>
      <c r="C1683" s="7">
        <f t="shared" si="82"/>
        <v>0.75583605794746755</v>
      </c>
      <c r="D1683" s="7">
        <f t="shared" si="83"/>
        <v>0.75586047434167281</v>
      </c>
      <c r="E1683" s="7">
        <f t="shared" si="84"/>
        <v>-0.27989847758459119</v>
      </c>
    </row>
    <row r="1684" spans="1:5" x14ac:dyDescent="0.15">
      <c r="A1684" s="7">
        <v>1677</v>
      </c>
      <c r="B1684" s="7">
        <v>0</v>
      </c>
      <c r="C1684" s="7">
        <f t="shared" si="82"/>
        <v>0.75583605794746755</v>
      </c>
      <c r="D1684" s="7">
        <f t="shared" si="83"/>
        <v>0.75586047434167281</v>
      </c>
      <c r="E1684" s="7">
        <f t="shared" si="84"/>
        <v>-0.27989847758459119</v>
      </c>
    </row>
    <row r="1685" spans="1:5" x14ac:dyDescent="0.15">
      <c r="A1685" s="7">
        <v>1678</v>
      </c>
      <c r="B1685" s="7">
        <v>0</v>
      </c>
      <c r="C1685" s="7">
        <f t="shared" si="82"/>
        <v>0.75583605794746755</v>
      </c>
      <c r="D1685" s="7">
        <f t="shared" si="83"/>
        <v>0.75586047434167281</v>
      </c>
      <c r="E1685" s="7">
        <f t="shared" si="84"/>
        <v>-0.27989847758459119</v>
      </c>
    </row>
    <row r="1686" spans="1:5" x14ac:dyDescent="0.15">
      <c r="A1686" s="7">
        <v>1679</v>
      </c>
      <c r="B1686" s="7">
        <v>0</v>
      </c>
      <c r="C1686" s="7">
        <f t="shared" si="82"/>
        <v>0.75583605794746755</v>
      </c>
      <c r="D1686" s="7">
        <f t="shared" si="83"/>
        <v>0.75586047434167281</v>
      </c>
      <c r="E1686" s="7">
        <f t="shared" si="84"/>
        <v>-0.27989847758459119</v>
      </c>
    </row>
    <row r="1687" spans="1:5" x14ac:dyDescent="0.15">
      <c r="A1687" s="7">
        <v>1680</v>
      </c>
      <c r="B1687" s="7">
        <v>0</v>
      </c>
      <c r="C1687" s="7">
        <f t="shared" si="82"/>
        <v>0.75583605794746755</v>
      </c>
      <c r="D1687" s="7">
        <f t="shared" si="83"/>
        <v>0.75586047434167281</v>
      </c>
      <c r="E1687" s="7">
        <f t="shared" si="84"/>
        <v>-0.27989847758459119</v>
      </c>
    </row>
    <row r="1688" spans="1:5" x14ac:dyDescent="0.15">
      <c r="A1688" s="7">
        <v>1681</v>
      </c>
      <c r="B1688" s="7">
        <v>0</v>
      </c>
      <c r="C1688" s="7">
        <f t="shared" si="82"/>
        <v>0.75583605794746755</v>
      </c>
      <c r="D1688" s="7">
        <f t="shared" si="83"/>
        <v>0.75586047434167281</v>
      </c>
      <c r="E1688" s="7">
        <f t="shared" si="84"/>
        <v>-0.27989847758459119</v>
      </c>
    </row>
    <row r="1689" spans="1:5" x14ac:dyDescent="0.15">
      <c r="A1689" s="7">
        <v>1682</v>
      </c>
      <c r="B1689" s="7">
        <v>1</v>
      </c>
      <c r="C1689" s="7">
        <f t="shared" si="82"/>
        <v>8.8686757970141181E-2</v>
      </c>
      <c r="D1689" s="7">
        <f t="shared" si="83"/>
        <v>8.867788929434417E-2</v>
      </c>
      <c r="E1689" s="7">
        <f t="shared" si="84"/>
        <v>-2.4227446958891354</v>
      </c>
    </row>
    <row r="1690" spans="1:5" x14ac:dyDescent="0.15">
      <c r="A1690" s="7">
        <v>1683</v>
      </c>
      <c r="B1690" s="7">
        <v>2</v>
      </c>
      <c r="C1690" s="7">
        <f t="shared" si="82"/>
        <v>4.4066701399555049E-2</v>
      </c>
      <c r="D1690" s="7">
        <f t="shared" si="83"/>
        <v>4.4062294729415093E-2</v>
      </c>
      <c r="E1690" s="7">
        <f t="shared" si="84"/>
        <v>-3.1221508570437044</v>
      </c>
    </row>
    <row r="1691" spans="1:5" x14ac:dyDescent="0.15">
      <c r="A1691" s="7">
        <v>1684</v>
      </c>
      <c r="B1691" s="7">
        <v>0</v>
      </c>
      <c r="C1691" s="7">
        <f t="shared" si="82"/>
        <v>0.75583605794746755</v>
      </c>
      <c r="D1691" s="7">
        <f t="shared" si="83"/>
        <v>0.75586047434167281</v>
      </c>
      <c r="E1691" s="7">
        <f t="shared" si="84"/>
        <v>-0.27989847758459119</v>
      </c>
    </row>
    <row r="1692" spans="1:5" x14ac:dyDescent="0.15">
      <c r="A1692" s="7">
        <v>1685</v>
      </c>
      <c r="B1692" s="7">
        <v>0</v>
      </c>
      <c r="C1692" s="7">
        <f t="shared" si="82"/>
        <v>0.75583605794746755</v>
      </c>
      <c r="D1692" s="7">
        <f t="shared" si="83"/>
        <v>0.75586047434167281</v>
      </c>
      <c r="E1692" s="7">
        <f t="shared" si="84"/>
        <v>-0.27989847758459119</v>
      </c>
    </row>
    <row r="1693" spans="1:5" x14ac:dyDescent="0.15">
      <c r="A1693" s="7">
        <v>1686</v>
      </c>
      <c r="B1693" s="7">
        <v>0</v>
      </c>
      <c r="C1693" s="7">
        <f t="shared" si="82"/>
        <v>0.75583605794746755</v>
      </c>
      <c r="D1693" s="7">
        <f t="shared" si="83"/>
        <v>0.75586047434167281</v>
      </c>
      <c r="E1693" s="7">
        <f t="shared" si="84"/>
        <v>-0.27989847758459119</v>
      </c>
    </row>
    <row r="1694" spans="1:5" x14ac:dyDescent="0.15">
      <c r="A1694" s="7">
        <v>1687</v>
      </c>
      <c r="B1694" s="7">
        <v>1</v>
      </c>
      <c r="C1694" s="7">
        <f t="shared" si="82"/>
        <v>8.8686757970141181E-2</v>
      </c>
      <c r="D1694" s="7">
        <f t="shared" si="83"/>
        <v>8.867788929434417E-2</v>
      </c>
      <c r="E1694" s="7">
        <f t="shared" si="84"/>
        <v>-2.4227446958891354</v>
      </c>
    </row>
    <row r="1695" spans="1:5" x14ac:dyDescent="0.15">
      <c r="A1695" s="7">
        <v>1688</v>
      </c>
      <c r="B1695" s="7">
        <v>0</v>
      </c>
      <c r="C1695" s="7">
        <f t="shared" si="82"/>
        <v>0.75583605794746755</v>
      </c>
      <c r="D1695" s="7">
        <f t="shared" si="83"/>
        <v>0.75586047434167281</v>
      </c>
      <c r="E1695" s="7">
        <f t="shared" si="84"/>
        <v>-0.27989847758459119</v>
      </c>
    </row>
    <row r="1696" spans="1:5" x14ac:dyDescent="0.15">
      <c r="A1696" s="7">
        <v>1689</v>
      </c>
      <c r="B1696" s="7">
        <v>1</v>
      </c>
      <c r="C1696" s="7">
        <f t="shared" si="82"/>
        <v>8.8686757970141181E-2</v>
      </c>
      <c r="D1696" s="7">
        <f t="shared" si="83"/>
        <v>8.867788929434417E-2</v>
      </c>
      <c r="E1696" s="7">
        <f t="shared" si="84"/>
        <v>-2.4227446958891354</v>
      </c>
    </row>
    <row r="1697" spans="1:5" x14ac:dyDescent="0.15">
      <c r="A1697" s="7">
        <v>1690</v>
      </c>
      <c r="B1697" s="7">
        <v>0</v>
      </c>
      <c r="C1697" s="7">
        <f t="shared" si="82"/>
        <v>0.75583605794746755</v>
      </c>
      <c r="D1697" s="7">
        <f t="shared" si="83"/>
        <v>0.75586047434167281</v>
      </c>
      <c r="E1697" s="7">
        <f t="shared" si="84"/>
        <v>-0.27989847758459119</v>
      </c>
    </row>
    <row r="1698" spans="1:5" x14ac:dyDescent="0.15">
      <c r="A1698" s="7">
        <v>1691</v>
      </c>
      <c r="B1698" s="7">
        <v>0</v>
      </c>
      <c r="C1698" s="7">
        <f t="shared" si="82"/>
        <v>0.75583605794746755</v>
      </c>
      <c r="D1698" s="7">
        <f t="shared" si="83"/>
        <v>0.75586047434167281</v>
      </c>
      <c r="E1698" s="7">
        <f t="shared" si="84"/>
        <v>-0.27989847758459119</v>
      </c>
    </row>
    <row r="1699" spans="1:5" x14ac:dyDescent="0.15">
      <c r="A1699" s="7">
        <v>1692</v>
      </c>
      <c r="B1699" s="7">
        <v>0</v>
      </c>
      <c r="C1699" s="7">
        <f t="shared" si="82"/>
        <v>0.75583605794746755</v>
      </c>
      <c r="D1699" s="7">
        <f t="shared" si="83"/>
        <v>0.75586047434167281</v>
      </c>
      <c r="E1699" s="7">
        <f t="shared" si="84"/>
        <v>-0.27989847758459119</v>
      </c>
    </row>
    <row r="1700" spans="1:5" x14ac:dyDescent="0.15">
      <c r="A1700" s="7">
        <v>1693</v>
      </c>
      <c r="B1700" s="7">
        <v>0</v>
      </c>
      <c r="C1700" s="7">
        <f t="shared" si="82"/>
        <v>0.75583605794746755</v>
      </c>
      <c r="D1700" s="7">
        <f t="shared" si="83"/>
        <v>0.75586047434167281</v>
      </c>
      <c r="E1700" s="7">
        <f t="shared" si="84"/>
        <v>-0.27989847758459119</v>
      </c>
    </row>
    <row r="1701" spans="1:5" x14ac:dyDescent="0.15">
      <c r="A1701" s="7">
        <v>1694</v>
      </c>
      <c r="B1701" s="7">
        <v>1</v>
      </c>
      <c r="C1701" s="7">
        <f t="shared" si="82"/>
        <v>8.8686757970141181E-2</v>
      </c>
      <c r="D1701" s="7">
        <f t="shared" si="83"/>
        <v>8.867788929434417E-2</v>
      </c>
      <c r="E1701" s="7">
        <f t="shared" si="84"/>
        <v>-2.4227446958891354</v>
      </c>
    </row>
    <row r="1702" spans="1:5" x14ac:dyDescent="0.15">
      <c r="A1702" s="7">
        <v>1695</v>
      </c>
      <c r="B1702" s="7">
        <v>0</v>
      </c>
      <c r="C1702" s="7">
        <f t="shared" si="82"/>
        <v>0.75583605794746755</v>
      </c>
      <c r="D1702" s="7">
        <f t="shared" si="83"/>
        <v>0.75586047434167281</v>
      </c>
      <c r="E1702" s="7">
        <f t="shared" si="84"/>
        <v>-0.27989847758459119</v>
      </c>
    </row>
    <row r="1703" spans="1:5" x14ac:dyDescent="0.15">
      <c r="A1703" s="7">
        <v>1696</v>
      </c>
      <c r="B1703" s="7">
        <v>0</v>
      </c>
      <c r="C1703" s="7">
        <f t="shared" si="82"/>
        <v>0.75583605794746755</v>
      </c>
      <c r="D1703" s="7">
        <f t="shared" si="83"/>
        <v>0.75586047434167281</v>
      </c>
      <c r="E1703" s="7">
        <f t="shared" si="84"/>
        <v>-0.27989847758459119</v>
      </c>
    </row>
    <row r="1704" spans="1:5" x14ac:dyDescent="0.15">
      <c r="A1704" s="7">
        <v>1697</v>
      </c>
      <c r="B1704" s="7">
        <v>0</v>
      </c>
      <c r="C1704" s="7">
        <f t="shared" si="82"/>
        <v>0.75583605794746755</v>
      </c>
      <c r="D1704" s="7">
        <f t="shared" si="83"/>
        <v>0.75586047434167281</v>
      </c>
      <c r="E1704" s="7">
        <f t="shared" si="84"/>
        <v>-0.27989847758459119</v>
      </c>
    </row>
    <row r="1705" spans="1:5" x14ac:dyDescent="0.15">
      <c r="A1705" s="7">
        <v>1698</v>
      </c>
      <c r="B1705" s="7">
        <v>0</v>
      </c>
      <c r="C1705" s="7">
        <f t="shared" si="82"/>
        <v>0.75583605794746755</v>
      </c>
      <c r="D1705" s="7">
        <f t="shared" si="83"/>
        <v>0.75586047434167281</v>
      </c>
      <c r="E1705" s="7">
        <f t="shared" si="84"/>
        <v>-0.27989847758459119</v>
      </c>
    </row>
    <row r="1706" spans="1:5" x14ac:dyDescent="0.15">
      <c r="A1706" s="7">
        <v>1699</v>
      </c>
      <c r="B1706" s="7">
        <v>0</v>
      </c>
      <c r="C1706" s="7">
        <f t="shared" si="82"/>
        <v>0.75583605794746755</v>
      </c>
      <c r="D1706" s="7">
        <f t="shared" si="83"/>
        <v>0.75586047434167281</v>
      </c>
      <c r="E1706" s="7">
        <f t="shared" si="84"/>
        <v>-0.27989847758459119</v>
      </c>
    </row>
    <row r="1707" spans="1:5" x14ac:dyDescent="0.15">
      <c r="A1707" s="7">
        <v>1700</v>
      </c>
      <c r="B1707" s="7">
        <v>0</v>
      </c>
      <c r="C1707" s="7">
        <f t="shared" si="82"/>
        <v>0.75583605794746755</v>
      </c>
      <c r="D1707" s="7">
        <f t="shared" si="83"/>
        <v>0.75586047434167281</v>
      </c>
      <c r="E1707" s="7">
        <f t="shared" si="84"/>
        <v>-0.27989847758459119</v>
      </c>
    </row>
    <row r="1708" spans="1:5" x14ac:dyDescent="0.15">
      <c r="A1708" s="7">
        <v>1701</v>
      </c>
      <c r="B1708" s="7">
        <v>0</v>
      </c>
      <c r="C1708" s="7">
        <f t="shared" si="82"/>
        <v>0.75583605794746755</v>
      </c>
      <c r="D1708" s="7">
        <f t="shared" si="83"/>
        <v>0.75586047434167281</v>
      </c>
      <c r="E1708" s="7">
        <f t="shared" si="84"/>
        <v>-0.27989847758459119</v>
      </c>
    </row>
    <row r="1709" spans="1:5" x14ac:dyDescent="0.15">
      <c r="A1709" s="7">
        <v>1702</v>
      </c>
      <c r="B1709" s="7">
        <v>4</v>
      </c>
      <c r="C1709" s="7">
        <f t="shared" si="82"/>
        <v>1.8863004210024691E-2</v>
      </c>
      <c r="D1709" s="7">
        <f t="shared" si="83"/>
        <v>1.8861117909603688E-2</v>
      </c>
      <c r="E1709" s="7">
        <f t="shared" si="84"/>
        <v>-3.9706527294293466</v>
      </c>
    </row>
    <row r="1710" spans="1:5" x14ac:dyDescent="0.15">
      <c r="A1710" s="7">
        <v>1703</v>
      </c>
      <c r="B1710" s="7">
        <v>0</v>
      </c>
      <c r="C1710" s="7">
        <f t="shared" si="82"/>
        <v>0.75583605794746755</v>
      </c>
      <c r="D1710" s="7">
        <f t="shared" si="83"/>
        <v>0.75586047434167281</v>
      </c>
      <c r="E1710" s="7">
        <f t="shared" si="84"/>
        <v>-0.27989847758459119</v>
      </c>
    </row>
    <row r="1711" spans="1:5" x14ac:dyDescent="0.15">
      <c r="A1711" s="7">
        <v>1704</v>
      </c>
      <c r="B1711" s="7">
        <v>0</v>
      </c>
      <c r="C1711" s="7">
        <f t="shared" si="82"/>
        <v>0.75583605794746755</v>
      </c>
      <c r="D1711" s="7">
        <f t="shared" si="83"/>
        <v>0.75586047434167281</v>
      </c>
      <c r="E1711" s="7">
        <f t="shared" si="84"/>
        <v>-0.27989847758459119</v>
      </c>
    </row>
    <row r="1712" spans="1:5" x14ac:dyDescent="0.15">
      <c r="A1712" s="7">
        <v>1705</v>
      </c>
      <c r="B1712" s="7">
        <v>0</v>
      </c>
      <c r="C1712" s="7">
        <f t="shared" si="82"/>
        <v>0.75583605794746755</v>
      </c>
      <c r="D1712" s="7">
        <f t="shared" si="83"/>
        <v>0.75586047434167281</v>
      </c>
      <c r="E1712" s="7">
        <f t="shared" si="84"/>
        <v>-0.27989847758459119</v>
      </c>
    </row>
    <row r="1713" spans="1:5" x14ac:dyDescent="0.15">
      <c r="A1713" s="7">
        <v>1706</v>
      </c>
      <c r="B1713" s="7">
        <v>0</v>
      </c>
      <c r="C1713" s="7">
        <f t="shared" si="82"/>
        <v>0.75583605794746755</v>
      </c>
      <c r="D1713" s="7">
        <f t="shared" si="83"/>
        <v>0.75586047434167281</v>
      </c>
      <c r="E1713" s="7">
        <f t="shared" si="84"/>
        <v>-0.27989847758459119</v>
      </c>
    </row>
    <row r="1714" spans="1:5" x14ac:dyDescent="0.15">
      <c r="A1714" s="7">
        <v>1707</v>
      </c>
      <c r="B1714" s="7">
        <v>2</v>
      </c>
      <c r="C1714" s="7">
        <f t="shared" si="82"/>
        <v>4.4066701399555049E-2</v>
      </c>
      <c r="D1714" s="7">
        <f t="shared" si="83"/>
        <v>4.4062294729415093E-2</v>
      </c>
      <c r="E1714" s="7">
        <f t="shared" si="84"/>
        <v>-3.1221508570437044</v>
      </c>
    </row>
    <row r="1715" spans="1:5" x14ac:dyDescent="0.15">
      <c r="A1715" s="7">
        <v>1708</v>
      </c>
      <c r="B1715" s="7">
        <v>0</v>
      </c>
      <c r="C1715" s="7">
        <f t="shared" si="82"/>
        <v>0.75583605794746755</v>
      </c>
      <c r="D1715" s="7">
        <f t="shared" si="83"/>
        <v>0.75586047434167281</v>
      </c>
      <c r="E1715" s="7">
        <f t="shared" si="84"/>
        <v>-0.27989847758459119</v>
      </c>
    </row>
    <row r="1716" spans="1:5" x14ac:dyDescent="0.15">
      <c r="A1716" s="7">
        <v>1709</v>
      </c>
      <c r="B1716" s="7">
        <v>0</v>
      </c>
      <c r="C1716" s="7">
        <f t="shared" si="82"/>
        <v>0.75583605794746755</v>
      </c>
      <c r="D1716" s="7">
        <f t="shared" si="83"/>
        <v>0.75586047434167281</v>
      </c>
      <c r="E1716" s="7">
        <f t="shared" si="84"/>
        <v>-0.27989847758459119</v>
      </c>
    </row>
    <row r="1717" spans="1:5" x14ac:dyDescent="0.15">
      <c r="A1717" s="7">
        <v>1710</v>
      </c>
      <c r="B1717" s="7">
        <v>0</v>
      </c>
      <c r="C1717" s="7">
        <f t="shared" si="82"/>
        <v>0.75583605794746755</v>
      </c>
      <c r="D1717" s="7">
        <f t="shared" si="83"/>
        <v>0.75586047434167281</v>
      </c>
      <c r="E1717" s="7">
        <f t="shared" si="84"/>
        <v>-0.27989847758459119</v>
      </c>
    </row>
    <row r="1718" spans="1:5" x14ac:dyDescent="0.15">
      <c r="A1718" s="7">
        <v>1711</v>
      </c>
      <c r="B1718" s="7">
        <v>0</v>
      </c>
      <c r="C1718" s="7">
        <f t="shared" si="82"/>
        <v>0.75583605794746755</v>
      </c>
      <c r="D1718" s="7">
        <f t="shared" si="83"/>
        <v>0.75586047434167281</v>
      </c>
      <c r="E1718" s="7">
        <f t="shared" si="84"/>
        <v>-0.27989847758459119</v>
      </c>
    </row>
    <row r="1719" spans="1:5" x14ac:dyDescent="0.15">
      <c r="A1719" s="7">
        <v>1712</v>
      </c>
      <c r="B1719" s="7">
        <v>0</v>
      </c>
      <c r="C1719" s="7">
        <f t="shared" si="82"/>
        <v>0.75583605794746755</v>
      </c>
      <c r="D1719" s="7">
        <f t="shared" si="83"/>
        <v>0.75586047434167281</v>
      </c>
      <c r="E1719" s="7">
        <f t="shared" si="84"/>
        <v>-0.27989847758459119</v>
      </c>
    </row>
    <row r="1720" spans="1:5" x14ac:dyDescent="0.15">
      <c r="A1720" s="7">
        <v>1713</v>
      </c>
      <c r="B1720" s="7">
        <v>1</v>
      </c>
      <c r="C1720" s="7">
        <f t="shared" si="82"/>
        <v>8.8686757970141181E-2</v>
      </c>
      <c r="D1720" s="7">
        <f t="shared" si="83"/>
        <v>8.867788929434417E-2</v>
      </c>
      <c r="E1720" s="7">
        <f t="shared" si="84"/>
        <v>-2.4227446958891354</v>
      </c>
    </row>
    <row r="1721" spans="1:5" x14ac:dyDescent="0.15">
      <c r="A1721" s="7">
        <v>1714</v>
      </c>
      <c r="B1721" s="7">
        <v>2</v>
      </c>
      <c r="C1721" s="7">
        <f t="shared" si="82"/>
        <v>4.4066701399555049E-2</v>
      </c>
      <c r="D1721" s="7">
        <f t="shared" si="83"/>
        <v>4.4062294729415093E-2</v>
      </c>
      <c r="E1721" s="7">
        <f t="shared" si="84"/>
        <v>-3.1221508570437044</v>
      </c>
    </row>
    <row r="1722" spans="1:5" x14ac:dyDescent="0.15">
      <c r="A1722" s="7">
        <v>1715</v>
      </c>
      <c r="B1722" s="7">
        <v>0</v>
      </c>
      <c r="C1722" s="7">
        <f t="shared" si="82"/>
        <v>0.75583605794746755</v>
      </c>
      <c r="D1722" s="7">
        <f t="shared" si="83"/>
        <v>0.75586047434167281</v>
      </c>
      <c r="E1722" s="7">
        <f t="shared" si="84"/>
        <v>-0.27989847758459119</v>
      </c>
    </row>
    <row r="1723" spans="1:5" x14ac:dyDescent="0.15">
      <c r="A1723" s="7">
        <v>1716</v>
      </c>
      <c r="B1723" s="7">
        <v>1</v>
      </c>
      <c r="C1723" s="7">
        <f t="shared" si="82"/>
        <v>8.8686757970141181E-2</v>
      </c>
      <c r="D1723" s="7">
        <f t="shared" si="83"/>
        <v>8.867788929434417E-2</v>
      </c>
      <c r="E1723" s="7">
        <f t="shared" si="84"/>
        <v>-2.4227446958891354</v>
      </c>
    </row>
    <row r="1724" spans="1:5" x14ac:dyDescent="0.15">
      <c r="A1724" s="7">
        <v>1717</v>
      </c>
      <c r="B1724" s="7">
        <v>0</v>
      </c>
      <c r="C1724" s="7">
        <f t="shared" si="82"/>
        <v>0.75583605794746755</v>
      </c>
      <c r="D1724" s="7">
        <f t="shared" si="83"/>
        <v>0.75586047434167281</v>
      </c>
      <c r="E1724" s="7">
        <f t="shared" si="84"/>
        <v>-0.27989847758459119</v>
      </c>
    </row>
    <row r="1725" spans="1:5" x14ac:dyDescent="0.15">
      <c r="A1725" s="7">
        <v>1718</v>
      </c>
      <c r="B1725" s="7">
        <v>0</v>
      </c>
      <c r="C1725" s="7">
        <f t="shared" si="82"/>
        <v>0.75583605794746755</v>
      </c>
      <c r="D1725" s="7">
        <f t="shared" si="83"/>
        <v>0.75586047434167281</v>
      </c>
      <c r="E1725" s="7">
        <f t="shared" si="84"/>
        <v>-0.27989847758459119</v>
      </c>
    </row>
    <row r="1726" spans="1:5" x14ac:dyDescent="0.15">
      <c r="A1726" s="7">
        <v>1719</v>
      </c>
      <c r="B1726" s="7">
        <v>0</v>
      </c>
      <c r="C1726" s="7">
        <f t="shared" si="82"/>
        <v>0.75583605794746755</v>
      </c>
      <c r="D1726" s="7">
        <f t="shared" si="83"/>
        <v>0.75586047434167281</v>
      </c>
      <c r="E1726" s="7">
        <f t="shared" si="84"/>
        <v>-0.27989847758459119</v>
      </c>
    </row>
    <row r="1727" spans="1:5" x14ac:dyDescent="0.15">
      <c r="A1727" s="7">
        <v>1720</v>
      </c>
      <c r="B1727" s="7">
        <v>0</v>
      </c>
      <c r="C1727" s="7">
        <f t="shared" si="82"/>
        <v>0.75583605794746755</v>
      </c>
      <c r="D1727" s="7">
        <f t="shared" si="83"/>
        <v>0.75586047434167281</v>
      </c>
      <c r="E1727" s="7">
        <f t="shared" si="84"/>
        <v>-0.27989847758459119</v>
      </c>
    </row>
    <row r="1728" spans="1:5" x14ac:dyDescent="0.15">
      <c r="A1728" s="7">
        <v>1721</v>
      </c>
      <c r="B1728" s="7">
        <v>0</v>
      </c>
      <c r="C1728" s="7">
        <f t="shared" si="82"/>
        <v>0.75583605794746755</v>
      </c>
      <c r="D1728" s="7">
        <f t="shared" si="83"/>
        <v>0.75586047434167281</v>
      </c>
      <c r="E1728" s="7">
        <f t="shared" si="84"/>
        <v>-0.27989847758459119</v>
      </c>
    </row>
    <row r="1729" spans="1:5" x14ac:dyDescent="0.15">
      <c r="A1729" s="7">
        <v>1722</v>
      </c>
      <c r="B1729" s="7">
        <v>0</v>
      </c>
      <c r="C1729" s="7">
        <f t="shared" si="82"/>
        <v>0.75583605794746755</v>
      </c>
      <c r="D1729" s="7">
        <f t="shared" si="83"/>
        <v>0.75586047434167281</v>
      </c>
      <c r="E1729" s="7">
        <f t="shared" si="84"/>
        <v>-0.27989847758459119</v>
      </c>
    </row>
    <row r="1730" spans="1:5" x14ac:dyDescent="0.15">
      <c r="A1730" s="7">
        <v>1723</v>
      </c>
      <c r="B1730" s="7">
        <v>0</v>
      </c>
      <c r="C1730" s="7">
        <f t="shared" si="82"/>
        <v>0.75583605794746755</v>
      </c>
      <c r="D1730" s="7">
        <f t="shared" si="83"/>
        <v>0.75586047434167281</v>
      </c>
      <c r="E1730" s="7">
        <f t="shared" si="84"/>
        <v>-0.27989847758459119</v>
      </c>
    </row>
    <row r="1731" spans="1:5" x14ac:dyDescent="0.15">
      <c r="A1731" s="7">
        <v>1724</v>
      </c>
      <c r="B1731" s="7">
        <v>21</v>
      </c>
      <c r="C1731" s="7">
        <f t="shared" si="82"/>
        <v>4.8226539689365938E-4</v>
      </c>
      <c r="D1731" s="7">
        <f t="shared" si="83"/>
        <v>4.8221717035397003E-4</v>
      </c>
      <c r="E1731" s="7">
        <f t="shared" si="84"/>
        <v>-7.6371159844854049</v>
      </c>
    </row>
    <row r="1732" spans="1:5" x14ac:dyDescent="0.15">
      <c r="A1732" s="7">
        <v>1725</v>
      </c>
      <c r="B1732" s="7">
        <v>0</v>
      </c>
      <c r="C1732" s="7">
        <f t="shared" si="82"/>
        <v>0.75583605794746755</v>
      </c>
      <c r="D1732" s="7">
        <f t="shared" si="83"/>
        <v>0.75586047434167281</v>
      </c>
      <c r="E1732" s="7">
        <f t="shared" si="84"/>
        <v>-0.27989847758459119</v>
      </c>
    </row>
    <row r="1733" spans="1:5" x14ac:dyDescent="0.15">
      <c r="A1733" s="7">
        <v>1726</v>
      </c>
      <c r="B1733" s="7">
        <v>0</v>
      </c>
      <c r="C1733" s="7">
        <f t="shared" si="82"/>
        <v>0.75583605794746755</v>
      </c>
      <c r="D1733" s="7">
        <f t="shared" si="83"/>
        <v>0.75586047434167281</v>
      </c>
      <c r="E1733" s="7">
        <f t="shared" si="84"/>
        <v>-0.27989847758459119</v>
      </c>
    </row>
    <row r="1734" spans="1:5" x14ac:dyDescent="0.15">
      <c r="A1734" s="7">
        <v>1727</v>
      </c>
      <c r="B1734" s="7">
        <v>2</v>
      </c>
      <c r="C1734" s="7">
        <f t="shared" si="82"/>
        <v>4.4066701399555049E-2</v>
      </c>
      <c r="D1734" s="7">
        <f t="shared" si="83"/>
        <v>4.4062294729415093E-2</v>
      </c>
      <c r="E1734" s="7">
        <f t="shared" si="84"/>
        <v>-3.1221508570437044</v>
      </c>
    </row>
    <row r="1735" spans="1:5" x14ac:dyDescent="0.15">
      <c r="A1735" s="7">
        <v>1728</v>
      </c>
      <c r="B1735" s="7">
        <v>3</v>
      </c>
      <c r="C1735" s="7">
        <f t="shared" si="82"/>
        <v>2.7470963680778882E-2</v>
      </c>
      <c r="D1735" s="7">
        <f t="shared" si="83"/>
        <v>2.7468216584410805E-2</v>
      </c>
      <c r="E1735" s="7">
        <f t="shared" si="84"/>
        <v>-3.5947257032827968</v>
      </c>
    </row>
    <row r="1736" spans="1:5" x14ac:dyDescent="0.15">
      <c r="A1736" s="7">
        <v>1729</v>
      </c>
      <c r="B1736" s="7">
        <v>0</v>
      </c>
      <c r="C1736" s="7">
        <f t="shared" si="82"/>
        <v>0.75583605794746755</v>
      </c>
      <c r="D1736" s="7">
        <f t="shared" si="83"/>
        <v>0.75586047434167281</v>
      </c>
      <c r="E1736" s="7">
        <f t="shared" si="84"/>
        <v>-0.27989847758459119</v>
      </c>
    </row>
    <row r="1737" spans="1:5" x14ac:dyDescent="0.15">
      <c r="A1737" s="7">
        <v>1730</v>
      </c>
      <c r="B1737" s="7">
        <v>0</v>
      </c>
      <c r="C1737" s="7">
        <f t="shared" ref="C1737:C1800" si="85">(_xlfn.GAMMA($B$1+B1737)/(_xlfn.GAMMA($B$1)*FACT(B1737))) * ($B$2/($B$2+$B$5))^$B$1 * (1/($B$2 +$B$5))^B1737</f>
        <v>0.75583605794746755</v>
      </c>
      <c r="D1737" s="7">
        <f t="shared" ref="D1737:D1800" si="86" xml:space="preserve"> IF(B1737 = 0, $B$3 + (1-$B$3) * C1737, (1-$B$3) *C1737)</f>
        <v>0.75586047434167281</v>
      </c>
      <c r="E1737" s="7">
        <f t="shared" ref="E1737:E1800" si="87">LN(D1737)</f>
        <v>-0.27989847758459119</v>
      </c>
    </row>
    <row r="1738" spans="1:5" x14ac:dyDescent="0.15">
      <c r="A1738" s="7">
        <v>1731</v>
      </c>
      <c r="B1738" s="7">
        <v>0</v>
      </c>
      <c r="C1738" s="7">
        <f t="shared" si="85"/>
        <v>0.75583605794746755</v>
      </c>
      <c r="D1738" s="7">
        <f t="shared" si="86"/>
        <v>0.75586047434167281</v>
      </c>
      <c r="E1738" s="7">
        <f t="shared" si="87"/>
        <v>-0.27989847758459119</v>
      </c>
    </row>
    <row r="1739" spans="1:5" x14ac:dyDescent="0.15">
      <c r="A1739" s="7">
        <v>1732</v>
      </c>
      <c r="B1739" s="7">
        <v>0</v>
      </c>
      <c r="C1739" s="7">
        <f t="shared" si="85"/>
        <v>0.75583605794746755</v>
      </c>
      <c r="D1739" s="7">
        <f t="shared" si="86"/>
        <v>0.75586047434167281</v>
      </c>
      <c r="E1739" s="7">
        <f t="shared" si="87"/>
        <v>-0.27989847758459119</v>
      </c>
    </row>
    <row r="1740" spans="1:5" x14ac:dyDescent="0.15">
      <c r="A1740" s="7">
        <v>1733</v>
      </c>
      <c r="B1740" s="7">
        <v>0</v>
      </c>
      <c r="C1740" s="7">
        <f t="shared" si="85"/>
        <v>0.75583605794746755</v>
      </c>
      <c r="D1740" s="7">
        <f t="shared" si="86"/>
        <v>0.75586047434167281</v>
      </c>
      <c r="E1740" s="7">
        <f t="shared" si="87"/>
        <v>-0.27989847758459119</v>
      </c>
    </row>
    <row r="1741" spans="1:5" x14ac:dyDescent="0.15">
      <c r="A1741" s="7">
        <v>1734</v>
      </c>
      <c r="B1741" s="7">
        <v>0</v>
      </c>
      <c r="C1741" s="7">
        <f t="shared" si="85"/>
        <v>0.75583605794746755</v>
      </c>
      <c r="D1741" s="7">
        <f t="shared" si="86"/>
        <v>0.75586047434167281</v>
      </c>
      <c r="E1741" s="7">
        <f t="shared" si="87"/>
        <v>-0.27989847758459119</v>
      </c>
    </row>
    <row r="1742" spans="1:5" x14ac:dyDescent="0.15">
      <c r="A1742" s="7">
        <v>1735</v>
      </c>
      <c r="B1742" s="7">
        <v>3</v>
      </c>
      <c r="C1742" s="7">
        <f t="shared" si="85"/>
        <v>2.7470963680778882E-2</v>
      </c>
      <c r="D1742" s="7">
        <f t="shared" si="86"/>
        <v>2.7468216584410805E-2</v>
      </c>
      <c r="E1742" s="7">
        <f t="shared" si="87"/>
        <v>-3.5947257032827968</v>
      </c>
    </row>
    <row r="1743" spans="1:5" x14ac:dyDescent="0.15">
      <c r="A1743" s="7">
        <v>1736</v>
      </c>
      <c r="B1743" s="7">
        <v>0</v>
      </c>
      <c r="C1743" s="7">
        <f t="shared" si="85"/>
        <v>0.75583605794746755</v>
      </c>
      <c r="D1743" s="7">
        <f t="shared" si="86"/>
        <v>0.75586047434167281</v>
      </c>
      <c r="E1743" s="7">
        <f t="shared" si="87"/>
        <v>-0.27989847758459119</v>
      </c>
    </row>
    <row r="1744" spans="1:5" x14ac:dyDescent="0.15">
      <c r="A1744" s="7">
        <v>1737</v>
      </c>
      <c r="B1744" s="7">
        <v>0</v>
      </c>
      <c r="C1744" s="7">
        <f t="shared" si="85"/>
        <v>0.75583605794746755</v>
      </c>
      <c r="D1744" s="7">
        <f t="shared" si="86"/>
        <v>0.75586047434167281</v>
      </c>
      <c r="E1744" s="7">
        <f t="shared" si="87"/>
        <v>-0.27989847758459119</v>
      </c>
    </row>
    <row r="1745" spans="1:5" x14ac:dyDescent="0.15">
      <c r="A1745" s="7">
        <v>1738</v>
      </c>
      <c r="B1745" s="7">
        <v>0</v>
      </c>
      <c r="C1745" s="7">
        <f t="shared" si="85"/>
        <v>0.75583605794746755</v>
      </c>
      <c r="D1745" s="7">
        <f t="shared" si="86"/>
        <v>0.75586047434167281</v>
      </c>
      <c r="E1745" s="7">
        <f t="shared" si="87"/>
        <v>-0.27989847758459119</v>
      </c>
    </row>
    <row r="1746" spans="1:5" x14ac:dyDescent="0.15">
      <c r="A1746" s="7">
        <v>1739</v>
      </c>
      <c r="B1746" s="7">
        <v>0</v>
      </c>
      <c r="C1746" s="7">
        <f t="shared" si="85"/>
        <v>0.75583605794746755</v>
      </c>
      <c r="D1746" s="7">
        <f t="shared" si="86"/>
        <v>0.75586047434167281</v>
      </c>
      <c r="E1746" s="7">
        <f t="shared" si="87"/>
        <v>-0.27989847758459119</v>
      </c>
    </row>
    <row r="1747" spans="1:5" x14ac:dyDescent="0.15">
      <c r="A1747" s="7">
        <v>1740</v>
      </c>
      <c r="B1747" s="7">
        <v>0</v>
      </c>
      <c r="C1747" s="7">
        <f t="shared" si="85"/>
        <v>0.75583605794746755</v>
      </c>
      <c r="D1747" s="7">
        <f t="shared" si="86"/>
        <v>0.75586047434167281</v>
      </c>
      <c r="E1747" s="7">
        <f t="shared" si="87"/>
        <v>-0.27989847758459119</v>
      </c>
    </row>
    <row r="1748" spans="1:5" x14ac:dyDescent="0.15">
      <c r="A1748" s="7">
        <v>1741</v>
      </c>
      <c r="B1748" s="7">
        <v>0</v>
      </c>
      <c r="C1748" s="7">
        <f t="shared" si="85"/>
        <v>0.75583605794746755</v>
      </c>
      <c r="D1748" s="7">
        <f t="shared" si="86"/>
        <v>0.75586047434167281</v>
      </c>
      <c r="E1748" s="7">
        <f t="shared" si="87"/>
        <v>-0.27989847758459119</v>
      </c>
    </row>
    <row r="1749" spans="1:5" x14ac:dyDescent="0.15">
      <c r="A1749" s="7">
        <v>1742</v>
      </c>
      <c r="B1749" s="7">
        <v>0</v>
      </c>
      <c r="C1749" s="7">
        <f t="shared" si="85"/>
        <v>0.75583605794746755</v>
      </c>
      <c r="D1749" s="7">
        <f t="shared" si="86"/>
        <v>0.75586047434167281</v>
      </c>
      <c r="E1749" s="7">
        <f t="shared" si="87"/>
        <v>-0.27989847758459119</v>
      </c>
    </row>
    <row r="1750" spans="1:5" x14ac:dyDescent="0.15">
      <c r="A1750" s="7">
        <v>1743</v>
      </c>
      <c r="B1750" s="7">
        <v>0</v>
      </c>
      <c r="C1750" s="7">
        <f t="shared" si="85"/>
        <v>0.75583605794746755</v>
      </c>
      <c r="D1750" s="7">
        <f t="shared" si="86"/>
        <v>0.75586047434167281</v>
      </c>
      <c r="E1750" s="7">
        <f t="shared" si="87"/>
        <v>-0.27989847758459119</v>
      </c>
    </row>
    <row r="1751" spans="1:5" x14ac:dyDescent="0.15">
      <c r="A1751" s="7">
        <v>1744</v>
      </c>
      <c r="B1751" s="7">
        <v>0</v>
      </c>
      <c r="C1751" s="7">
        <f t="shared" si="85"/>
        <v>0.75583605794746755</v>
      </c>
      <c r="D1751" s="7">
        <f t="shared" si="86"/>
        <v>0.75586047434167281</v>
      </c>
      <c r="E1751" s="7">
        <f t="shared" si="87"/>
        <v>-0.27989847758459119</v>
      </c>
    </row>
    <row r="1752" spans="1:5" x14ac:dyDescent="0.15">
      <c r="A1752" s="7">
        <v>1745</v>
      </c>
      <c r="B1752" s="7">
        <v>0</v>
      </c>
      <c r="C1752" s="7">
        <f t="shared" si="85"/>
        <v>0.75583605794746755</v>
      </c>
      <c r="D1752" s="7">
        <f t="shared" si="86"/>
        <v>0.75586047434167281</v>
      </c>
      <c r="E1752" s="7">
        <f t="shared" si="87"/>
        <v>-0.27989847758459119</v>
      </c>
    </row>
    <row r="1753" spans="1:5" x14ac:dyDescent="0.15">
      <c r="A1753" s="7">
        <v>1746</v>
      </c>
      <c r="B1753" s="7">
        <v>0</v>
      </c>
      <c r="C1753" s="7">
        <f t="shared" si="85"/>
        <v>0.75583605794746755</v>
      </c>
      <c r="D1753" s="7">
        <f t="shared" si="86"/>
        <v>0.75586047434167281</v>
      </c>
      <c r="E1753" s="7">
        <f t="shared" si="87"/>
        <v>-0.27989847758459119</v>
      </c>
    </row>
    <row r="1754" spans="1:5" x14ac:dyDescent="0.15">
      <c r="A1754" s="7">
        <v>1747</v>
      </c>
      <c r="B1754" s="7">
        <v>1</v>
      </c>
      <c r="C1754" s="7">
        <f t="shared" si="85"/>
        <v>8.8686757970141181E-2</v>
      </c>
      <c r="D1754" s="7">
        <f t="shared" si="86"/>
        <v>8.867788929434417E-2</v>
      </c>
      <c r="E1754" s="7">
        <f t="shared" si="87"/>
        <v>-2.4227446958891354</v>
      </c>
    </row>
    <row r="1755" spans="1:5" x14ac:dyDescent="0.15">
      <c r="A1755" s="7">
        <v>1748</v>
      </c>
      <c r="B1755" s="7">
        <v>0</v>
      </c>
      <c r="C1755" s="7">
        <f t="shared" si="85"/>
        <v>0.75583605794746755</v>
      </c>
      <c r="D1755" s="7">
        <f t="shared" si="86"/>
        <v>0.75586047434167281</v>
      </c>
      <c r="E1755" s="7">
        <f t="shared" si="87"/>
        <v>-0.27989847758459119</v>
      </c>
    </row>
    <row r="1756" spans="1:5" x14ac:dyDescent="0.15">
      <c r="A1756" s="7">
        <v>1749</v>
      </c>
      <c r="B1756" s="7">
        <v>0</v>
      </c>
      <c r="C1756" s="7">
        <f t="shared" si="85"/>
        <v>0.75583605794746755</v>
      </c>
      <c r="D1756" s="7">
        <f t="shared" si="86"/>
        <v>0.75586047434167281</v>
      </c>
      <c r="E1756" s="7">
        <f t="shared" si="87"/>
        <v>-0.27989847758459119</v>
      </c>
    </row>
    <row r="1757" spans="1:5" x14ac:dyDescent="0.15">
      <c r="A1757" s="7">
        <v>1750</v>
      </c>
      <c r="B1757" s="7">
        <v>0</v>
      </c>
      <c r="C1757" s="7">
        <f t="shared" si="85"/>
        <v>0.75583605794746755</v>
      </c>
      <c r="D1757" s="7">
        <f t="shared" si="86"/>
        <v>0.75586047434167281</v>
      </c>
      <c r="E1757" s="7">
        <f t="shared" si="87"/>
        <v>-0.27989847758459119</v>
      </c>
    </row>
    <row r="1758" spans="1:5" x14ac:dyDescent="0.15">
      <c r="A1758" s="7">
        <v>1751</v>
      </c>
      <c r="B1758" s="7">
        <v>0</v>
      </c>
      <c r="C1758" s="7">
        <f t="shared" si="85"/>
        <v>0.75583605794746755</v>
      </c>
      <c r="D1758" s="7">
        <f t="shared" si="86"/>
        <v>0.75586047434167281</v>
      </c>
      <c r="E1758" s="7">
        <f t="shared" si="87"/>
        <v>-0.27989847758459119</v>
      </c>
    </row>
    <row r="1759" spans="1:5" x14ac:dyDescent="0.15">
      <c r="A1759" s="7">
        <v>1752</v>
      </c>
      <c r="B1759" s="7">
        <v>0</v>
      </c>
      <c r="C1759" s="7">
        <f t="shared" si="85"/>
        <v>0.75583605794746755</v>
      </c>
      <c r="D1759" s="7">
        <f t="shared" si="86"/>
        <v>0.75586047434167281</v>
      </c>
      <c r="E1759" s="7">
        <f t="shared" si="87"/>
        <v>-0.27989847758459119</v>
      </c>
    </row>
    <row r="1760" spans="1:5" x14ac:dyDescent="0.15">
      <c r="A1760" s="7">
        <v>1753</v>
      </c>
      <c r="B1760" s="7">
        <v>0</v>
      </c>
      <c r="C1760" s="7">
        <f t="shared" si="85"/>
        <v>0.75583605794746755</v>
      </c>
      <c r="D1760" s="7">
        <f t="shared" si="86"/>
        <v>0.75586047434167281</v>
      </c>
      <c r="E1760" s="7">
        <f t="shared" si="87"/>
        <v>-0.27989847758459119</v>
      </c>
    </row>
    <row r="1761" spans="1:5" x14ac:dyDescent="0.15">
      <c r="A1761" s="7">
        <v>1754</v>
      </c>
      <c r="B1761" s="7">
        <v>0</v>
      </c>
      <c r="C1761" s="7">
        <f t="shared" si="85"/>
        <v>0.75583605794746755</v>
      </c>
      <c r="D1761" s="7">
        <f t="shared" si="86"/>
        <v>0.75586047434167281</v>
      </c>
      <c r="E1761" s="7">
        <f t="shared" si="87"/>
        <v>-0.27989847758459119</v>
      </c>
    </row>
    <row r="1762" spans="1:5" x14ac:dyDescent="0.15">
      <c r="A1762" s="7">
        <v>1755</v>
      </c>
      <c r="B1762" s="7">
        <v>0</v>
      </c>
      <c r="C1762" s="7">
        <f t="shared" si="85"/>
        <v>0.75583605794746755</v>
      </c>
      <c r="D1762" s="7">
        <f t="shared" si="86"/>
        <v>0.75586047434167281</v>
      </c>
      <c r="E1762" s="7">
        <f t="shared" si="87"/>
        <v>-0.27989847758459119</v>
      </c>
    </row>
    <row r="1763" spans="1:5" x14ac:dyDescent="0.15">
      <c r="A1763" s="7">
        <v>1756</v>
      </c>
      <c r="B1763" s="7">
        <v>0</v>
      </c>
      <c r="C1763" s="7">
        <f t="shared" si="85"/>
        <v>0.75583605794746755</v>
      </c>
      <c r="D1763" s="7">
        <f t="shared" si="86"/>
        <v>0.75586047434167281</v>
      </c>
      <c r="E1763" s="7">
        <f t="shared" si="87"/>
        <v>-0.27989847758459119</v>
      </c>
    </row>
    <row r="1764" spans="1:5" x14ac:dyDescent="0.15">
      <c r="A1764" s="7">
        <v>1757</v>
      </c>
      <c r="B1764" s="7">
        <v>0</v>
      </c>
      <c r="C1764" s="7">
        <f t="shared" si="85"/>
        <v>0.75583605794746755</v>
      </c>
      <c r="D1764" s="7">
        <f t="shared" si="86"/>
        <v>0.75586047434167281</v>
      </c>
      <c r="E1764" s="7">
        <f t="shared" si="87"/>
        <v>-0.27989847758459119</v>
      </c>
    </row>
    <row r="1765" spans="1:5" x14ac:dyDescent="0.15">
      <c r="A1765" s="7">
        <v>1758</v>
      </c>
      <c r="B1765" s="7">
        <v>0</v>
      </c>
      <c r="C1765" s="7">
        <f t="shared" si="85"/>
        <v>0.75583605794746755</v>
      </c>
      <c r="D1765" s="7">
        <f t="shared" si="86"/>
        <v>0.75586047434167281</v>
      </c>
      <c r="E1765" s="7">
        <f t="shared" si="87"/>
        <v>-0.27989847758459119</v>
      </c>
    </row>
    <row r="1766" spans="1:5" x14ac:dyDescent="0.15">
      <c r="A1766" s="7">
        <v>1759</v>
      </c>
      <c r="B1766" s="7">
        <v>0</v>
      </c>
      <c r="C1766" s="7">
        <f t="shared" si="85"/>
        <v>0.75583605794746755</v>
      </c>
      <c r="D1766" s="7">
        <f t="shared" si="86"/>
        <v>0.75586047434167281</v>
      </c>
      <c r="E1766" s="7">
        <f t="shared" si="87"/>
        <v>-0.27989847758459119</v>
      </c>
    </row>
    <row r="1767" spans="1:5" x14ac:dyDescent="0.15">
      <c r="A1767" s="7">
        <v>1760</v>
      </c>
      <c r="B1767" s="7">
        <v>0</v>
      </c>
      <c r="C1767" s="7">
        <f t="shared" si="85"/>
        <v>0.75583605794746755</v>
      </c>
      <c r="D1767" s="7">
        <f t="shared" si="86"/>
        <v>0.75586047434167281</v>
      </c>
      <c r="E1767" s="7">
        <f t="shared" si="87"/>
        <v>-0.27989847758459119</v>
      </c>
    </row>
    <row r="1768" spans="1:5" x14ac:dyDescent="0.15">
      <c r="A1768" s="7">
        <v>1761</v>
      </c>
      <c r="B1768" s="7">
        <v>1</v>
      </c>
      <c r="C1768" s="7">
        <f t="shared" si="85"/>
        <v>8.8686757970141181E-2</v>
      </c>
      <c r="D1768" s="7">
        <f t="shared" si="86"/>
        <v>8.867788929434417E-2</v>
      </c>
      <c r="E1768" s="7">
        <f t="shared" si="87"/>
        <v>-2.4227446958891354</v>
      </c>
    </row>
    <row r="1769" spans="1:5" x14ac:dyDescent="0.15">
      <c r="A1769" s="7">
        <v>1762</v>
      </c>
      <c r="B1769" s="7">
        <v>3</v>
      </c>
      <c r="C1769" s="7">
        <f t="shared" si="85"/>
        <v>2.7470963680778882E-2</v>
      </c>
      <c r="D1769" s="7">
        <f t="shared" si="86"/>
        <v>2.7468216584410805E-2</v>
      </c>
      <c r="E1769" s="7">
        <f t="shared" si="87"/>
        <v>-3.5947257032827968</v>
      </c>
    </row>
    <row r="1770" spans="1:5" x14ac:dyDescent="0.15">
      <c r="A1770" s="7">
        <v>1763</v>
      </c>
      <c r="B1770" s="7">
        <v>1</v>
      </c>
      <c r="C1770" s="7">
        <f t="shared" si="85"/>
        <v>8.8686757970141181E-2</v>
      </c>
      <c r="D1770" s="7">
        <f t="shared" si="86"/>
        <v>8.867788929434417E-2</v>
      </c>
      <c r="E1770" s="7">
        <f t="shared" si="87"/>
        <v>-2.4227446958891354</v>
      </c>
    </row>
    <row r="1771" spans="1:5" x14ac:dyDescent="0.15">
      <c r="A1771" s="7">
        <v>1764</v>
      </c>
      <c r="B1771" s="7">
        <v>0</v>
      </c>
      <c r="C1771" s="7">
        <f t="shared" si="85"/>
        <v>0.75583605794746755</v>
      </c>
      <c r="D1771" s="7">
        <f t="shared" si="86"/>
        <v>0.75586047434167281</v>
      </c>
      <c r="E1771" s="7">
        <f t="shared" si="87"/>
        <v>-0.27989847758459119</v>
      </c>
    </row>
    <row r="1772" spans="1:5" x14ac:dyDescent="0.15">
      <c r="A1772" s="7">
        <v>1765</v>
      </c>
      <c r="B1772" s="7">
        <v>0</v>
      </c>
      <c r="C1772" s="7">
        <f t="shared" si="85"/>
        <v>0.75583605794746755</v>
      </c>
      <c r="D1772" s="7">
        <f t="shared" si="86"/>
        <v>0.75586047434167281</v>
      </c>
      <c r="E1772" s="7">
        <f t="shared" si="87"/>
        <v>-0.27989847758459119</v>
      </c>
    </row>
    <row r="1773" spans="1:5" x14ac:dyDescent="0.15">
      <c r="A1773" s="7">
        <v>1766</v>
      </c>
      <c r="B1773" s="7">
        <v>0</v>
      </c>
      <c r="C1773" s="7">
        <f t="shared" si="85"/>
        <v>0.75583605794746755</v>
      </c>
      <c r="D1773" s="7">
        <f t="shared" si="86"/>
        <v>0.75586047434167281</v>
      </c>
      <c r="E1773" s="7">
        <f t="shared" si="87"/>
        <v>-0.27989847758459119</v>
      </c>
    </row>
    <row r="1774" spans="1:5" x14ac:dyDescent="0.15">
      <c r="A1774" s="7">
        <v>1767</v>
      </c>
      <c r="B1774" s="7">
        <v>1</v>
      </c>
      <c r="C1774" s="7">
        <f t="shared" si="85"/>
        <v>8.8686757970141181E-2</v>
      </c>
      <c r="D1774" s="7">
        <f t="shared" si="86"/>
        <v>8.867788929434417E-2</v>
      </c>
      <c r="E1774" s="7">
        <f t="shared" si="87"/>
        <v>-2.4227446958891354</v>
      </c>
    </row>
    <row r="1775" spans="1:5" x14ac:dyDescent="0.15">
      <c r="A1775" s="7">
        <v>1768</v>
      </c>
      <c r="B1775" s="7">
        <v>0</v>
      </c>
      <c r="C1775" s="7">
        <f t="shared" si="85"/>
        <v>0.75583605794746755</v>
      </c>
      <c r="D1775" s="7">
        <f t="shared" si="86"/>
        <v>0.75586047434167281</v>
      </c>
      <c r="E1775" s="7">
        <f t="shared" si="87"/>
        <v>-0.27989847758459119</v>
      </c>
    </row>
    <row r="1776" spans="1:5" x14ac:dyDescent="0.15">
      <c r="A1776" s="7">
        <v>1769</v>
      </c>
      <c r="B1776" s="7">
        <v>0</v>
      </c>
      <c r="C1776" s="7">
        <f t="shared" si="85"/>
        <v>0.75583605794746755</v>
      </c>
      <c r="D1776" s="7">
        <f t="shared" si="86"/>
        <v>0.75586047434167281</v>
      </c>
      <c r="E1776" s="7">
        <f t="shared" si="87"/>
        <v>-0.27989847758459119</v>
      </c>
    </row>
    <row r="1777" spans="1:5" x14ac:dyDescent="0.15">
      <c r="A1777" s="7">
        <v>1770</v>
      </c>
      <c r="B1777" s="7">
        <v>0</v>
      </c>
      <c r="C1777" s="7">
        <f t="shared" si="85"/>
        <v>0.75583605794746755</v>
      </c>
      <c r="D1777" s="7">
        <f t="shared" si="86"/>
        <v>0.75586047434167281</v>
      </c>
      <c r="E1777" s="7">
        <f t="shared" si="87"/>
        <v>-0.27989847758459119</v>
      </c>
    </row>
    <row r="1778" spans="1:5" x14ac:dyDescent="0.15">
      <c r="A1778" s="7">
        <v>1771</v>
      </c>
      <c r="B1778" s="7">
        <v>0</v>
      </c>
      <c r="C1778" s="7">
        <f t="shared" si="85"/>
        <v>0.75583605794746755</v>
      </c>
      <c r="D1778" s="7">
        <f t="shared" si="86"/>
        <v>0.75586047434167281</v>
      </c>
      <c r="E1778" s="7">
        <f t="shared" si="87"/>
        <v>-0.27989847758459119</v>
      </c>
    </row>
    <row r="1779" spans="1:5" x14ac:dyDescent="0.15">
      <c r="A1779" s="7">
        <v>1772</v>
      </c>
      <c r="B1779" s="7">
        <v>2</v>
      </c>
      <c r="C1779" s="7">
        <f t="shared" si="85"/>
        <v>4.4066701399555049E-2</v>
      </c>
      <c r="D1779" s="7">
        <f t="shared" si="86"/>
        <v>4.4062294729415093E-2</v>
      </c>
      <c r="E1779" s="7">
        <f t="shared" si="87"/>
        <v>-3.1221508570437044</v>
      </c>
    </row>
    <row r="1780" spans="1:5" x14ac:dyDescent="0.15">
      <c r="A1780" s="7">
        <v>1773</v>
      </c>
      <c r="B1780" s="7">
        <v>2</v>
      </c>
      <c r="C1780" s="7">
        <f t="shared" si="85"/>
        <v>4.4066701399555049E-2</v>
      </c>
      <c r="D1780" s="7">
        <f t="shared" si="86"/>
        <v>4.4062294729415093E-2</v>
      </c>
      <c r="E1780" s="7">
        <f t="shared" si="87"/>
        <v>-3.1221508570437044</v>
      </c>
    </row>
    <row r="1781" spans="1:5" x14ac:dyDescent="0.15">
      <c r="A1781" s="7">
        <v>1774</v>
      </c>
      <c r="B1781" s="7">
        <v>0</v>
      </c>
      <c r="C1781" s="7">
        <f t="shared" si="85"/>
        <v>0.75583605794746755</v>
      </c>
      <c r="D1781" s="7">
        <f t="shared" si="86"/>
        <v>0.75586047434167281</v>
      </c>
      <c r="E1781" s="7">
        <f t="shared" si="87"/>
        <v>-0.27989847758459119</v>
      </c>
    </row>
    <row r="1782" spans="1:5" x14ac:dyDescent="0.15">
      <c r="A1782" s="7">
        <v>1775</v>
      </c>
      <c r="B1782" s="7">
        <v>0</v>
      </c>
      <c r="C1782" s="7">
        <f t="shared" si="85"/>
        <v>0.75583605794746755</v>
      </c>
      <c r="D1782" s="7">
        <f t="shared" si="86"/>
        <v>0.75586047434167281</v>
      </c>
      <c r="E1782" s="7">
        <f t="shared" si="87"/>
        <v>-0.27989847758459119</v>
      </c>
    </row>
    <row r="1783" spans="1:5" x14ac:dyDescent="0.15">
      <c r="A1783" s="7">
        <v>1776</v>
      </c>
      <c r="B1783" s="7">
        <v>0</v>
      </c>
      <c r="C1783" s="7">
        <f t="shared" si="85"/>
        <v>0.75583605794746755</v>
      </c>
      <c r="D1783" s="7">
        <f t="shared" si="86"/>
        <v>0.75586047434167281</v>
      </c>
      <c r="E1783" s="7">
        <f t="shared" si="87"/>
        <v>-0.27989847758459119</v>
      </c>
    </row>
    <row r="1784" spans="1:5" x14ac:dyDescent="0.15">
      <c r="A1784" s="7">
        <v>1777</v>
      </c>
      <c r="B1784" s="7">
        <v>0</v>
      </c>
      <c r="C1784" s="7">
        <f t="shared" si="85"/>
        <v>0.75583605794746755</v>
      </c>
      <c r="D1784" s="7">
        <f t="shared" si="86"/>
        <v>0.75586047434167281</v>
      </c>
      <c r="E1784" s="7">
        <f t="shared" si="87"/>
        <v>-0.27989847758459119</v>
      </c>
    </row>
    <row r="1785" spans="1:5" x14ac:dyDescent="0.15">
      <c r="A1785" s="7">
        <v>1778</v>
      </c>
      <c r="B1785" s="7">
        <v>0</v>
      </c>
      <c r="C1785" s="7">
        <f t="shared" si="85"/>
        <v>0.75583605794746755</v>
      </c>
      <c r="D1785" s="7">
        <f t="shared" si="86"/>
        <v>0.75586047434167281</v>
      </c>
      <c r="E1785" s="7">
        <f t="shared" si="87"/>
        <v>-0.27989847758459119</v>
      </c>
    </row>
    <row r="1786" spans="1:5" x14ac:dyDescent="0.15">
      <c r="A1786" s="7">
        <v>1779</v>
      </c>
      <c r="B1786" s="7">
        <v>0</v>
      </c>
      <c r="C1786" s="7">
        <f t="shared" si="85"/>
        <v>0.75583605794746755</v>
      </c>
      <c r="D1786" s="7">
        <f t="shared" si="86"/>
        <v>0.75586047434167281</v>
      </c>
      <c r="E1786" s="7">
        <f t="shared" si="87"/>
        <v>-0.27989847758459119</v>
      </c>
    </row>
    <row r="1787" spans="1:5" x14ac:dyDescent="0.15">
      <c r="A1787" s="7">
        <v>1780</v>
      </c>
      <c r="B1787" s="7">
        <v>0</v>
      </c>
      <c r="C1787" s="7">
        <f t="shared" si="85"/>
        <v>0.75583605794746755</v>
      </c>
      <c r="D1787" s="7">
        <f t="shared" si="86"/>
        <v>0.75586047434167281</v>
      </c>
      <c r="E1787" s="7">
        <f t="shared" si="87"/>
        <v>-0.27989847758459119</v>
      </c>
    </row>
    <row r="1788" spans="1:5" x14ac:dyDescent="0.15">
      <c r="A1788" s="7">
        <v>1781</v>
      </c>
      <c r="B1788" s="7">
        <v>0</v>
      </c>
      <c r="C1788" s="7">
        <f t="shared" si="85"/>
        <v>0.75583605794746755</v>
      </c>
      <c r="D1788" s="7">
        <f t="shared" si="86"/>
        <v>0.75586047434167281</v>
      </c>
      <c r="E1788" s="7">
        <f t="shared" si="87"/>
        <v>-0.27989847758459119</v>
      </c>
    </row>
    <row r="1789" spans="1:5" x14ac:dyDescent="0.15">
      <c r="A1789" s="7">
        <v>1782</v>
      </c>
      <c r="B1789" s="7">
        <v>0</v>
      </c>
      <c r="C1789" s="7">
        <f t="shared" si="85"/>
        <v>0.75583605794746755</v>
      </c>
      <c r="D1789" s="7">
        <f t="shared" si="86"/>
        <v>0.75586047434167281</v>
      </c>
      <c r="E1789" s="7">
        <f t="shared" si="87"/>
        <v>-0.27989847758459119</v>
      </c>
    </row>
    <row r="1790" spans="1:5" x14ac:dyDescent="0.15">
      <c r="A1790" s="7">
        <v>1783</v>
      </c>
      <c r="B1790" s="7">
        <v>0</v>
      </c>
      <c r="C1790" s="7">
        <f t="shared" si="85"/>
        <v>0.75583605794746755</v>
      </c>
      <c r="D1790" s="7">
        <f t="shared" si="86"/>
        <v>0.75586047434167281</v>
      </c>
      <c r="E1790" s="7">
        <f t="shared" si="87"/>
        <v>-0.27989847758459119</v>
      </c>
    </row>
    <row r="1791" spans="1:5" x14ac:dyDescent="0.15">
      <c r="A1791" s="7">
        <v>1784</v>
      </c>
      <c r="B1791" s="7">
        <v>1</v>
      </c>
      <c r="C1791" s="7">
        <f t="shared" si="85"/>
        <v>8.8686757970141181E-2</v>
      </c>
      <c r="D1791" s="7">
        <f t="shared" si="86"/>
        <v>8.867788929434417E-2</v>
      </c>
      <c r="E1791" s="7">
        <f t="shared" si="87"/>
        <v>-2.4227446958891354</v>
      </c>
    </row>
    <row r="1792" spans="1:5" x14ac:dyDescent="0.15">
      <c r="A1792" s="7">
        <v>1785</v>
      </c>
      <c r="B1792" s="7">
        <v>0</v>
      </c>
      <c r="C1792" s="7">
        <f t="shared" si="85"/>
        <v>0.75583605794746755</v>
      </c>
      <c r="D1792" s="7">
        <f t="shared" si="86"/>
        <v>0.75586047434167281</v>
      </c>
      <c r="E1792" s="7">
        <f t="shared" si="87"/>
        <v>-0.27989847758459119</v>
      </c>
    </row>
    <row r="1793" spans="1:5" x14ac:dyDescent="0.15">
      <c r="A1793" s="7">
        <v>1786</v>
      </c>
      <c r="B1793" s="7">
        <v>0</v>
      </c>
      <c r="C1793" s="7">
        <f t="shared" si="85"/>
        <v>0.75583605794746755</v>
      </c>
      <c r="D1793" s="7">
        <f t="shared" si="86"/>
        <v>0.75586047434167281</v>
      </c>
      <c r="E1793" s="7">
        <f t="shared" si="87"/>
        <v>-0.27989847758459119</v>
      </c>
    </row>
    <row r="1794" spans="1:5" x14ac:dyDescent="0.15">
      <c r="A1794" s="7">
        <v>1787</v>
      </c>
      <c r="B1794" s="7">
        <v>0</v>
      </c>
      <c r="C1794" s="7">
        <f t="shared" si="85"/>
        <v>0.75583605794746755</v>
      </c>
      <c r="D1794" s="7">
        <f t="shared" si="86"/>
        <v>0.75586047434167281</v>
      </c>
      <c r="E1794" s="7">
        <f t="shared" si="87"/>
        <v>-0.27989847758459119</v>
      </c>
    </row>
    <row r="1795" spans="1:5" x14ac:dyDescent="0.15">
      <c r="A1795" s="7">
        <v>1788</v>
      </c>
      <c r="B1795" s="7">
        <v>0</v>
      </c>
      <c r="C1795" s="7">
        <f t="shared" si="85"/>
        <v>0.75583605794746755</v>
      </c>
      <c r="D1795" s="7">
        <f t="shared" si="86"/>
        <v>0.75586047434167281</v>
      </c>
      <c r="E1795" s="7">
        <f t="shared" si="87"/>
        <v>-0.27989847758459119</v>
      </c>
    </row>
    <row r="1796" spans="1:5" x14ac:dyDescent="0.15">
      <c r="A1796" s="7">
        <v>1789</v>
      </c>
      <c r="B1796" s="7">
        <v>0</v>
      </c>
      <c r="C1796" s="7">
        <f t="shared" si="85"/>
        <v>0.75583605794746755</v>
      </c>
      <c r="D1796" s="7">
        <f t="shared" si="86"/>
        <v>0.75586047434167281</v>
      </c>
      <c r="E1796" s="7">
        <f t="shared" si="87"/>
        <v>-0.27989847758459119</v>
      </c>
    </row>
    <row r="1797" spans="1:5" x14ac:dyDescent="0.15">
      <c r="A1797" s="7">
        <v>1790</v>
      </c>
      <c r="B1797" s="7">
        <v>0</v>
      </c>
      <c r="C1797" s="7">
        <f t="shared" si="85"/>
        <v>0.75583605794746755</v>
      </c>
      <c r="D1797" s="7">
        <f t="shared" si="86"/>
        <v>0.75586047434167281</v>
      </c>
      <c r="E1797" s="7">
        <f t="shared" si="87"/>
        <v>-0.27989847758459119</v>
      </c>
    </row>
    <row r="1798" spans="1:5" x14ac:dyDescent="0.15">
      <c r="A1798" s="7">
        <v>1791</v>
      </c>
      <c r="B1798" s="7">
        <v>0</v>
      </c>
      <c r="C1798" s="7">
        <f t="shared" si="85"/>
        <v>0.75583605794746755</v>
      </c>
      <c r="D1798" s="7">
        <f t="shared" si="86"/>
        <v>0.75586047434167281</v>
      </c>
      <c r="E1798" s="7">
        <f t="shared" si="87"/>
        <v>-0.27989847758459119</v>
      </c>
    </row>
    <row r="1799" spans="1:5" x14ac:dyDescent="0.15">
      <c r="A1799" s="7">
        <v>1792</v>
      </c>
      <c r="B1799" s="7">
        <v>0</v>
      </c>
      <c r="C1799" s="7">
        <f t="shared" si="85"/>
        <v>0.75583605794746755</v>
      </c>
      <c r="D1799" s="7">
        <f t="shared" si="86"/>
        <v>0.75586047434167281</v>
      </c>
      <c r="E1799" s="7">
        <f t="shared" si="87"/>
        <v>-0.27989847758459119</v>
      </c>
    </row>
    <row r="1800" spans="1:5" x14ac:dyDescent="0.15">
      <c r="A1800" s="7">
        <v>1793</v>
      </c>
      <c r="B1800" s="7">
        <v>11</v>
      </c>
      <c r="C1800" s="7">
        <f t="shared" si="85"/>
        <v>3.1496470211733337E-3</v>
      </c>
      <c r="D1800" s="7">
        <f t="shared" si="86"/>
        <v>3.1493320564712165E-3</v>
      </c>
      <c r="E1800" s="7">
        <f t="shared" si="87"/>
        <v>-5.7605648941941281</v>
      </c>
    </row>
    <row r="1801" spans="1:5" x14ac:dyDescent="0.15">
      <c r="A1801" s="7">
        <v>1794</v>
      </c>
      <c r="B1801" s="7">
        <v>0</v>
      </c>
      <c r="C1801" s="7">
        <f t="shared" ref="C1801:C1864" si="88">(_xlfn.GAMMA($B$1+B1801)/(_xlfn.GAMMA($B$1)*FACT(B1801))) * ($B$2/($B$2+$B$5))^$B$1 * (1/($B$2 +$B$5))^B1801</f>
        <v>0.75583605794746755</v>
      </c>
      <c r="D1801" s="7">
        <f t="shared" ref="D1801:D1864" si="89" xml:space="preserve"> IF(B1801 = 0, $B$3 + (1-$B$3) * C1801, (1-$B$3) *C1801)</f>
        <v>0.75586047434167281</v>
      </c>
      <c r="E1801" s="7">
        <f t="shared" ref="E1801:E1864" si="90">LN(D1801)</f>
        <v>-0.27989847758459119</v>
      </c>
    </row>
    <row r="1802" spans="1:5" x14ac:dyDescent="0.15">
      <c r="A1802" s="7">
        <v>1795</v>
      </c>
      <c r="B1802" s="7">
        <v>4</v>
      </c>
      <c r="C1802" s="7">
        <f t="shared" si="88"/>
        <v>1.8863004210024691E-2</v>
      </c>
      <c r="D1802" s="7">
        <f t="shared" si="89"/>
        <v>1.8861117909603688E-2</v>
      </c>
      <c r="E1802" s="7">
        <f t="shared" si="90"/>
        <v>-3.9706527294293466</v>
      </c>
    </row>
    <row r="1803" spans="1:5" x14ac:dyDescent="0.15">
      <c r="A1803" s="7">
        <v>1796</v>
      </c>
      <c r="B1803" s="7">
        <v>1</v>
      </c>
      <c r="C1803" s="7">
        <f t="shared" si="88"/>
        <v>8.8686757970141181E-2</v>
      </c>
      <c r="D1803" s="7">
        <f t="shared" si="89"/>
        <v>8.867788929434417E-2</v>
      </c>
      <c r="E1803" s="7">
        <f t="shared" si="90"/>
        <v>-2.4227446958891354</v>
      </c>
    </row>
    <row r="1804" spans="1:5" x14ac:dyDescent="0.15">
      <c r="A1804" s="7">
        <v>1797</v>
      </c>
      <c r="B1804" s="7">
        <v>0</v>
      </c>
      <c r="C1804" s="7">
        <f t="shared" si="88"/>
        <v>0.75583605794746755</v>
      </c>
      <c r="D1804" s="7">
        <f t="shared" si="89"/>
        <v>0.75586047434167281</v>
      </c>
      <c r="E1804" s="7">
        <f t="shared" si="90"/>
        <v>-0.27989847758459119</v>
      </c>
    </row>
    <row r="1805" spans="1:5" x14ac:dyDescent="0.15">
      <c r="A1805" s="7">
        <v>1798</v>
      </c>
      <c r="B1805" s="7">
        <v>0</v>
      </c>
      <c r="C1805" s="7">
        <f t="shared" si="88"/>
        <v>0.75583605794746755</v>
      </c>
      <c r="D1805" s="7">
        <f t="shared" si="89"/>
        <v>0.75586047434167281</v>
      </c>
      <c r="E1805" s="7">
        <f t="shared" si="90"/>
        <v>-0.27989847758459119</v>
      </c>
    </row>
    <row r="1806" spans="1:5" x14ac:dyDescent="0.15">
      <c r="A1806" s="7">
        <v>1799</v>
      </c>
      <c r="B1806" s="7">
        <v>15</v>
      </c>
      <c r="C1806" s="7">
        <f t="shared" si="88"/>
        <v>1.4225807669554509E-3</v>
      </c>
      <c r="D1806" s="7">
        <f t="shared" si="89"/>
        <v>1.4224385088787554E-3</v>
      </c>
      <c r="E1806" s="7">
        <f t="shared" si="90"/>
        <v>-6.5553826203998771</v>
      </c>
    </row>
    <row r="1807" spans="1:5" x14ac:dyDescent="0.15">
      <c r="A1807" s="7">
        <v>1800</v>
      </c>
      <c r="B1807" s="7">
        <v>0</v>
      </c>
      <c r="C1807" s="7">
        <f t="shared" si="88"/>
        <v>0.75583605794746755</v>
      </c>
      <c r="D1807" s="7">
        <f t="shared" si="89"/>
        <v>0.75586047434167281</v>
      </c>
      <c r="E1807" s="7">
        <f t="shared" si="90"/>
        <v>-0.27989847758459119</v>
      </c>
    </row>
    <row r="1808" spans="1:5" x14ac:dyDescent="0.15">
      <c r="A1808" s="7">
        <v>1801</v>
      </c>
      <c r="B1808" s="7">
        <v>0</v>
      </c>
      <c r="C1808" s="7">
        <f t="shared" si="88"/>
        <v>0.75583605794746755</v>
      </c>
      <c r="D1808" s="7">
        <f t="shared" si="89"/>
        <v>0.75586047434167281</v>
      </c>
      <c r="E1808" s="7">
        <f t="shared" si="90"/>
        <v>-0.27989847758459119</v>
      </c>
    </row>
    <row r="1809" spans="1:5" x14ac:dyDescent="0.15">
      <c r="A1809" s="7">
        <v>1802</v>
      </c>
      <c r="B1809" s="7">
        <v>4</v>
      </c>
      <c r="C1809" s="7">
        <f t="shared" si="88"/>
        <v>1.8863004210024691E-2</v>
      </c>
      <c r="D1809" s="7">
        <f t="shared" si="89"/>
        <v>1.8861117909603688E-2</v>
      </c>
      <c r="E1809" s="7">
        <f t="shared" si="90"/>
        <v>-3.9706527294293466</v>
      </c>
    </row>
    <row r="1810" spans="1:5" x14ac:dyDescent="0.15">
      <c r="A1810" s="7">
        <v>1803</v>
      </c>
      <c r="B1810" s="7">
        <v>0</v>
      </c>
      <c r="C1810" s="7">
        <f t="shared" si="88"/>
        <v>0.75583605794746755</v>
      </c>
      <c r="D1810" s="7">
        <f t="shared" si="89"/>
        <v>0.75586047434167281</v>
      </c>
      <c r="E1810" s="7">
        <f t="shared" si="90"/>
        <v>-0.27989847758459119</v>
      </c>
    </row>
    <row r="1811" spans="1:5" x14ac:dyDescent="0.15">
      <c r="A1811" s="7">
        <v>1804</v>
      </c>
      <c r="B1811" s="7">
        <v>9</v>
      </c>
      <c r="C1811" s="7">
        <f t="shared" si="88"/>
        <v>4.8729771313975011E-3</v>
      </c>
      <c r="D1811" s="7">
        <f t="shared" si="89"/>
        <v>4.8724898336843618E-3</v>
      </c>
      <c r="E1811" s="7">
        <f t="shared" si="90"/>
        <v>-5.324150213052798</v>
      </c>
    </row>
    <row r="1812" spans="1:5" x14ac:dyDescent="0.15">
      <c r="A1812" s="7">
        <v>1805</v>
      </c>
      <c r="B1812" s="7">
        <v>0</v>
      </c>
      <c r="C1812" s="7">
        <f t="shared" si="88"/>
        <v>0.75583605794746755</v>
      </c>
      <c r="D1812" s="7">
        <f t="shared" si="89"/>
        <v>0.75586047434167281</v>
      </c>
      <c r="E1812" s="7">
        <f t="shared" si="90"/>
        <v>-0.27989847758459119</v>
      </c>
    </row>
    <row r="1813" spans="1:5" x14ac:dyDescent="0.15">
      <c r="A1813" s="7">
        <v>1806</v>
      </c>
      <c r="B1813" s="7">
        <v>9</v>
      </c>
      <c r="C1813" s="7">
        <f t="shared" si="88"/>
        <v>4.8729771313975011E-3</v>
      </c>
      <c r="D1813" s="7">
        <f t="shared" si="89"/>
        <v>4.8724898336843618E-3</v>
      </c>
      <c r="E1813" s="7">
        <f t="shared" si="90"/>
        <v>-5.324150213052798</v>
      </c>
    </row>
    <row r="1814" spans="1:5" x14ac:dyDescent="0.15">
      <c r="A1814" s="7">
        <v>1807</v>
      </c>
      <c r="B1814" s="7">
        <v>0</v>
      </c>
      <c r="C1814" s="7">
        <f t="shared" si="88"/>
        <v>0.75583605794746755</v>
      </c>
      <c r="D1814" s="7">
        <f t="shared" si="89"/>
        <v>0.75586047434167281</v>
      </c>
      <c r="E1814" s="7">
        <f t="shared" si="90"/>
        <v>-0.27989847758459119</v>
      </c>
    </row>
    <row r="1815" spans="1:5" x14ac:dyDescent="0.15">
      <c r="A1815" s="7">
        <v>1808</v>
      </c>
      <c r="B1815" s="7">
        <v>0</v>
      </c>
      <c r="C1815" s="7">
        <f t="shared" si="88"/>
        <v>0.75583605794746755</v>
      </c>
      <c r="D1815" s="7">
        <f t="shared" si="89"/>
        <v>0.75586047434167281</v>
      </c>
      <c r="E1815" s="7">
        <f t="shared" si="90"/>
        <v>-0.27989847758459119</v>
      </c>
    </row>
    <row r="1816" spans="1:5" x14ac:dyDescent="0.15">
      <c r="A1816" s="7">
        <v>1809</v>
      </c>
      <c r="B1816" s="7">
        <v>0</v>
      </c>
      <c r="C1816" s="7">
        <f t="shared" si="88"/>
        <v>0.75583605794746755</v>
      </c>
      <c r="D1816" s="7">
        <f t="shared" si="89"/>
        <v>0.75586047434167281</v>
      </c>
      <c r="E1816" s="7">
        <f t="shared" si="90"/>
        <v>-0.27989847758459119</v>
      </c>
    </row>
    <row r="1817" spans="1:5" x14ac:dyDescent="0.15">
      <c r="A1817" s="7">
        <v>1810</v>
      </c>
      <c r="B1817" s="7">
        <v>0</v>
      </c>
      <c r="C1817" s="7">
        <f t="shared" si="88"/>
        <v>0.75583605794746755</v>
      </c>
      <c r="D1817" s="7">
        <f t="shared" si="89"/>
        <v>0.75586047434167281</v>
      </c>
      <c r="E1817" s="7">
        <f t="shared" si="90"/>
        <v>-0.27989847758459119</v>
      </c>
    </row>
    <row r="1818" spans="1:5" x14ac:dyDescent="0.15">
      <c r="A1818" s="7">
        <v>1811</v>
      </c>
      <c r="B1818" s="7">
        <v>0</v>
      </c>
      <c r="C1818" s="7">
        <f t="shared" si="88"/>
        <v>0.75583605794746755</v>
      </c>
      <c r="D1818" s="7">
        <f t="shared" si="89"/>
        <v>0.75586047434167281</v>
      </c>
      <c r="E1818" s="7">
        <f t="shared" si="90"/>
        <v>-0.27989847758459119</v>
      </c>
    </row>
    <row r="1819" spans="1:5" x14ac:dyDescent="0.15">
      <c r="A1819" s="7">
        <v>1812</v>
      </c>
      <c r="B1819" s="7">
        <v>3</v>
      </c>
      <c r="C1819" s="7">
        <f t="shared" si="88"/>
        <v>2.7470963680778882E-2</v>
      </c>
      <c r="D1819" s="7">
        <f t="shared" si="89"/>
        <v>2.7468216584410805E-2</v>
      </c>
      <c r="E1819" s="7">
        <f t="shared" si="90"/>
        <v>-3.5947257032827968</v>
      </c>
    </row>
    <row r="1820" spans="1:5" x14ac:dyDescent="0.15">
      <c r="A1820" s="7">
        <v>1813</v>
      </c>
      <c r="B1820" s="7">
        <v>0</v>
      </c>
      <c r="C1820" s="7">
        <f t="shared" si="88"/>
        <v>0.75583605794746755</v>
      </c>
      <c r="D1820" s="7">
        <f t="shared" si="89"/>
        <v>0.75586047434167281</v>
      </c>
      <c r="E1820" s="7">
        <f t="shared" si="90"/>
        <v>-0.27989847758459119</v>
      </c>
    </row>
    <row r="1821" spans="1:5" x14ac:dyDescent="0.15">
      <c r="A1821" s="7">
        <v>1814</v>
      </c>
      <c r="B1821" s="7">
        <v>0</v>
      </c>
      <c r="C1821" s="7">
        <f t="shared" si="88"/>
        <v>0.75583605794746755</v>
      </c>
      <c r="D1821" s="7">
        <f t="shared" si="89"/>
        <v>0.75586047434167281</v>
      </c>
      <c r="E1821" s="7">
        <f t="shared" si="90"/>
        <v>-0.27989847758459119</v>
      </c>
    </row>
    <row r="1822" spans="1:5" x14ac:dyDescent="0.15">
      <c r="A1822" s="7">
        <v>1815</v>
      </c>
      <c r="B1822" s="7">
        <v>0</v>
      </c>
      <c r="C1822" s="7">
        <f t="shared" si="88"/>
        <v>0.75583605794746755</v>
      </c>
      <c r="D1822" s="7">
        <f t="shared" si="89"/>
        <v>0.75586047434167281</v>
      </c>
      <c r="E1822" s="7">
        <f t="shared" si="90"/>
        <v>-0.27989847758459119</v>
      </c>
    </row>
    <row r="1823" spans="1:5" x14ac:dyDescent="0.15">
      <c r="A1823" s="7">
        <v>1816</v>
      </c>
      <c r="B1823" s="7">
        <v>2</v>
      </c>
      <c r="C1823" s="7">
        <f t="shared" si="88"/>
        <v>4.4066701399555049E-2</v>
      </c>
      <c r="D1823" s="7">
        <f t="shared" si="89"/>
        <v>4.4062294729415093E-2</v>
      </c>
      <c r="E1823" s="7">
        <f t="shared" si="90"/>
        <v>-3.1221508570437044</v>
      </c>
    </row>
    <row r="1824" spans="1:5" x14ac:dyDescent="0.15">
      <c r="A1824" s="7">
        <v>1817</v>
      </c>
      <c r="B1824" s="7">
        <v>0</v>
      </c>
      <c r="C1824" s="7">
        <f t="shared" si="88"/>
        <v>0.75583605794746755</v>
      </c>
      <c r="D1824" s="7">
        <f t="shared" si="89"/>
        <v>0.75586047434167281</v>
      </c>
      <c r="E1824" s="7">
        <f t="shared" si="90"/>
        <v>-0.27989847758459119</v>
      </c>
    </row>
    <row r="1825" spans="1:5" x14ac:dyDescent="0.15">
      <c r="A1825" s="7">
        <v>1818</v>
      </c>
      <c r="B1825" s="7">
        <v>0</v>
      </c>
      <c r="C1825" s="7">
        <f t="shared" si="88"/>
        <v>0.75583605794746755</v>
      </c>
      <c r="D1825" s="7">
        <f t="shared" si="89"/>
        <v>0.75586047434167281</v>
      </c>
      <c r="E1825" s="7">
        <f t="shared" si="90"/>
        <v>-0.27989847758459119</v>
      </c>
    </row>
    <row r="1826" spans="1:5" x14ac:dyDescent="0.15">
      <c r="A1826" s="7">
        <v>1819</v>
      </c>
      <c r="B1826" s="7">
        <v>1</v>
      </c>
      <c r="C1826" s="7">
        <f t="shared" si="88"/>
        <v>8.8686757970141181E-2</v>
      </c>
      <c r="D1826" s="7">
        <f t="shared" si="89"/>
        <v>8.867788929434417E-2</v>
      </c>
      <c r="E1826" s="7">
        <f t="shared" si="90"/>
        <v>-2.4227446958891354</v>
      </c>
    </row>
    <row r="1827" spans="1:5" x14ac:dyDescent="0.15">
      <c r="A1827" s="7">
        <v>1820</v>
      </c>
      <c r="B1827" s="7">
        <v>0</v>
      </c>
      <c r="C1827" s="7">
        <f t="shared" si="88"/>
        <v>0.75583605794746755</v>
      </c>
      <c r="D1827" s="7">
        <f t="shared" si="89"/>
        <v>0.75586047434167281</v>
      </c>
      <c r="E1827" s="7">
        <f t="shared" si="90"/>
        <v>-0.27989847758459119</v>
      </c>
    </row>
    <row r="1828" spans="1:5" x14ac:dyDescent="0.15">
      <c r="A1828" s="7">
        <v>1821</v>
      </c>
      <c r="B1828" s="7">
        <v>0</v>
      </c>
      <c r="C1828" s="7">
        <f t="shared" si="88"/>
        <v>0.75583605794746755</v>
      </c>
      <c r="D1828" s="7">
        <f t="shared" si="89"/>
        <v>0.75586047434167281</v>
      </c>
      <c r="E1828" s="7">
        <f t="shared" si="90"/>
        <v>-0.27989847758459119</v>
      </c>
    </row>
    <row r="1829" spans="1:5" x14ac:dyDescent="0.15">
      <c r="A1829" s="7">
        <v>1822</v>
      </c>
      <c r="B1829" s="7">
        <v>0</v>
      </c>
      <c r="C1829" s="7">
        <f t="shared" si="88"/>
        <v>0.75583605794746755</v>
      </c>
      <c r="D1829" s="7">
        <f t="shared" si="89"/>
        <v>0.75586047434167281</v>
      </c>
      <c r="E1829" s="7">
        <f t="shared" si="90"/>
        <v>-0.27989847758459119</v>
      </c>
    </row>
    <row r="1830" spans="1:5" x14ac:dyDescent="0.15">
      <c r="A1830" s="7">
        <v>1823</v>
      </c>
      <c r="B1830" s="7">
        <v>0</v>
      </c>
      <c r="C1830" s="7">
        <f t="shared" si="88"/>
        <v>0.75583605794746755</v>
      </c>
      <c r="D1830" s="7">
        <f t="shared" si="89"/>
        <v>0.75586047434167281</v>
      </c>
      <c r="E1830" s="7">
        <f t="shared" si="90"/>
        <v>-0.27989847758459119</v>
      </c>
    </row>
    <row r="1831" spans="1:5" x14ac:dyDescent="0.15">
      <c r="A1831" s="7">
        <v>1824</v>
      </c>
      <c r="B1831" s="7">
        <v>0</v>
      </c>
      <c r="C1831" s="7">
        <f t="shared" si="88"/>
        <v>0.75583605794746755</v>
      </c>
      <c r="D1831" s="7">
        <f t="shared" si="89"/>
        <v>0.75586047434167281</v>
      </c>
      <c r="E1831" s="7">
        <f t="shared" si="90"/>
        <v>-0.27989847758459119</v>
      </c>
    </row>
    <row r="1832" spans="1:5" x14ac:dyDescent="0.15">
      <c r="A1832" s="7">
        <v>1825</v>
      </c>
      <c r="B1832" s="7">
        <v>0</v>
      </c>
      <c r="C1832" s="7">
        <f t="shared" si="88"/>
        <v>0.75583605794746755</v>
      </c>
      <c r="D1832" s="7">
        <f t="shared" si="89"/>
        <v>0.75586047434167281</v>
      </c>
      <c r="E1832" s="7">
        <f t="shared" si="90"/>
        <v>-0.27989847758459119</v>
      </c>
    </row>
    <row r="1833" spans="1:5" x14ac:dyDescent="0.15">
      <c r="A1833" s="7">
        <v>1826</v>
      </c>
      <c r="B1833" s="7">
        <v>0</v>
      </c>
      <c r="C1833" s="7">
        <f t="shared" si="88"/>
        <v>0.75583605794746755</v>
      </c>
      <c r="D1833" s="7">
        <f t="shared" si="89"/>
        <v>0.75586047434167281</v>
      </c>
      <c r="E1833" s="7">
        <f t="shared" si="90"/>
        <v>-0.27989847758459119</v>
      </c>
    </row>
    <row r="1834" spans="1:5" x14ac:dyDescent="0.15">
      <c r="A1834" s="7">
        <v>1827</v>
      </c>
      <c r="B1834" s="7">
        <v>0</v>
      </c>
      <c r="C1834" s="7">
        <f t="shared" si="88"/>
        <v>0.75583605794746755</v>
      </c>
      <c r="D1834" s="7">
        <f t="shared" si="89"/>
        <v>0.75586047434167281</v>
      </c>
      <c r="E1834" s="7">
        <f t="shared" si="90"/>
        <v>-0.27989847758459119</v>
      </c>
    </row>
    <row r="1835" spans="1:5" x14ac:dyDescent="0.15">
      <c r="A1835" s="7">
        <v>1828</v>
      </c>
      <c r="B1835" s="7">
        <v>0</v>
      </c>
      <c r="C1835" s="7">
        <f t="shared" si="88"/>
        <v>0.75583605794746755</v>
      </c>
      <c r="D1835" s="7">
        <f t="shared" si="89"/>
        <v>0.75586047434167281</v>
      </c>
      <c r="E1835" s="7">
        <f t="shared" si="90"/>
        <v>-0.27989847758459119</v>
      </c>
    </row>
    <row r="1836" spans="1:5" x14ac:dyDescent="0.15">
      <c r="A1836" s="7">
        <v>1829</v>
      </c>
      <c r="B1836" s="7">
        <v>0</v>
      </c>
      <c r="C1836" s="7">
        <f t="shared" si="88"/>
        <v>0.75583605794746755</v>
      </c>
      <c r="D1836" s="7">
        <f t="shared" si="89"/>
        <v>0.75586047434167281</v>
      </c>
      <c r="E1836" s="7">
        <f t="shared" si="90"/>
        <v>-0.27989847758459119</v>
      </c>
    </row>
    <row r="1837" spans="1:5" x14ac:dyDescent="0.15">
      <c r="A1837" s="7">
        <v>1830</v>
      </c>
      <c r="B1837" s="7">
        <v>0</v>
      </c>
      <c r="C1837" s="7">
        <f t="shared" si="88"/>
        <v>0.75583605794746755</v>
      </c>
      <c r="D1837" s="7">
        <f t="shared" si="89"/>
        <v>0.75586047434167281</v>
      </c>
      <c r="E1837" s="7">
        <f t="shared" si="90"/>
        <v>-0.27989847758459119</v>
      </c>
    </row>
    <row r="1838" spans="1:5" x14ac:dyDescent="0.15">
      <c r="A1838" s="7">
        <v>1831</v>
      </c>
      <c r="B1838" s="7">
        <v>0</v>
      </c>
      <c r="C1838" s="7">
        <f t="shared" si="88"/>
        <v>0.75583605794746755</v>
      </c>
      <c r="D1838" s="7">
        <f t="shared" si="89"/>
        <v>0.75586047434167281</v>
      </c>
      <c r="E1838" s="7">
        <f t="shared" si="90"/>
        <v>-0.27989847758459119</v>
      </c>
    </row>
    <row r="1839" spans="1:5" x14ac:dyDescent="0.15">
      <c r="A1839" s="7">
        <v>1832</v>
      </c>
      <c r="B1839" s="7">
        <v>1</v>
      </c>
      <c r="C1839" s="7">
        <f t="shared" si="88"/>
        <v>8.8686757970141181E-2</v>
      </c>
      <c r="D1839" s="7">
        <f t="shared" si="89"/>
        <v>8.867788929434417E-2</v>
      </c>
      <c r="E1839" s="7">
        <f t="shared" si="90"/>
        <v>-2.4227446958891354</v>
      </c>
    </row>
    <row r="1840" spans="1:5" x14ac:dyDescent="0.15">
      <c r="A1840" s="7">
        <v>1833</v>
      </c>
      <c r="B1840" s="7">
        <v>0</v>
      </c>
      <c r="C1840" s="7">
        <f t="shared" si="88"/>
        <v>0.75583605794746755</v>
      </c>
      <c r="D1840" s="7">
        <f t="shared" si="89"/>
        <v>0.75586047434167281</v>
      </c>
      <c r="E1840" s="7">
        <f t="shared" si="90"/>
        <v>-0.27989847758459119</v>
      </c>
    </row>
    <row r="1841" spans="1:5" x14ac:dyDescent="0.15">
      <c r="A1841" s="7">
        <v>1834</v>
      </c>
      <c r="B1841" s="7">
        <v>0</v>
      </c>
      <c r="C1841" s="7">
        <f t="shared" si="88"/>
        <v>0.75583605794746755</v>
      </c>
      <c r="D1841" s="7">
        <f t="shared" si="89"/>
        <v>0.75586047434167281</v>
      </c>
      <c r="E1841" s="7">
        <f t="shared" si="90"/>
        <v>-0.27989847758459119</v>
      </c>
    </row>
    <row r="1842" spans="1:5" x14ac:dyDescent="0.15">
      <c r="A1842" s="7">
        <v>1835</v>
      </c>
      <c r="B1842" s="7">
        <v>0</v>
      </c>
      <c r="C1842" s="7">
        <f t="shared" si="88"/>
        <v>0.75583605794746755</v>
      </c>
      <c r="D1842" s="7">
        <f t="shared" si="89"/>
        <v>0.75586047434167281</v>
      </c>
      <c r="E1842" s="7">
        <f t="shared" si="90"/>
        <v>-0.27989847758459119</v>
      </c>
    </row>
    <row r="1843" spans="1:5" x14ac:dyDescent="0.15">
      <c r="A1843" s="7">
        <v>1836</v>
      </c>
      <c r="B1843" s="7">
        <v>0</v>
      </c>
      <c r="C1843" s="7">
        <f t="shared" si="88"/>
        <v>0.75583605794746755</v>
      </c>
      <c r="D1843" s="7">
        <f t="shared" si="89"/>
        <v>0.75586047434167281</v>
      </c>
      <c r="E1843" s="7">
        <f t="shared" si="90"/>
        <v>-0.27989847758459119</v>
      </c>
    </row>
    <row r="1844" spans="1:5" x14ac:dyDescent="0.15">
      <c r="A1844" s="7">
        <v>1837</v>
      </c>
      <c r="B1844" s="7">
        <v>0</v>
      </c>
      <c r="C1844" s="7">
        <f t="shared" si="88"/>
        <v>0.75583605794746755</v>
      </c>
      <c r="D1844" s="7">
        <f t="shared" si="89"/>
        <v>0.75586047434167281</v>
      </c>
      <c r="E1844" s="7">
        <f t="shared" si="90"/>
        <v>-0.27989847758459119</v>
      </c>
    </row>
    <row r="1845" spans="1:5" x14ac:dyDescent="0.15">
      <c r="A1845" s="7">
        <v>1838</v>
      </c>
      <c r="B1845" s="7">
        <v>0</v>
      </c>
      <c r="C1845" s="7">
        <f t="shared" si="88"/>
        <v>0.75583605794746755</v>
      </c>
      <c r="D1845" s="7">
        <f t="shared" si="89"/>
        <v>0.75586047434167281</v>
      </c>
      <c r="E1845" s="7">
        <f t="shared" si="90"/>
        <v>-0.27989847758459119</v>
      </c>
    </row>
    <row r="1846" spans="1:5" x14ac:dyDescent="0.15">
      <c r="A1846" s="7">
        <v>1839</v>
      </c>
      <c r="B1846" s="7">
        <v>2</v>
      </c>
      <c r="C1846" s="7">
        <f t="shared" si="88"/>
        <v>4.4066701399555049E-2</v>
      </c>
      <c r="D1846" s="7">
        <f t="shared" si="89"/>
        <v>4.4062294729415093E-2</v>
      </c>
      <c r="E1846" s="7">
        <f t="shared" si="90"/>
        <v>-3.1221508570437044</v>
      </c>
    </row>
    <row r="1847" spans="1:5" x14ac:dyDescent="0.15">
      <c r="A1847" s="7">
        <v>1840</v>
      </c>
      <c r="B1847" s="7">
        <v>0</v>
      </c>
      <c r="C1847" s="7">
        <f t="shared" si="88"/>
        <v>0.75583605794746755</v>
      </c>
      <c r="D1847" s="7">
        <f t="shared" si="89"/>
        <v>0.75586047434167281</v>
      </c>
      <c r="E1847" s="7">
        <f t="shared" si="90"/>
        <v>-0.27989847758459119</v>
      </c>
    </row>
    <row r="1848" spans="1:5" x14ac:dyDescent="0.15">
      <c r="A1848" s="7">
        <v>1841</v>
      </c>
      <c r="B1848" s="7">
        <v>1</v>
      </c>
      <c r="C1848" s="7">
        <f t="shared" si="88"/>
        <v>8.8686757970141181E-2</v>
      </c>
      <c r="D1848" s="7">
        <f t="shared" si="89"/>
        <v>8.867788929434417E-2</v>
      </c>
      <c r="E1848" s="7">
        <f t="shared" si="90"/>
        <v>-2.4227446958891354</v>
      </c>
    </row>
    <row r="1849" spans="1:5" x14ac:dyDescent="0.15">
      <c r="A1849" s="7">
        <v>1842</v>
      </c>
      <c r="B1849" s="7">
        <v>6</v>
      </c>
      <c r="C1849" s="7">
        <f t="shared" si="88"/>
        <v>1.0249964283711298E-2</v>
      </c>
      <c r="D1849" s="7">
        <f t="shared" si="89"/>
        <v>1.0248939287282927E-2</v>
      </c>
      <c r="E1849" s="7">
        <f t="shared" si="90"/>
        <v>-4.5805810629200954</v>
      </c>
    </row>
    <row r="1850" spans="1:5" x14ac:dyDescent="0.15">
      <c r="A1850" s="7">
        <v>1843</v>
      </c>
      <c r="B1850" s="7">
        <v>0</v>
      </c>
      <c r="C1850" s="7">
        <f t="shared" si="88"/>
        <v>0.75583605794746755</v>
      </c>
      <c r="D1850" s="7">
        <f t="shared" si="89"/>
        <v>0.75586047434167281</v>
      </c>
      <c r="E1850" s="7">
        <f t="shared" si="90"/>
        <v>-0.27989847758459119</v>
      </c>
    </row>
    <row r="1851" spans="1:5" x14ac:dyDescent="0.15">
      <c r="A1851" s="7">
        <v>1844</v>
      </c>
      <c r="B1851" s="7">
        <v>2</v>
      </c>
      <c r="C1851" s="7">
        <f t="shared" si="88"/>
        <v>4.4066701399555049E-2</v>
      </c>
      <c r="D1851" s="7">
        <f t="shared" si="89"/>
        <v>4.4062294729415093E-2</v>
      </c>
      <c r="E1851" s="7">
        <f t="shared" si="90"/>
        <v>-3.1221508570437044</v>
      </c>
    </row>
    <row r="1852" spans="1:5" x14ac:dyDescent="0.15">
      <c r="A1852" s="7">
        <v>1845</v>
      </c>
      <c r="B1852" s="7">
        <v>2</v>
      </c>
      <c r="C1852" s="7">
        <f t="shared" si="88"/>
        <v>4.4066701399555049E-2</v>
      </c>
      <c r="D1852" s="7">
        <f t="shared" si="89"/>
        <v>4.4062294729415093E-2</v>
      </c>
      <c r="E1852" s="7">
        <f t="shared" si="90"/>
        <v>-3.1221508570437044</v>
      </c>
    </row>
    <row r="1853" spans="1:5" x14ac:dyDescent="0.15">
      <c r="A1853" s="7">
        <v>1846</v>
      </c>
      <c r="B1853" s="7">
        <v>0</v>
      </c>
      <c r="C1853" s="7">
        <f t="shared" si="88"/>
        <v>0.75583605794746755</v>
      </c>
      <c r="D1853" s="7">
        <f t="shared" si="89"/>
        <v>0.75586047434167281</v>
      </c>
      <c r="E1853" s="7">
        <f t="shared" si="90"/>
        <v>-0.27989847758459119</v>
      </c>
    </row>
    <row r="1854" spans="1:5" x14ac:dyDescent="0.15">
      <c r="A1854" s="7">
        <v>1847</v>
      </c>
      <c r="B1854" s="7">
        <v>0</v>
      </c>
      <c r="C1854" s="7">
        <f t="shared" si="88"/>
        <v>0.75583605794746755</v>
      </c>
      <c r="D1854" s="7">
        <f t="shared" si="89"/>
        <v>0.75586047434167281</v>
      </c>
      <c r="E1854" s="7">
        <f t="shared" si="90"/>
        <v>-0.27989847758459119</v>
      </c>
    </row>
    <row r="1855" spans="1:5" x14ac:dyDescent="0.15">
      <c r="A1855" s="7">
        <v>1848</v>
      </c>
      <c r="B1855" s="7">
        <v>0</v>
      </c>
      <c r="C1855" s="7">
        <f t="shared" si="88"/>
        <v>0.75583605794746755</v>
      </c>
      <c r="D1855" s="7">
        <f t="shared" si="89"/>
        <v>0.75586047434167281</v>
      </c>
      <c r="E1855" s="7">
        <f t="shared" si="90"/>
        <v>-0.27989847758459119</v>
      </c>
    </row>
    <row r="1856" spans="1:5" x14ac:dyDescent="0.15">
      <c r="A1856" s="7">
        <v>1849</v>
      </c>
      <c r="B1856" s="7">
        <v>1</v>
      </c>
      <c r="C1856" s="7">
        <f t="shared" si="88"/>
        <v>8.8686757970141181E-2</v>
      </c>
      <c r="D1856" s="7">
        <f t="shared" si="89"/>
        <v>8.867788929434417E-2</v>
      </c>
      <c r="E1856" s="7">
        <f t="shared" si="90"/>
        <v>-2.4227446958891354</v>
      </c>
    </row>
    <row r="1857" spans="1:5" x14ac:dyDescent="0.15">
      <c r="A1857" s="7">
        <v>1850</v>
      </c>
      <c r="B1857" s="7">
        <v>0</v>
      </c>
      <c r="C1857" s="7">
        <f t="shared" si="88"/>
        <v>0.75583605794746755</v>
      </c>
      <c r="D1857" s="7">
        <f t="shared" si="89"/>
        <v>0.75586047434167281</v>
      </c>
      <c r="E1857" s="7">
        <f t="shared" si="90"/>
        <v>-0.27989847758459119</v>
      </c>
    </row>
    <row r="1858" spans="1:5" x14ac:dyDescent="0.15">
      <c r="A1858" s="7">
        <v>1851</v>
      </c>
      <c r="B1858" s="7">
        <v>0</v>
      </c>
      <c r="C1858" s="7">
        <f t="shared" si="88"/>
        <v>0.75583605794746755</v>
      </c>
      <c r="D1858" s="7">
        <f t="shared" si="89"/>
        <v>0.75586047434167281</v>
      </c>
      <c r="E1858" s="7">
        <f t="shared" si="90"/>
        <v>-0.27989847758459119</v>
      </c>
    </row>
    <row r="1859" spans="1:5" x14ac:dyDescent="0.15">
      <c r="A1859" s="7">
        <v>1852</v>
      </c>
      <c r="B1859" s="7">
        <v>0</v>
      </c>
      <c r="C1859" s="7">
        <f t="shared" si="88"/>
        <v>0.75583605794746755</v>
      </c>
      <c r="D1859" s="7">
        <f t="shared" si="89"/>
        <v>0.75586047434167281</v>
      </c>
      <c r="E1859" s="7">
        <f t="shared" si="90"/>
        <v>-0.27989847758459119</v>
      </c>
    </row>
    <row r="1860" spans="1:5" x14ac:dyDescent="0.15">
      <c r="A1860" s="7">
        <v>1853</v>
      </c>
      <c r="B1860" s="7">
        <v>0</v>
      </c>
      <c r="C1860" s="7">
        <f t="shared" si="88"/>
        <v>0.75583605794746755</v>
      </c>
      <c r="D1860" s="7">
        <f t="shared" si="89"/>
        <v>0.75586047434167281</v>
      </c>
      <c r="E1860" s="7">
        <f t="shared" si="90"/>
        <v>-0.27989847758459119</v>
      </c>
    </row>
    <row r="1861" spans="1:5" x14ac:dyDescent="0.15">
      <c r="A1861" s="7">
        <v>1854</v>
      </c>
      <c r="B1861" s="7">
        <v>0</v>
      </c>
      <c r="C1861" s="7">
        <f t="shared" si="88"/>
        <v>0.75583605794746755</v>
      </c>
      <c r="D1861" s="7">
        <f t="shared" si="89"/>
        <v>0.75586047434167281</v>
      </c>
      <c r="E1861" s="7">
        <f t="shared" si="90"/>
        <v>-0.27989847758459119</v>
      </c>
    </row>
    <row r="1862" spans="1:5" x14ac:dyDescent="0.15">
      <c r="A1862" s="7">
        <v>1855</v>
      </c>
      <c r="B1862" s="7">
        <v>0</v>
      </c>
      <c r="C1862" s="7">
        <f t="shared" si="88"/>
        <v>0.75583605794746755</v>
      </c>
      <c r="D1862" s="7">
        <f t="shared" si="89"/>
        <v>0.75586047434167281</v>
      </c>
      <c r="E1862" s="7">
        <f t="shared" si="90"/>
        <v>-0.27989847758459119</v>
      </c>
    </row>
    <row r="1863" spans="1:5" x14ac:dyDescent="0.15">
      <c r="A1863" s="7">
        <v>1856</v>
      </c>
      <c r="B1863" s="7">
        <v>0</v>
      </c>
      <c r="C1863" s="7">
        <f t="shared" si="88"/>
        <v>0.75583605794746755</v>
      </c>
      <c r="D1863" s="7">
        <f t="shared" si="89"/>
        <v>0.75586047434167281</v>
      </c>
      <c r="E1863" s="7">
        <f t="shared" si="90"/>
        <v>-0.27989847758459119</v>
      </c>
    </row>
    <row r="1864" spans="1:5" x14ac:dyDescent="0.15">
      <c r="A1864" s="7">
        <v>1857</v>
      </c>
      <c r="B1864" s="7">
        <v>0</v>
      </c>
      <c r="C1864" s="7">
        <f t="shared" si="88"/>
        <v>0.75583605794746755</v>
      </c>
      <c r="D1864" s="7">
        <f t="shared" si="89"/>
        <v>0.75586047434167281</v>
      </c>
      <c r="E1864" s="7">
        <f t="shared" si="90"/>
        <v>-0.27989847758459119</v>
      </c>
    </row>
    <row r="1865" spans="1:5" x14ac:dyDescent="0.15">
      <c r="A1865" s="7">
        <v>1858</v>
      </c>
      <c r="B1865" s="7">
        <v>0</v>
      </c>
      <c r="C1865" s="7">
        <f t="shared" ref="C1865:C1928" si="91">(_xlfn.GAMMA($B$1+B1865)/(_xlfn.GAMMA($B$1)*FACT(B1865))) * ($B$2/($B$2+$B$5))^$B$1 * (1/($B$2 +$B$5))^B1865</f>
        <v>0.75583605794746755</v>
      </c>
      <c r="D1865" s="7">
        <f t="shared" ref="D1865:D1928" si="92" xml:space="preserve"> IF(B1865 = 0, $B$3 + (1-$B$3) * C1865, (1-$B$3) *C1865)</f>
        <v>0.75586047434167281</v>
      </c>
      <c r="E1865" s="7">
        <f t="shared" ref="E1865:E1928" si="93">LN(D1865)</f>
        <v>-0.27989847758459119</v>
      </c>
    </row>
    <row r="1866" spans="1:5" x14ac:dyDescent="0.15">
      <c r="A1866" s="7">
        <v>1859</v>
      </c>
      <c r="B1866" s="7">
        <v>0</v>
      </c>
      <c r="C1866" s="7">
        <f t="shared" si="91"/>
        <v>0.75583605794746755</v>
      </c>
      <c r="D1866" s="7">
        <f t="shared" si="92"/>
        <v>0.75586047434167281</v>
      </c>
      <c r="E1866" s="7">
        <f t="shared" si="93"/>
        <v>-0.27989847758459119</v>
      </c>
    </row>
    <row r="1867" spans="1:5" x14ac:dyDescent="0.15">
      <c r="A1867" s="7">
        <v>1860</v>
      </c>
      <c r="B1867" s="7">
        <v>0</v>
      </c>
      <c r="C1867" s="7">
        <f t="shared" si="91"/>
        <v>0.75583605794746755</v>
      </c>
      <c r="D1867" s="7">
        <f t="shared" si="92"/>
        <v>0.75586047434167281</v>
      </c>
      <c r="E1867" s="7">
        <f t="shared" si="93"/>
        <v>-0.27989847758459119</v>
      </c>
    </row>
    <row r="1868" spans="1:5" x14ac:dyDescent="0.15">
      <c r="A1868" s="7">
        <v>1861</v>
      </c>
      <c r="B1868" s="7">
        <v>0</v>
      </c>
      <c r="C1868" s="7">
        <f t="shared" si="91"/>
        <v>0.75583605794746755</v>
      </c>
      <c r="D1868" s="7">
        <f t="shared" si="92"/>
        <v>0.75586047434167281</v>
      </c>
      <c r="E1868" s="7">
        <f t="shared" si="93"/>
        <v>-0.27989847758459119</v>
      </c>
    </row>
    <row r="1869" spans="1:5" x14ac:dyDescent="0.15">
      <c r="A1869" s="7">
        <v>1862</v>
      </c>
      <c r="B1869" s="7">
        <v>1</v>
      </c>
      <c r="C1869" s="7">
        <f t="shared" si="91"/>
        <v>8.8686757970141181E-2</v>
      </c>
      <c r="D1869" s="7">
        <f t="shared" si="92"/>
        <v>8.867788929434417E-2</v>
      </c>
      <c r="E1869" s="7">
        <f t="shared" si="93"/>
        <v>-2.4227446958891354</v>
      </c>
    </row>
    <row r="1870" spans="1:5" x14ac:dyDescent="0.15">
      <c r="A1870" s="7">
        <v>1863</v>
      </c>
      <c r="B1870" s="7">
        <v>1</v>
      </c>
      <c r="C1870" s="7">
        <f t="shared" si="91"/>
        <v>8.8686757970141181E-2</v>
      </c>
      <c r="D1870" s="7">
        <f t="shared" si="92"/>
        <v>8.867788929434417E-2</v>
      </c>
      <c r="E1870" s="7">
        <f t="shared" si="93"/>
        <v>-2.4227446958891354</v>
      </c>
    </row>
    <row r="1871" spans="1:5" x14ac:dyDescent="0.15">
      <c r="A1871" s="7">
        <v>1864</v>
      </c>
      <c r="B1871" s="7">
        <v>0</v>
      </c>
      <c r="C1871" s="7">
        <f t="shared" si="91"/>
        <v>0.75583605794746755</v>
      </c>
      <c r="D1871" s="7">
        <f t="shared" si="92"/>
        <v>0.75586047434167281</v>
      </c>
      <c r="E1871" s="7">
        <f t="shared" si="93"/>
        <v>-0.27989847758459119</v>
      </c>
    </row>
    <row r="1872" spans="1:5" x14ac:dyDescent="0.15">
      <c r="A1872" s="7">
        <v>1865</v>
      </c>
      <c r="B1872" s="7">
        <v>0</v>
      </c>
      <c r="C1872" s="7">
        <f t="shared" si="91"/>
        <v>0.75583605794746755</v>
      </c>
      <c r="D1872" s="7">
        <f t="shared" si="92"/>
        <v>0.75586047434167281</v>
      </c>
      <c r="E1872" s="7">
        <f t="shared" si="93"/>
        <v>-0.27989847758459119</v>
      </c>
    </row>
    <row r="1873" spans="1:5" x14ac:dyDescent="0.15">
      <c r="A1873" s="7">
        <v>1866</v>
      </c>
      <c r="B1873" s="7">
        <v>0</v>
      </c>
      <c r="C1873" s="7">
        <f t="shared" si="91"/>
        <v>0.75583605794746755</v>
      </c>
      <c r="D1873" s="7">
        <f t="shared" si="92"/>
        <v>0.75586047434167281</v>
      </c>
      <c r="E1873" s="7">
        <f t="shared" si="93"/>
        <v>-0.27989847758459119</v>
      </c>
    </row>
    <row r="1874" spans="1:5" x14ac:dyDescent="0.15">
      <c r="A1874" s="7">
        <v>1867</v>
      </c>
      <c r="B1874" s="7">
        <v>0</v>
      </c>
      <c r="C1874" s="7">
        <f t="shared" si="91"/>
        <v>0.75583605794746755</v>
      </c>
      <c r="D1874" s="7">
        <f t="shared" si="92"/>
        <v>0.75586047434167281</v>
      </c>
      <c r="E1874" s="7">
        <f t="shared" si="93"/>
        <v>-0.27989847758459119</v>
      </c>
    </row>
    <row r="1875" spans="1:5" x14ac:dyDescent="0.15">
      <c r="A1875" s="7">
        <v>1868</v>
      </c>
      <c r="B1875" s="7">
        <v>0</v>
      </c>
      <c r="C1875" s="7">
        <f t="shared" si="91"/>
        <v>0.75583605794746755</v>
      </c>
      <c r="D1875" s="7">
        <f t="shared" si="92"/>
        <v>0.75586047434167281</v>
      </c>
      <c r="E1875" s="7">
        <f t="shared" si="93"/>
        <v>-0.27989847758459119</v>
      </c>
    </row>
    <row r="1876" spans="1:5" x14ac:dyDescent="0.15">
      <c r="A1876" s="7">
        <v>1869</v>
      </c>
      <c r="B1876" s="7">
        <v>0</v>
      </c>
      <c r="C1876" s="7">
        <f t="shared" si="91"/>
        <v>0.75583605794746755</v>
      </c>
      <c r="D1876" s="7">
        <f t="shared" si="92"/>
        <v>0.75586047434167281</v>
      </c>
      <c r="E1876" s="7">
        <f t="shared" si="93"/>
        <v>-0.27989847758459119</v>
      </c>
    </row>
    <row r="1877" spans="1:5" x14ac:dyDescent="0.15">
      <c r="A1877" s="7">
        <v>1870</v>
      </c>
      <c r="B1877" s="7">
        <v>0</v>
      </c>
      <c r="C1877" s="7">
        <f t="shared" si="91"/>
        <v>0.75583605794746755</v>
      </c>
      <c r="D1877" s="7">
        <f t="shared" si="92"/>
        <v>0.75586047434167281</v>
      </c>
      <c r="E1877" s="7">
        <f t="shared" si="93"/>
        <v>-0.27989847758459119</v>
      </c>
    </row>
    <row r="1878" spans="1:5" x14ac:dyDescent="0.15">
      <c r="A1878" s="7">
        <v>1871</v>
      </c>
      <c r="B1878" s="7">
        <v>0</v>
      </c>
      <c r="C1878" s="7">
        <f t="shared" si="91"/>
        <v>0.75583605794746755</v>
      </c>
      <c r="D1878" s="7">
        <f t="shared" si="92"/>
        <v>0.75586047434167281</v>
      </c>
      <c r="E1878" s="7">
        <f t="shared" si="93"/>
        <v>-0.27989847758459119</v>
      </c>
    </row>
    <row r="1879" spans="1:5" x14ac:dyDescent="0.15">
      <c r="A1879" s="7">
        <v>1872</v>
      </c>
      <c r="B1879" s="7">
        <v>0</v>
      </c>
      <c r="C1879" s="7">
        <f t="shared" si="91"/>
        <v>0.75583605794746755</v>
      </c>
      <c r="D1879" s="7">
        <f t="shared" si="92"/>
        <v>0.75586047434167281</v>
      </c>
      <c r="E1879" s="7">
        <f t="shared" si="93"/>
        <v>-0.27989847758459119</v>
      </c>
    </row>
    <row r="1880" spans="1:5" x14ac:dyDescent="0.15">
      <c r="A1880" s="7">
        <v>1873</v>
      </c>
      <c r="B1880" s="7">
        <v>2</v>
      </c>
      <c r="C1880" s="7">
        <f t="shared" si="91"/>
        <v>4.4066701399555049E-2</v>
      </c>
      <c r="D1880" s="7">
        <f t="shared" si="92"/>
        <v>4.4062294729415093E-2</v>
      </c>
      <c r="E1880" s="7">
        <f t="shared" si="93"/>
        <v>-3.1221508570437044</v>
      </c>
    </row>
    <row r="1881" spans="1:5" x14ac:dyDescent="0.15">
      <c r="A1881" s="7">
        <v>1874</v>
      </c>
      <c r="B1881" s="7">
        <v>0</v>
      </c>
      <c r="C1881" s="7">
        <f t="shared" si="91"/>
        <v>0.75583605794746755</v>
      </c>
      <c r="D1881" s="7">
        <f t="shared" si="92"/>
        <v>0.75586047434167281</v>
      </c>
      <c r="E1881" s="7">
        <f t="shared" si="93"/>
        <v>-0.27989847758459119</v>
      </c>
    </row>
    <row r="1882" spans="1:5" x14ac:dyDescent="0.15">
      <c r="A1882" s="7">
        <v>1875</v>
      </c>
      <c r="B1882" s="7">
        <v>1</v>
      </c>
      <c r="C1882" s="7">
        <f t="shared" si="91"/>
        <v>8.8686757970141181E-2</v>
      </c>
      <c r="D1882" s="7">
        <f t="shared" si="92"/>
        <v>8.867788929434417E-2</v>
      </c>
      <c r="E1882" s="7">
        <f t="shared" si="93"/>
        <v>-2.4227446958891354</v>
      </c>
    </row>
    <row r="1883" spans="1:5" x14ac:dyDescent="0.15">
      <c r="A1883" s="7">
        <v>1876</v>
      </c>
      <c r="B1883" s="7">
        <v>0</v>
      </c>
      <c r="C1883" s="7">
        <f t="shared" si="91"/>
        <v>0.75583605794746755</v>
      </c>
      <c r="D1883" s="7">
        <f t="shared" si="92"/>
        <v>0.75586047434167281</v>
      </c>
      <c r="E1883" s="7">
        <f t="shared" si="93"/>
        <v>-0.27989847758459119</v>
      </c>
    </row>
    <row r="1884" spans="1:5" x14ac:dyDescent="0.15">
      <c r="A1884" s="7">
        <v>1877</v>
      </c>
      <c r="B1884" s="7">
        <v>11</v>
      </c>
      <c r="C1884" s="7">
        <f t="shared" si="91"/>
        <v>3.1496470211733337E-3</v>
      </c>
      <c r="D1884" s="7">
        <f t="shared" si="92"/>
        <v>3.1493320564712165E-3</v>
      </c>
      <c r="E1884" s="7">
        <f t="shared" si="93"/>
        <v>-5.7605648941941281</v>
      </c>
    </row>
    <row r="1885" spans="1:5" x14ac:dyDescent="0.15">
      <c r="A1885" s="7">
        <v>1878</v>
      </c>
      <c r="B1885" s="7">
        <v>3</v>
      </c>
      <c r="C1885" s="7">
        <f t="shared" si="91"/>
        <v>2.7470963680778882E-2</v>
      </c>
      <c r="D1885" s="7">
        <f t="shared" si="92"/>
        <v>2.7468216584410805E-2</v>
      </c>
      <c r="E1885" s="7">
        <f t="shared" si="93"/>
        <v>-3.5947257032827968</v>
      </c>
    </row>
    <row r="1886" spans="1:5" x14ac:dyDescent="0.15">
      <c r="A1886" s="7">
        <v>1879</v>
      </c>
      <c r="B1886" s="7">
        <v>0</v>
      </c>
      <c r="C1886" s="7">
        <f t="shared" si="91"/>
        <v>0.75583605794746755</v>
      </c>
      <c r="D1886" s="7">
        <f t="shared" si="92"/>
        <v>0.75586047434167281</v>
      </c>
      <c r="E1886" s="7">
        <f t="shared" si="93"/>
        <v>-0.27989847758459119</v>
      </c>
    </row>
    <row r="1887" spans="1:5" x14ac:dyDescent="0.15">
      <c r="A1887" s="7">
        <v>1880</v>
      </c>
      <c r="B1887" s="7">
        <v>0</v>
      </c>
      <c r="C1887" s="7">
        <f t="shared" si="91"/>
        <v>0.75583605794746755</v>
      </c>
      <c r="D1887" s="7">
        <f t="shared" si="92"/>
        <v>0.75586047434167281</v>
      </c>
      <c r="E1887" s="7">
        <f t="shared" si="93"/>
        <v>-0.27989847758459119</v>
      </c>
    </row>
    <row r="1888" spans="1:5" x14ac:dyDescent="0.15">
      <c r="A1888" s="7">
        <v>1881</v>
      </c>
      <c r="B1888" s="7">
        <v>1</v>
      </c>
      <c r="C1888" s="7">
        <f t="shared" si="91"/>
        <v>8.8686757970141181E-2</v>
      </c>
      <c r="D1888" s="7">
        <f t="shared" si="92"/>
        <v>8.867788929434417E-2</v>
      </c>
      <c r="E1888" s="7">
        <f t="shared" si="93"/>
        <v>-2.4227446958891354</v>
      </c>
    </row>
    <row r="1889" spans="1:5" x14ac:dyDescent="0.15">
      <c r="A1889" s="7">
        <v>1882</v>
      </c>
      <c r="B1889" s="7">
        <v>0</v>
      </c>
      <c r="C1889" s="7">
        <f t="shared" si="91"/>
        <v>0.75583605794746755</v>
      </c>
      <c r="D1889" s="7">
        <f t="shared" si="92"/>
        <v>0.75586047434167281</v>
      </c>
      <c r="E1889" s="7">
        <f t="shared" si="93"/>
        <v>-0.27989847758459119</v>
      </c>
    </row>
    <row r="1890" spans="1:5" x14ac:dyDescent="0.15">
      <c r="A1890" s="7">
        <v>1883</v>
      </c>
      <c r="B1890" s="7">
        <v>0</v>
      </c>
      <c r="C1890" s="7">
        <f t="shared" si="91"/>
        <v>0.75583605794746755</v>
      </c>
      <c r="D1890" s="7">
        <f t="shared" si="92"/>
        <v>0.75586047434167281</v>
      </c>
      <c r="E1890" s="7">
        <f t="shared" si="93"/>
        <v>-0.27989847758459119</v>
      </c>
    </row>
    <row r="1891" spans="1:5" x14ac:dyDescent="0.15">
      <c r="A1891" s="7">
        <v>1884</v>
      </c>
      <c r="B1891" s="7">
        <v>0</v>
      </c>
      <c r="C1891" s="7">
        <f t="shared" si="91"/>
        <v>0.75583605794746755</v>
      </c>
      <c r="D1891" s="7">
        <f t="shared" si="92"/>
        <v>0.75586047434167281</v>
      </c>
      <c r="E1891" s="7">
        <f t="shared" si="93"/>
        <v>-0.27989847758459119</v>
      </c>
    </row>
    <row r="1892" spans="1:5" x14ac:dyDescent="0.15">
      <c r="A1892" s="7">
        <v>1885</v>
      </c>
      <c r="B1892" s="7">
        <v>0</v>
      </c>
      <c r="C1892" s="7">
        <f t="shared" si="91"/>
        <v>0.75583605794746755</v>
      </c>
      <c r="D1892" s="7">
        <f t="shared" si="92"/>
        <v>0.75586047434167281</v>
      </c>
      <c r="E1892" s="7">
        <f t="shared" si="93"/>
        <v>-0.27989847758459119</v>
      </c>
    </row>
    <row r="1893" spans="1:5" x14ac:dyDescent="0.15">
      <c r="A1893" s="7">
        <v>1886</v>
      </c>
      <c r="B1893" s="7">
        <v>0</v>
      </c>
      <c r="C1893" s="7">
        <f t="shared" si="91"/>
        <v>0.75583605794746755</v>
      </c>
      <c r="D1893" s="7">
        <f t="shared" si="92"/>
        <v>0.75586047434167281</v>
      </c>
      <c r="E1893" s="7">
        <f t="shared" si="93"/>
        <v>-0.27989847758459119</v>
      </c>
    </row>
    <row r="1894" spans="1:5" x14ac:dyDescent="0.15">
      <c r="A1894" s="7">
        <v>1887</v>
      </c>
      <c r="B1894" s="7">
        <v>0</v>
      </c>
      <c r="C1894" s="7">
        <f t="shared" si="91"/>
        <v>0.75583605794746755</v>
      </c>
      <c r="D1894" s="7">
        <f t="shared" si="92"/>
        <v>0.75586047434167281</v>
      </c>
      <c r="E1894" s="7">
        <f t="shared" si="93"/>
        <v>-0.27989847758459119</v>
      </c>
    </row>
    <row r="1895" spans="1:5" x14ac:dyDescent="0.15">
      <c r="A1895" s="7">
        <v>1888</v>
      </c>
      <c r="B1895" s="7">
        <v>0</v>
      </c>
      <c r="C1895" s="7">
        <f t="shared" si="91"/>
        <v>0.75583605794746755</v>
      </c>
      <c r="D1895" s="7">
        <f t="shared" si="92"/>
        <v>0.75586047434167281</v>
      </c>
      <c r="E1895" s="7">
        <f t="shared" si="93"/>
        <v>-0.27989847758459119</v>
      </c>
    </row>
    <row r="1896" spans="1:5" x14ac:dyDescent="0.15">
      <c r="A1896" s="7">
        <v>1889</v>
      </c>
      <c r="B1896" s="7">
        <v>0</v>
      </c>
      <c r="C1896" s="7">
        <f t="shared" si="91"/>
        <v>0.75583605794746755</v>
      </c>
      <c r="D1896" s="7">
        <f t="shared" si="92"/>
        <v>0.75586047434167281</v>
      </c>
      <c r="E1896" s="7">
        <f t="shared" si="93"/>
        <v>-0.27989847758459119</v>
      </c>
    </row>
    <row r="1897" spans="1:5" x14ac:dyDescent="0.15">
      <c r="A1897" s="7">
        <v>1890</v>
      </c>
      <c r="B1897" s="7">
        <v>0</v>
      </c>
      <c r="C1897" s="7">
        <f t="shared" si="91"/>
        <v>0.75583605794746755</v>
      </c>
      <c r="D1897" s="7">
        <f t="shared" si="92"/>
        <v>0.75586047434167281</v>
      </c>
      <c r="E1897" s="7">
        <f t="shared" si="93"/>
        <v>-0.27989847758459119</v>
      </c>
    </row>
    <row r="1898" spans="1:5" x14ac:dyDescent="0.15">
      <c r="A1898" s="7">
        <v>1891</v>
      </c>
      <c r="B1898" s="7">
        <v>2</v>
      </c>
      <c r="C1898" s="7">
        <f t="shared" si="91"/>
        <v>4.4066701399555049E-2</v>
      </c>
      <c r="D1898" s="7">
        <f t="shared" si="92"/>
        <v>4.4062294729415093E-2</v>
      </c>
      <c r="E1898" s="7">
        <f t="shared" si="93"/>
        <v>-3.1221508570437044</v>
      </c>
    </row>
    <row r="1899" spans="1:5" x14ac:dyDescent="0.15">
      <c r="A1899" s="7">
        <v>1892</v>
      </c>
      <c r="B1899" s="7">
        <v>0</v>
      </c>
      <c r="C1899" s="7">
        <f t="shared" si="91"/>
        <v>0.75583605794746755</v>
      </c>
      <c r="D1899" s="7">
        <f t="shared" si="92"/>
        <v>0.75586047434167281</v>
      </c>
      <c r="E1899" s="7">
        <f t="shared" si="93"/>
        <v>-0.27989847758459119</v>
      </c>
    </row>
    <row r="1900" spans="1:5" x14ac:dyDescent="0.15">
      <c r="A1900" s="7">
        <v>1893</v>
      </c>
      <c r="B1900" s="7">
        <v>0</v>
      </c>
      <c r="C1900" s="7">
        <f t="shared" si="91"/>
        <v>0.75583605794746755</v>
      </c>
      <c r="D1900" s="7">
        <f t="shared" si="92"/>
        <v>0.75586047434167281</v>
      </c>
      <c r="E1900" s="7">
        <f t="shared" si="93"/>
        <v>-0.27989847758459119</v>
      </c>
    </row>
    <row r="1901" spans="1:5" x14ac:dyDescent="0.15">
      <c r="A1901" s="7">
        <v>1894</v>
      </c>
      <c r="B1901" s="7">
        <v>0</v>
      </c>
      <c r="C1901" s="7">
        <f t="shared" si="91"/>
        <v>0.75583605794746755</v>
      </c>
      <c r="D1901" s="7">
        <f t="shared" si="92"/>
        <v>0.75586047434167281</v>
      </c>
      <c r="E1901" s="7">
        <f t="shared" si="93"/>
        <v>-0.27989847758459119</v>
      </c>
    </row>
    <row r="1902" spans="1:5" x14ac:dyDescent="0.15">
      <c r="A1902" s="7">
        <v>1895</v>
      </c>
      <c r="B1902" s="7">
        <v>2</v>
      </c>
      <c r="C1902" s="7">
        <f t="shared" si="91"/>
        <v>4.4066701399555049E-2</v>
      </c>
      <c r="D1902" s="7">
        <f t="shared" si="92"/>
        <v>4.4062294729415093E-2</v>
      </c>
      <c r="E1902" s="7">
        <f t="shared" si="93"/>
        <v>-3.1221508570437044</v>
      </c>
    </row>
    <row r="1903" spans="1:5" x14ac:dyDescent="0.15">
      <c r="A1903" s="7">
        <v>1896</v>
      </c>
      <c r="B1903" s="7">
        <v>1</v>
      </c>
      <c r="C1903" s="7">
        <f t="shared" si="91"/>
        <v>8.8686757970141181E-2</v>
      </c>
      <c r="D1903" s="7">
        <f t="shared" si="92"/>
        <v>8.867788929434417E-2</v>
      </c>
      <c r="E1903" s="7">
        <f t="shared" si="93"/>
        <v>-2.4227446958891354</v>
      </c>
    </row>
    <row r="1904" spans="1:5" x14ac:dyDescent="0.15">
      <c r="A1904" s="7">
        <v>1897</v>
      </c>
      <c r="B1904" s="7">
        <v>1</v>
      </c>
      <c r="C1904" s="7">
        <f t="shared" si="91"/>
        <v>8.8686757970141181E-2</v>
      </c>
      <c r="D1904" s="7">
        <f t="shared" si="92"/>
        <v>8.867788929434417E-2</v>
      </c>
      <c r="E1904" s="7">
        <f t="shared" si="93"/>
        <v>-2.4227446958891354</v>
      </c>
    </row>
    <row r="1905" spans="1:5" x14ac:dyDescent="0.15">
      <c r="A1905" s="7">
        <v>1898</v>
      </c>
      <c r="B1905" s="7">
        <v>6</v>
      </c>
      <c r="C1905" s="7">
        <f t="shared" si="91"/>
        <v>1.0249964283711298E-2</v>
      </c>
      <c r="D1905" s="7">
        <f t="shared" si="92"/>
        <v>1.0248939287282927E-2</v>
      </c>
      <c r="E1905" s="7">
        <f t="shared" si="93"/>
        <v>-4.5805810629200954</v>
      </c>
    </row>
    <row r="1906" spans="1:5" x14ac:dyDescent="0.15">
      <c r="A1906" s="7">
        <v>1899</v>
      </c>
      <c r="B1906" s="7">
        <v>0</v>
      </c>
      <c r="C1906" s="7">
        <f t="shared" si="91"/>
        <v>0.75583605794746755</v>
      </c>
      <c r="D1906" s="7">
        <f t="shared" si="92"/>
        <v>0.75586047434167281</v>
      </c>
      <c r="E1906" s="7">
        <f t="shared" si="93"/>
        <v>-0.27989847758459119</v>
      </c>
    </row>
    <row r="1907" spans="1:5" x14ac:dyDescent="0.15">
      <c r="A1907" s="7">
        <v>1900</v>
      </c>
      <c r="B1907" s="7">
        <v>1</v>
      </c>
      <c r="C1907" s="7">
        <f t="shared" si="91"/>
        <v>8.8686757970141181E-2</v>
      </c>
      <c r="D1907" s="7">
        <f t="shared" si="92"/>
        <v>8.867788929434417E-2</v>
      </c>
      <c r="E1907" s="7">
        <f t="shared" si="93"/>
        <v>-2.4227446958891354</v>
      </c>
    </row>
    <row r="1908" spans="1:5" x14ac:dyDescent="0.15">
      <c r="A1908" s="7">
        <v>1901</v>
      </c>
      <c r="B1908" s="7">
        <v>0</v>
      </c>
      <c r="C1908" s="7">
        <f t="shared" si="91"/>
        <v>0.75583605794746755</v>
      </c>
      <c r="D1908" s="7">
        <f t="shared" si="92"/>
        <v>0.75586047434167281</v>
      </c>
      <c r="E1908" s="7">
        <f t="shared" si="93"/>
        <v>-0.27989847758459119</v>
      </c>
    </row>
    <row r="1909" spans="1:5" x14ac:dyDescent="0.15">
      <c r="A1909" s="7">
        <v>1902</v>
      </c>
      <c r="B1909" s="7">
        <v>25</v>
      </c>
      <c r="C1909" s="7">
        <f t="shared" si="91"/>
        <v>2.4476820217818611E-4</v>
      </c>
      <c r="D1909" s="7">
        <f t="shared" si="92"/>
        <v>2.4474372535796831E-4</v>
      </c>
      <c r="E1909" s="7">
        <f t="shared" si="93"/>
        <v>-8.3152989138262363</v>
      </c>
    </row>
    <row r="1910" spans="1:5" x14ac:dyDescent="0.15">
      <c r="A1910" s="7">
        <v>1903</v>
      </c>
      <c r="B1910" s="7">
        <v>11</v>
      </c>
      <c r="C1910" s="7">
        <f t="shared" si="91"/>
        <v>3.1496470211733337E-3</v>
      </c>
      <c r="D1910" s="7">
        <f t="shared" si="92"/>
        <v>3.1493320564712165E-3</v>
      </c>
      <c r="E1910" s="7">
        <f t="shared" si="93"/>
        <v>-5.7605648941941281</v>
      </c>
    </row>
    <row r="1911" spans="1:5" x14ac:dyDescent="0.15">
      <c r="A1911" s="7">
        <v>1904</v>
      </c>
      <c r="B1911" s="7">
        <v>0</v>
      </c>
      <c r="C1911" s="7">
        <f t="shared" si="91"/>
        <v>0.75583605794746755</v>
      </c>
      <c r="D1911" s="7">
        <f t="shared" si="92"/>
        <v>0.75586047434167281</v>
      </c>
      <c r="E1911" s="7">
        <f t="shared" si="93"/>
        <v>-0.27989847758459119</v>
      </c>
    </row>
    <row r="1912" spans="1:5" x14ac:dyDescent="0.15">
      <c r="A1912" s="7">
        <v>1905</v>
      </c>
      <c r="B1912" s="7">
        <v>0</v>
      </c>
      <c r="C1912" s="7">
        <f t="shared" si="91"/>
        <v>0.75583605794746755</v>
      </c>
      <c r="D1912" s="7">
        <f t="shared" si="92"/>
        <v>0.75586047434167281</v>
      </c>
      <c r="E1912" s="7">
        <f t="shared" si="93"/>
        <v>-0.27989847758459119</v>
      </c>
    </row>
    <row r="1913" spans="1:5" x14ac:dyDescent="0.15">
      <c r="A1913" s="7">
        <v>1906</v>
      </c>
      <c r="B1913" s="7">
        <v>0</v>
      </c>
      <c r="C1913" s="7">
        <f t="shared" si="91"/>
        <v>0.75583605794746755</v>
      </c>
      <c r="D1913" s="7">
        <f t="shared" si="92"/>
        <v>0.75586047434167281</v>
      </c>
      <c r="E1913" s="7">
        <f t="shared" si="93"/>
        <v>-0.27989847758459119</v>
      </c>
    </row>
    <row r="1914" spans="1:5" x14ac:dyDescent="0.15">
      <c r="A1914" s="7">
        <v>1907</v>
      </c>
      <c r="B1914" s="7">
        <v>0</v>
      </c>
      <c r="C1914" s="7">
        <f t="shared" si="91"/>
        <v>0.75583605794746755</v>
      </c>
      <c r="D1914" s="7">
        <f t="shared" si="92"/>
        <v>0.75586047434167281</v>
      </c>
      <c r="E1914" s="7">
        <f t="shared" si="93"/>
        <v>-0.27989847758459119</v>
      </c>
    </row>
    <row r="1915" spans="1:5" x14ac:dyDescent="0.15">
      <c r="A1915" s="7">
        <v>1908</v>
      </c>
      <c r="B1915" s="7">
        <v>0</v>
      </c>
      <c r="C1915" s="7">
        <f t="shared" si="91"/>
        <v>0.75583605794746755</v>
      </c>
      <c r="D1915" s="7">
        <f t="shared" si="92"/>
        <v>0.75586047434167281</v>
      </c>
      <c r="E1915" s="7">
        <f t="shared" si="93"/>
        <v>-0.27989847758459119</v>
      </c>
    </row>
    <row r="1916" spans="1:5" x14ac:dyDescent="0.15">
      <c r="A1916" s="7">
        <v>1909</v>
      </c>
      <c r="B1916" s="7">
        <v>0</v>
      </c>
      <c r="C1916" s="7">
        <f t="shared" si="91"/>
        <v>0.75583605794746755</v>
      </c>
      <c r="D1916" s="7">
        <f t="shared" si="92"/>
        <v>0.75586047434167281</v>
      </c>
      <c r="E1916" s="7">
        <f t="shared" si="93"/>
        <v>-0.27989847758459119</v>
      </c>
    </row>
    <row r="1917" spans="1:5" x14ac:dyDescent="0.15">
      <c r="A1917" s="7">
        <v>1910</v>
      </c>
      <c r="B1917" s="7">
        <v>0</v>
      </c>
      <c r="C1917" s="7">
        <f t="shared" si="91"/>
        <v>0.75583605794746755</v>
      </c>
      <c r="D1917" s="7">
        <f t="shared" si="92"/>
        <v>0.75586047434167281</v>
      </c>
      <c r="E1917" s="7">
        <f t="shared" si="93"/>
        <v>-0.27989847758459119</v>
      </c>
    </row>
    <row r="1918" spans="1:5" x14ac:dyDescent="0.15">
      <c r="A1918" s="7">
        <v>1911</v>
      </c>
      <c r="B1918" s="7">
        <v>0</v>
      </c>
      <c r="C1918" s="7">
        <f t="shared" si="91"/>
        <v>0.75583605794746755</v>
      </c>
      <c r="D1918" s="7">
        <f t="shared" si="92"/>
        <v>0.75586047434167281</v>
      </c>
      <c r="E1918" s="7">
        <f t="shared" si="93"/>
        <v>-0.27989847758459119</v>
      </c>
    </row>
    <row r="1919" spans="1:5" x14ac:dyDescent="0.15">
      <c r="A1919" s="7">
        <v>1912</v>
      </c>
      <c r="B1919" s="7">
        <v>0</v>
      </c>
      <c r="C1919" s="7">
        <f t="shared" si="91"/>
        <v>0.75583605794746755</v>
      </c>
      <c r="D1919" s="7">
        <f t="shared" si="92"/>
        <v>0.75586047434167281</v>
      </c>
      <c r="E1919" s="7">
        <f t="shared" si="93"/>
        <v>-0.27989847758459119</v>
      </c>
    </row>
    <row r="1920" spans="1:5" x14ac:dyDescent="0.15">
      <c r="A1920" s="7">
        <v>1913</v>
      </c>
      <c r="B1920" s="7">
        <v>0</v>
      </c>
      <c r="C1920" s="7">
        <f t="shared" si="91"/>
        <v>0.75583605794746755</v>
      </c>
      <c r="D1920" s="7">
        <f t="shared" si="92"/>
        <v>0.75586047434167281</v>
      </c>
      <c r="E1920" s="7">
        <f t="shared" si="93"/>
        <v>-0.27989847758459119</v>
      </c>
    </row>
    <row r="1921" spans="1:5" x14ac:dyDescent="0.15">
      <c r="A1921" s="7">
        <v>1914</v>
      </c>
      <c r="B1921" s="7">
        <v>0</v>
      </c>
      <c r="C1921" s="7">
        <f t="shared" si="91"/>
        <v>0.75583605794746755</v>
      </c>
      <c r="D1921" s="7">
        <f t="shared" si="92"/>
        <v>0.75586047434167281</v>
      </c>
      <c r="E1921" s="7">
        <f t="shared" si="93"/>
        <v>-0.27989847758459119</v>
      </c>
    </row>
    <row r="1922" spans="1:5" x14ac:dyDescent="0.15">
      <c r="A1922" s="7">
        <v>1915</v>
      </c>
      <c r="B1922" s="7">
        <v>0</v>
      </c>
      <c r="C1922" s="7">
        <f t="shared" si="91"/>
        <v>0.75583605794746755</v>
      </c>
      <c r="D1922" s="7">
        <f t="shared" si="92"/>
        <v>0.75586047434167281</v>
      </c>
      <c r="E1922" s="7">
        <f t="shared" si="93"/>
        <v>-0.27989847758459119</v>
      </c>
    </row>
    <row r="1923" spans="1:5" x14ac:dyDescent="0.15">
      <c r="A1923" s="7">
        <v>1916</v>
      </c>
      <c r="B1923" s="7">
        <v>0</v>
      </c>
      <c r="C1923" s="7">
        <f t="shared" si="91"/>
        <v>0.75583605794746755</v>
      </c>
      <c r="D1923" s="7">
        <f t="shared" si="92"/>
        <v>0.75586047434167281</v>
      </c>
      <c r="E1923" s="7">
        <f t="shared" si="93"/>
        <v>-0.27989847758459119</v>
      </c>
    </row>
    <row r="1924" spans="1:5" x14ac:dyDescent="0.15">
      <c r="A1924" s="7">
        <v>1917</v>
      </c>
      <c r="B1924" s="7">
        <v>3</v>
      </c>
      <c r="C1924" s="7">
        <f t="shared" si="91"/>
        <v>2.7470963680778882E-2</v>
      </c>
      <c r="D1924" s="7">
        <f t="shared" si="92"/>
        <v>2.7468216584410805E-2</v>
      </c>
      <c r="E1924" s="7">
        <f t="shared" si="93"/>
        <v>-3.5947257032827968</v>
      </c>
    </row>
    <row r="1925" spans="1:5" x14ac:dyDescent="0.15">
      <c r="A1925" s="7">
        <v>1918</v>
      </c>
      <c r="B1925" s="7">
        <v>0</v>
      </c>
      <c r="C1925" s="7">
        <f t="shared" si="91"/>
        <v>0.75583605794746755</v>
      </c>
      <c r="D1925" s="7">
        <f t="shared" si="92"/>
        <v>0.75586047434167281</v>
      </c>
      <c r="E1925" s="7">
        <f t="shared" si="93"/>
        <v>-0.27989847758459119</v>
      </c>
    </row>
    <row r="1926" spans="1:5" x14ac:dyDescent="0.15">
      <c r="A1926" s="7">
        <v>1919</v>
      </c>
      <c r="B1926" s="7">
        <v>0</v>
      </c>
      <c r="C1926" s="7">
        <f t="shared" si="91"/>
        <v>0.75583605794746755</v>
      </c>
      <c r="D1926" s="7">
        <f t="shared" si="92"/>
        <v>0.75586047434167281</v>
      </c>
      <c r="E1926" s="7">
        <f t="shared" si="93"/>
        <v>-0.27989847758459119</v>
      </c>
    </row>
    <row r="1927" spans="1:5" x14ac:dyDescent="0.15">
      <c r="A1927" s="7">
        <v>1920</v>
      </c>
      <c r="B1927" s="7">
        <v>0</v>
      </c>
      <c r="C1927" s="7">
        <f t="shared" si="91"/>
        <v>0.75583605794746755</v>
      </c>
      <c r="D1927" s="7">
        <f t="shared" si="92"/>
        <v>0.75586047434167281</v>
      </c>
      <c r="E1927" s="7">
        <f t="shared" si="93"/>
        <v>-0.27989847758459119</v>
      </c>
    </row>
    <row r="1928" spans="1:5" x14ac:dyDescent="0.15">
      <c r="A1928" s="7">
        <v>1921</v>
      </c>
      <c r="B1928" s="7">
        <v>0</v>
      </c>
      <c r="C1928" s="7">
        <f t="shared" si="91"/>
        <v>0.75583605794746755</v>
      </c>
      <c r="D1928" s="7">
        <f t="shared" si="92"/>
        <v>0.75586047434167281</v>
      </c>
      <c r="E1928" s="7">
        <f t="shared" si="93"/>
        <v>-0.27989847758459119</v>
      </c>
    </row>
    <row r="1929" spans="1:5" x14ac:dyDescent="0.15">
      <c r="A1929" s="7">
        <v>1922</v>
      </c>
      <c r="B1929" s="7">
        <v>0</v>
      </c>
      <c r="C1929" s="7">
        <f t="shared" ref="C1929:C1992" si="94">(_xlfn.GAMMA($B$1+B1929)/(_xlfn.GAMMA($B$1)*FACT(B1929))) * ($B$2/($B$2+$B$5))^$B$1 * (1/($B$2 +$B$5))^B1929</f>
        <v>0.75583605794746755</v>
      </c>
      <c r="D1929" s="7">
        <f t="shared" ref="D1929:D1992" si="95" xml:space="preserve"> IF(B1929 = 0, $B$3 + (1-$B$3) * C1929, (1-$B$3) *C1929)</f>
        <v>0.75586047434167281</v>
      </c>
      <c r="E1929" s="7">
        <f t="shared" ref="E1929:E1992" si="96">LN(D1929)</f>
        <v>-0.27989847758459119</v>
      </c>
    </row>
    <row r="1930" spans="1:5" x14ac:dyDescent="0.15">
      <c r="A1930" s="7">
        <v>1923</v>
      </c>
      <c r="B1930" s="7">
        <v>0</v>
      </c>
      <c r="C1930" s="7">
        <f t="shared" si="94"/>
        <v>0.75583605794746755</v>
      </c>
      <c r="D1930" s="7">
        <f t="shared" si="95"/>
        <v>0.75586047434167281</v>
      </c>
      <c r="E1930" s="7">
        <f t="shared" si="96"/>
        <v>-0.27989847758459119</v>
      </c>
    </row>
    <row r="1931" spans="1:5" x14ac:dyDescent="0.15">
      <c r="A1931" s="7">
        <v>1924</v>
      </c>
      <c r="B1931" s="7">
        <v>0</v>
      </c>
      <c r="C1931" s="7">
        <f t="shared" si="94"/>
        <v>0.75583605794746755</v>
      </c>
      <c r="D1931" s="7">
        <f t="shared" si="95"/>
        <v>0.75586047434167281</v>
      </c>
      <c r="E1931" s="7">
        <f t="shared" si="96"/>
        <v>-0.27989847758459119</v>
      </c>
    </row>
    <row r="1932" spans="1:5" x14ac:dyDescent="0.15">
      <c r="A1932" s="7">
        <v>1925</v>
      </c>
      <c r="B1932" s="7">
        <v>0</v>
      </c>
      <c r="C1932" s="7">
        <f t="shared" si="94"/>
        <v>0.75583605794746755</v>
      </c>
      <c r="D1932" s="7">
        <f t="shared" si="95"/>
        <v>0.75586047434167281</v>
      </c>
      <c r="E1932" s="7">
        <f t="shared" si="96"/>
        <v>-0.27989847758459119</v>
      </c>
    </row>
    <row r="1933" spans="1:5" x14ac:dyDescent="0.15">
      <c r="A1933" s="7">
        <v>1926</v>
      </c>
      <c r="B1933" s="7">
        <v>0</v>
      </c>
      <c r="C1933" s="7">
        <f t="shared" si="94"/>
        <v>0.75583605794746755</v>
      </c>
      <c r="D1933" s="7">
        <f t="shared" si="95"/>
        <v>0.75586047434167281</v>
      </c>
      <c r="E1933" s="7">
        <f t="shared" si="96"/>
        <v>-0.27989847758459119</v>
      </c>
    </row>
    <row r="1934" spans="1:5" x14ac:dyDescent="0.15">
      <c r="A1934" s="7">
        <v>1927</v>
      </c>
      <c r="B1934" s="7">
        <v>0</v>
      </c>
      <c r="C1934" s="7">
        <f t="shared" si="94"/>
        <v>0.75583605794746755</v>
      </c>
      <c r="D1934" s="7">
        <f t="shared" si="95"/>
        <v>0.75586047434167281</v>
      </c>
      <c r="E1934" s="7">
        <f t="shared" si="96"/>
        <v>-0.27989847758459119</v>
      </c>
    </row>
    <row r="1935" spans="1:5" x14ac:dyDescent="0.15">
      <c r="A1935" s="7">
        <v>1928</v>
      </c>
      <c r="B1935" s="7">
        <v>0</v>
      </c>
      <c r="C1935" s="7">
        <f t="shared" si="94"/>
        <v>0.75583605794746755</v>
      </c>
      <c r="D1935" s="7">
        <f t="shared" si="95"/>
        <v>0.75586047434167281</v>
      </c>
      <c r="E1935" s="7">
        <f t="shared" si="96"/>
        <v>-0.27989847758459119</v>
      </c>
    </row>
    <row r="1936" spans="1:5" x14ac:dyDescent="0.15">
      <c r="A1936" s="7">
        <v>1929</v>
      </c>
      <c r="B1936" s="7">
        <v>0</v>
      </c>
      <c r="C1936" s="7">
        <f t="shared" si="94"/>
        <v>0.75583605794746755</v>
      </c>
      <c r="D1936" s="7">
        <f t="shared" si="95"/>
        <v>0.75586047434167281</v>
      </c>
      <c r="E1936" s="7">
        <f t="shared" si="96"/>
        <v>-0.27989847758459119</v>
      </c>
    </row>
    <row r="1937" spans="1:5" x14ac:dyDescent="0.15">
      <c r="A1937" s="7">
        <v>1930</v>
      </c>
      <c r="B1937" s="7">
        <v>1</v>
      </c>
      <c r="C1937" s="7">
        <f t="shared" si="94"/>
        <v>8.8686757970141181E-2</v>
      </c>
      <c r="D1937" s="7">
        <f t="shared" si="95"/>
        <v>8.867788929434417E-2</v>
      </c>
      <c r="E1937" s="7">
        <f t="shared" si="96"/>
        <v>-2.4227446958891354</v>
      </c>
    </row>
    <row r="1938" spans="1:5" x14ac:dyDescent="0.15">
      <c r="A1938" s="7">
        <v>1931</v>
      </c>
      <c r="B1938" s="7">
        <v>0</v>
      </c>
      <c r="C1938" s="7">
        <f t="shared" si="94"/>
        <v>0.75583605794746755</v>
      </c>
      <c r="D1938" s="7">
        <f t="shared" si="95"/>
        <v>0.75586047434167281</v>
      </c>
      <c r="E1938" s="7">
        <f t="shared" si="96"/>
        <v>-0.27989847758459119</v>
      </c>
    </row>
    <row r="1939" spans="1:5" x14ac:dyDescent="0.15">
      <c r="A1939" s="7">
        <v>1932</v>
      </c>
      <c r="B1939" s="7">
        <v>0</v>
      </c>
      <c r="C1939" s="7">
        <f t="shared" si="94"/>
        <v>0.75583605794746755</v>
      </c>
      <c r="D1939" s="7">
        <f t="shared" si="95"/>
        <v>0.75586047434167281</v>
      </c>
      <c r="E1939" s="7">
        <f t="shared" si="96"/>
        <v>-0.27989847758459119</v>
      </c>
    </row>
    <row r="1940" spans="1:5" x14ac:dyDescent="0.15">
      <c r="A1940" s="7">
        <v>1933</v>
      </c>
      <c r="B1940" s="7">
        <v>1</v>
      </c>
      <c r="C1940" s="7">
        <f t="shared" si="94"/>
        <v>8.8686757970141181E-2</v>
      </c>
      <c r="D1940" s="7">
        <f t="shared" si="95"/>
        <v>8.867788929434417E-2</v>
      </c>
      <c r="E1940" s="7">
        <f t="shared" si="96"/>
        <v>-2.4227446958891354</v>
      </c>
    </row>
    <row r="1941" spans="1:5" x14ac:dyDescent="0.15">
      <c r="A1941" s="7">
        <v>1934</v>
      </c>
      <c r="B1941" s="7">
        <v>0</v>
      </c>
      <c r="C1941" s="7">
        <f t="shared" si="94"/>
        <v>0.75583605794746755</v>
      </c>
      <c r="D1941" s="7">
        <f t="shared" si="95"/>
        <v>0.75586047434167281</v>
      </c>
      <c r="E1941" s="7">
        <f t="shared" si="96"/>
        <v>-0.27989847758459119</v>
      </c>
    </row>
    <row r="1942" spans="1:5" x14ac:dyDescent="0.15">
      <c r="A1942" s="7">
        <v>1935</v>
      </c>
      <c r="B1942" s="7">
        <v>1</v>
      </c>
      <c r="C1942" s="7">
        <f t="shared" si="94"/>
        <v>8.8686757970141181E-2</v>
      </c>
      <c r="D1942" s="7">
        <f t="shared" si="95"/>
        <v>8.867788929434417E-2</v>
      </c>
      <c r="E1942" s="7">
        <f t="shared" si="96"/>
        <v>-2.4227446958891354</v>
      </c>
    </row>
    <row r="1943" spans="1:5" x14ac:dyDescent="0.15">
      <c r="A1943" s="7">
        <v>1936</v>
      </c>
      <c r="B1943" s="7">
        <v>0</v>
      </c>
      <c r="C1943" s="7">
        <f t="shared" si="94"/>
        <v>0.75583605794746755</v>
      </c>
      <c r="D1943" s="7">
        <f t="shared" si="95"/>
        <v>0.75586047434167281</v>
      </c>
      <c r="E1943" s="7">
        <f t="shared" si="96"/>
        <v>-0.27989847758459119</v>
      </c>
    </row>
    <row r="1944" spans="1:5" x14ac:dyDescent="0.15">
      <c r="A1944" s="7">
        <v>1937</v>
      </c>
      <c r="B1944" s="7">
        <v>0</v>
      </c>
      <c r="C1944" s="7">
        <f t="shared" si="94"/>
        <v>0.75583605794746755</v>
      </c>
      <c r="D1944" s="7">
        <f t="shared" si="95"/>
        <v>0.75586047434167281</v>
      </c>
      <c r="E1944" s="7">
        <f t="shared" si="96"/>
        <v>-0.27989847758459119</v>
      </c>
    </row>
    <row r="1945" spans="1:5" x14ac:dyDescent="0.15">
      <c r="A1945" s="7">
        <v>1938</v>
      </c>
      <c r="B1945" s="7">
        <v>0</v>
      </c>
      <c r="C1945" s="7">
        <f t="shared" si="94"/>
        <v>0.75583605794746755</v>
      </c>
      <c r="D1945" s="7">
        <f t="shared" si="95"/>
        <v>0.75586047434167281</v>
      </c>
      <c r="E1945" s="7">
        <f t="shared" si="96"/>
        <v>-0.27989847758459119</v>
      </c>
    </row>
    <row r="1946" spans="1:5" x14ac:dyDescent="0.15">
      <c r="A1946" s="7">
        <v>1939</v>
      </c>
      <c r="B1946" s="7">
        <v>0</v>
      </c>
      <c r="C1946" s="7">
        <f t="shared" si="94"/>
        <v>0.75583605794746755</v>
      </c>
      <c r="D1946" s="7">
        <f t="shared" si="95"/>
        <v>0.75586047434167281</v>
      </c>
      <c r="E1946" s="7">
        <f t="shared" si="96"/>
        <v>-0.27989847758459119</v>
      </c>
    </row>
    <row r="1947" spans="1:5" x14ac:dyDescent="0.15">
      <c r="A1947" s="7">
        <v>1940</v>
      </c>
      <c r="B1947" s="7">
        <v>0</v>
      </c>
      <c r="C1947" s="7">
        <f t="shared" si="94"/>
        <v>0.75583605794746755</v>
      </c>
      <c r="D1947" s="7">
        <f t="shared" si="95"/>
        <v>0.75586047434167281</v>
      </c>
      <c r="E1947" s="7">
        <f t="shared" si="96"/>
        <v>-0.27989847758459119</v>
      </c>
    </row>
    <row r="1948" spans="1:5" x14ac:dyDescent="0.15">
      <c r="A1948" s="7">
        <v>1941</v>
      </c>
      <c r="B1948" s="7">
        <v>0</v>
      </c>
      <c r="C1948" s="7">
        <f t="shared" si="94"/>
        <v>0.75583605794746755</v>
      </c>
      <c r="D1948" s="7">
        <f t="shared" si="95"/>
        <v>0.75586047434167281</v>
      </c>
      <c r="E1948" s="7">
        <f t="shared" si="96"/>
        <v>-0.27989847758459119</v>
      </c>
    </row>
    <row r="1949" spans="1:5" x14ac:dyDescent="0.15">
      <c r="A1949" s="7">
        <v>1942</v>
      </c>
      <c r="B1949" s="7">
        <v>1</v>
      </c>
      <c r="C1949" s="7">
        <f t="shared" si="94"/>
        <v>8.8686757970141181E-2</v>
      </c>
      <c r="D1949" s="7">
        <f t="shared" si="95"/>
        <v>8.867788929434417E-2</v>
      </c>
      <c r="E1949" s="7">
        <f t="shared" si="96"/>
        <v>-2.4227446958891354</v>
      </c>
    </row>
    <row r="1950" spans="1:5" x14ac:dyDescent="0.15">
      <c r="A1950" s="7">
        <v>1943</v>
      </c>
      <c r="B1950" s="7">
        <v>0</v>
      </c>
      <c r="C1950" s="7">
        <f t="shared" si="94"/>
        <v>0.75583605794746755</v>
      </c>
      <c r="D1950" s="7">
        <f t="shared" si="95"/>
        <v>0.75586047434167281</v>
      </c>
      <c r="E1950" s="7">
        <f t="shared" si="96"/>
        <v>-0.27989847758459119</v>
      </c>
    </row>
    <row r="1951" spans="1:5" x14ac:dyDescent="0.15">
      <c r="A1951" s="7">
        <v>1944</v>
      </c>
      <c r="B1951" s="7">
        <v>0</v>
      </c>
      <c r="C1951" s="7">
        <f t="shared" si="94"/>
        <v>0.75583605794746755</v>
      </c>
      <c r="D1951" s="7">
        <f t="shared" si="95"/>
        <v>0.75586047434167281</v>
      </c>
      <c r="E1951" s="7">
        <f t="shared" si="96"/>
        <v>-0.27989847758459119</v>
      </c>
    </row>
    <row r="1952" spans="1:5" x14ac:dyDescent="0.15">
      <c r="A1952" s="7">
        <v>1945</v>
      </c>
      <c r="B1952" s="7">
        <v>0</v>
      </c>
      <c r="C1952" s="7">
        <f t="shared" si="94"/>
        <v>0.75583605794746755</v>
      </c>
      <c r="D1952" s="7">
        <f t="shared" si="95"/>
        <v>0.75586047434167281</v>
      </c>
      <c r="E1952" s="7">
        <f t="shared" si="96"/>
        <v>-0.27989847758459119</v>
      </c>
    </row>
    <row r="1953" spans="1:5" x14ac:dyDescent="0.15">
      <c r="A1953" s="7">
        <v>1946</v>
      </c>
      <c r="B1953" s="7">
        <v>0</v>
      </c>
      <c r="C1953" s="7">
        <f t="shared" si="94"/>
        <v>0.75583605794746755</v>
      </c>
      <c r="D1953" s="7">
        <f t="shared" si="95"/>
        <v>0.75586047434167281</v>
      </c>
      <c r="E1953" s="7">
        <f t="shared" si="96"/>
        <v>-0.27989847758459119</v>
      </c>
    </row>
    <row r="1954" spans="1:5" x14ac:dyDescent="0.15">
      <c r="A1954" s="7">
        <v>1947</v>
      </c>
      <c r="B1954" s="7">
        <v>0</v>
      </c>
      <c r="C1954" s="7">
        <f t="shared" si="94"/>
        <v>0.75583605794746755</v>
      </c>
      <c r="D1954" s="7">
        <f t="shared" si="95"/>
        <v>0.75586047434167281</v>
      </c>
      <c r="E1954" s="7">
        <f t="shared" si="96"/>
        <v>-0.27989847758459119</v>
      </c>
    </row>
    <row r="1955" spans="1:5" x14ac:dyDescent="0.15">
      <c r="A1955" s="7">
        <v>1948</v>
      </c>
      <c r="B1955" s="7">
        <v>25</v>
      </c>
      <c r="C1955" s="7">
        <f t="shared" si="94"/>
        <v>2.4476820217818611E-4</v>
      </c>
      <c r="D1955" s="7">
        <f t="shared" si="95"/>
        <v>2.4474372535796831E-4</v>
      </c>
      <c r="E1955" s="7">
        <f t="shared" si="96"/>
        <v>-8.3152989138262363</v>
      </c>
    </row>
    <row r="1956" spans="1:5" x14ac:dyDescent="0.15">
      <c r="A1956" s="7">
        <v>1949</v>
      </c>
      <c r="B1956" s="7">
        <v>2</v>
      </c>
      <c r="C1956" s="7">
        <f t="shared" si="94"/>
        <v>4.4066701399555049E-2</v>
      </c>
      <c r="D1956" s="7">
        <f t="shared" si="95"/>
        <v>4.4062294729415093E-2</v>
      </c>
      <c r="E1956" s="7">
        <f t="shared" si="96"/>
        <v>-3.1221508570437044</v>
      </c>
    </row>
    <row r="1957" spans="1:5" x14ac:dyDescent="0.15">
      <c r="A1957" s="7">
        <v>1950</v>
      </c>
      <c r="B1957" s="7">
        <v>0</v>
      </c>
      <c r="C1957" s="7">
        <f t="shared" si="94"/>
        <v>0.75583605794746755</v>
      </c>
      <c r="D1957" s="7">
        <f t="shared" si="95"/>
        <v>0.75586047434167281</v>
      </c>
      <c r="E1957" s="7">
        <f t="shared" si="96"/>
        <v>-0.27989847758459119</v>
      </c>
    </row>
    <row r="1958" spans="1:5" x14ac:dyDescent="0.15">
      <c r="A1958" s="7">
        <v>1951</v>
      </c>
      <c r="B1958" s="7">
        <v>3</v>
      </c>
      <c r="C1958" s="7">
        <f t="shared" si="94"/>
        <v>2.7470963680778882E-2</v>
      </c>
      <c r="D1958" s="7">
        <f t="shared" si="95"/>
        <v>2.7468216584410805E-2</v>
      </c>
      <c r="E1958" s="7">
        <f t="shared" si="96"/>
        <v>-3.5947257032827968</v>
      </c>
    </row>
    <row r="1959" spans="1:5" x14ac:dyDescent="0.15">
      <c r="A1959" s="7">
        <v>1952</v>
      </c>
      <c r="B1959" s="7">
        <v>0</v>
      </c>
      <c r="C1959" s="7">
        <f t="shared" si="94"/>
        <v>0.75583605794746755</v>
      </c>
      <c r="D1959" s="7">
        <f t="shared" si="95"/>
        <v>0.75586047434167281</v>
      </c>
      <c r="E1959" s="7">
        <f t="shared" si="96"/>
        <v>-0.27989847758459119</v>
      </c>
    </row>
    <row r="1960" spans="1:5" x14ac:dyDescent="0.15">
      <c r="A1960" s="7">
        <v>1953</v>
      </c>
      <c r="B1960" s="7">
        <v>0</v>
      </c>
      <c r="C1960" s="7">
        <f t="shared" si="94"/>
        <v>0.75583605794746755</v>
      </c>
      <c r="D1960" s="7">
        <f t="shared" si="95"/>
        <v>0.75586047434167281</v>
      </c>
      <c r="E1960" s="7">
        <f t="shared" si="96"/>
        <v>-0.27989847758459119</v>
      </c>
    </row>
    <row r="1961" spans="1:5" x14ac:dyDescent="0.15">
      <c r="A1961" s="7">
        <v>1954</v>
      </c>
      <c r="B1961" s="7">
        <v>0</v>
      </c>
      <c r="C1961" s="7">
        <f t="shared" si="94"/>
        <v>0.75583605794746755</v>
      </c>
      <c r="D1961" s="7">
        <f t="shared" si="95"/>
        <v>0.75586047434167281</v>
      </c>
      <c r="E1961" s="7">
        <f t="shared" si="96"/>
        <v>-0.27989847758459119</v>
      </c>
    </row>
    <row r="1962" spans="1:5" x14ac:dyDescent="0.15">
      <c r="A1962" s="7">
        <v>1955</v>
      </c>
      <c r="B1962" s="7">
        <v>0</v>
      </c>
      <c r="C1962" s="7">
        <f t="shared" si="94"/>
        <v>0.75583605794746755</v>
      </c>
      <c r="D1962" s="7">
        <f t="shared" si="95"/>
        <v>0.75586047434167281</v>
      </c>
      <c r="E1962" s="7">
        <f t="shared" si="96"/>
        <v>-0.27989847758459119</v>
      </c>
    </row>
    <row r="1963" spans="1:5" x14ac:dyDescent="0.15">
      <c r="A1963" s="7">
        <v>1956</v>
      </c>
      <c r="B1963" s="7">
        <v>0</v>
      </c>
      <c r="C1963" s="7">
        <f t="shared" si="94"/>
        <v>0.75583605794746755</v>
      </c>
      <c r="D1963" s="7">
        <f t="shared" si="95"/>
        <v>0.75586047434167281</v>
      </c>
      <c r="E1963" s="7">
        <f t="shared" si="96"/>
        <v>-0.27989847758459119</v>
      </c>
    </row>
    <row r="1964" spans="1:5" x14ac:dyDescent="0.15">
      <c r="A1964" s="7">
        <v>1957</v>
      </c>
      <c r="B1964" s="7">
        <v>0</v>
      </c>
      <c r="C1964" s="7">
        <f t="shared" si="94"/>
        <v>0.75583605794746755</v>
      </c>
      <c r="D1964" s="7">
        <f t="shared" si="95"/>
        <v>0.75586047434167281</v>
      </c>
      <c r="E1964" s="7">
        <f t="shared" si="96"/>
        <v>-0.27989847758459119</v>
      </c>
    </row>
    <row r="1965" spans="1:5" x14ac:dyDescent="0.15">
      <c r="A1965" s="7">
        <v>1958</v>
      </c>
      <c r="B1965" s="7">
        <v>0</v>
      </c>
      <c r="C1965" s="7">
        <f t="shared" si="94"/>
        <v>0.75583605794746755</v>
      </c>
      <c r="D1965" s="7">
        <f t="shared" si="95"/>
        <v>0.75586047434167281</v>
      </c>
      <c r="E1965" s="7">
        <f t="shared" si="96"/>
        <v>-0.27989847758459119</v>
      </c>
    </row>
    <row r="1966" spans="1:5" x14ac:dyDescent="0.15">
      <c r="A1966" s="7">
        <v>1959</v>
      </c>
      <c r="B1966" s="7">
        <v>0</v>
      </c>
      <c r="C1966" s="7">
        <f t="shared" si="94"/>
        <v>0.75583605794746755</v>
      </c>
      <c r="D1966" s="7">
        <f t="shared" si="95"/>
        <v>0.75586047434167281</v>
      </c>
      <c r="E1966" s="7">
        <f t="shared" si="96"/>
        <v>-0.27989847758459119</v>
      </c>
    </row>
    <row r="1967" spans="1:5" x14ac:dyDescent="0.15">
      <c r="A1967" s="7">
        <v>1960</v>
      </c>
      <c r="B1967" s="7">
        <v>0</v>
      </c>
      <c r="C1967" s="7">
        <f t="shared" si="94"/>
        <v>0.75583605794746755</v>
      </c>
      <c r="D1967" s="7">
        <f t="shared" si="95"/>
        <v>0.75586047434167281</v>
      </c>
      <c r="E1967" s="7">
        <f t="shared" si="96"/>
        <v>-0.27989847758459119</v>
      </c>
    </row>
    <row r="1968" spans="1:5" x14ac:dyDescent="0.15">
      <c r="A1968" s="7">
        <v>1961</v>
      </c>
      <c r="B1968" s="7">
        <v>1</v>
      </c>
      <c r="C1968" s="7">
        <f t="shared" si="94"/>
        <v>8.8686757970141181E-2</v>
      </c>
      <c r="D1968" s="7">
        <f t="shared" si="95"/>
        <v>8.867788929434417E-2</v>
      </c>
      <c r="E1968" s="7">
        <f t="shared" si="96"/>
        <v>-2.4227446958891354</v>
      </c>
    </row>
    <row r="1969" spans="1:5" x14ac:dyDescent="0.15">
      <c r="A1969" s="7">
        <v>1962</v>
      </c>
      <c r="B1969" s="7">
        <v>0</v>
      </c>
      <c r="C1969" s="7">
        <f t="shared" si="94"/>
        <v>0.75583605794746755</v>
      </c>
      <c r="D1969" s="7">
        <f t="shared" si="95"/>
        <v>0.75586047434167281</v>
      </c>
      <c r="E1969" s="7">
        <f t="shared" si="96"/>
        <v>-0.27989847758459119</v>
      </c>
    </row>
    <row r="1970" spans="1:5" x14ac:dyDescent="0.15">
      <c r="A1970" s="7">
        <v>1963</v>
      </c>
      <c r="B1970" s="7">
        <v>0</v>
      </c>
      <c r="C1970" s="7">
        <f t="shared" si="94"/>
        <v>0.75583605794746755</v>
      </c>
      <c r="D1970" s="7">
        <f t="shared" si="95"/>
        <v>0.75586047434167281</v>
      </c>
      <c r="E1970" s="7">
        <f t="shared" si="96"/>
        <v>-0.27989847758459119</v>
      </c>
    </row>
    <row r="1971" spans="1:5" x14ac:dyDescent="0.15">
      <c r="A1971" s="7">
        <v>1964</v>
      </c>
      <c r="B1971" s="7">
        <v>0</v>
      </c>
      <c r="C1971" s="7">
        <f t="shared" si="94"/>
        <v>0.75583605794746755</v>
      </c>
      <c r="D1971" s="7">
        <f t="shared" si="95"/>
        <v>0.75586047434167281</v>
      </c>
      <c r="E1971" s="7">
        <f t="shared" si="96"/>
        <v>-0.27989847758459119</v>
      </c>
    </row>
    <row r="1972" spans="1:5" x14ac:dyDescent="0.15">
      <c r="A1972" s="7">
        <v>1965</v>
      </c>
      <c r="B1972" s="7">
        <v>0</v>
      </c>
      <c r="C1972" s="7">
        <f t="shared" si="94"/>
        <v>0.75583605794746755</v>
      </c>
      <c r="D1972" s="7">
        <f t="shared" si="95"/>
        <v>0.75586047434167281</v>
      </c>
      <c r="E1972" s="7">
        <f t="shared" si="96"/>
        <v>-0.27989847758459119</v>
      </c>
    </row>
    <row r="1973" spans="1:5" x14ac:dyDescent="0.15">
      <c r="A1973" s="7">
        <v>1966</v>
      </c>
      <c r="B1973" s="7">
        <v>0</v>
      </c>
      <c r="C1973" s="7">
        <f t="shared" si="94"/>
        <v>0.75583605794746755</v>
      </c>
      <c r="D1973" s="7">
        <f t="shared" si="95"/>
        <v>0.75586047434167281</v>
      </c>
      <c r="E1973" s="7">
        <f t="shared" si="96"/>
        <v>-0.27989847758459119</v>
      </c>
    </row>
    <row r="1974" spans="1:5" x14ac:dyDescent="0.15">
      <c r="A1974" s="7">
        <v>1967</v>
      </c>
      <c r="B1974" s="7">
        <v>0</v>
      </c>
      <c r="C1974" s="7">
        <f t="shared" si="94"/>
        <v>0.75583605794746755</v>
      </c>
      <c r="D1974" s="7">
        <f t="shared" si="95"/>
        <v>0.75586047434167281</v>
      </c>
      <c r="E1974" s="7">
        <f t="shared" si="96"/>
        <v>-0.27989847758459119</v>
      </c>
    </row>
    <row r="1975" spans="1:5" x14ac:dyDescent="0.15">
      <c r="A1975" s="7">
        <v>1968</v>
      </c>
      <c r="B1975" s="7">
        <v>4</v>
      </c>
      <c r="C1975" s="7">
        <f t="shared" si="94"/>
        <v>1.8863004210024691E-2</v>
      </c>
      <c r="D1975" s="7">
        <f t="shared" si="95"/>
        <v>1.8861117909603688E-2</v>
      </c>
      <c r="E1975" s="7">
        <f t="shared" si="96"/>
        <v>-3.9706527294293466</v>
      </c>
    </row>
    <row r="1976" spans="1:5" x14ac:dyDescent="0.15">
      <c r="A1976" s="7">
        <v>1969</v>
      </c>
      <c r="B1976" s="7">
        <v>4</v>
      </c>
      <c r="C1976" s="7">
        <f t="shared" si="94"/>
        <v>1.8863004210024691E-2</v>
      </c>
      <c r="D1976" s="7">
        <f t="shared" si="95"/>
        <v>1.8861117909603688E-2</v>
      </c>
      <c r="E1976" s="7">
        <f t="shared" si="96"/>
        <v>-3.9706527294293466</v>
      </c>
    </row>
    <row r="1977" spans="1:5" x14ac:dyDescent="0.15">
      <c r="A1977" s="7">
        <v>1970</v>
      </c>
      <c r="B1977" s="7">
        <v>0</v>
      </c>
      <c r="C1977" s="7">
        <f t="shared" si="94"/>
        <v>0.75583605794746755</v>
      </c>
      <c r="D1977" s="7">
        <f t="shared" si="95"/>
        <v>0.75586047434167281</v>
      </c>
      <c r="E1977" s="7">
        <f t="shared" si="96"/>
        <v>-0.27989847758459119</v>
      </c>
    </row>
    <row r="1978" spans="1:5" x14ac:dyDescent="0.15">
      <c r="A1978" s="7">
        <v>1971</v>
      </c>
      <c r="B1978" s="7">
        <v>0</v>
      </c>
      <c r="C1978" s="7">
        <f t="shared" si="94"/>
        <v>0.75583605794746755</v>
      </c>
      <c r="D1978" s="7">
        <f t="shared" si="95"/>
        <v>0.75586047434167281</v>
      </c>
      <c r="E1978" s="7">
        <f t="shared" si="96"/>
        <v>-0.27989847758459119</v>
      </c>
    </row>
    <row r="1979" spans="1:5" x14ac:dyDescent="0.15">
      <c r="A1979" s="7">
        <v>1972</v>
      </c>
      <c r="B1979" s="7">
        <v>0</v>
      </c>
      <c r="C1979" s="7">
        <f t="shared" si="94"/>
        <v>0.75583605794746755</v>
      </c>
      <c r="D1979" s="7">
        <f t="shared" si="95"/>
        <v>0.75586047434167281</v>
      </c>
      <c r="E1979" s="7">
        <f t="shared" si="96"/>
        <v>-0.27989847758459119</v>
      </c>
    </row>
    <row r="1980" spans="1:5" x14ac:dyDescent="0.15">
      <c r="A1980" s="7">
        <v>1973</v>
      </c>
      <c r="B1980" s="7">
        <v>0</v>
      </c>
      <c r="C1980" s="7">
        <f t="shared" si="94"/>
        <v>0.75583605794746755</v>
      </c>
      <c r="D1980" s="7">
        <f t="shared" si="95"/>
        <v>0.75586047434167281</v>
      </c>
      <c r="E1980" s="7">
        <f t="shared" si="96"/>
        <v>-0.27989847758459119</v>
      </c>
    </row>
    <row r="1981" spans="1:5" x14ac:dyDescent="0.15">
      <c r="A1981" s="7">
        <v>1974</v>
      </c>
      <c r="B1981" s="7">
        <v>0</v>
      </c>
      <c r="C1981" s="7">
        <f t="shared" si="94"/>
        <v>0.75583605794746755</v>
      </c>
      <c r="D1981" s="7">
        <f t="shared" si="95"/>
        <v>0.75586047434167281</v>
      </c>
      <c r="E1981" s="7">
        <f t="shared" si="96"/>
        <v>-0.27989847758459119</v>
      </c>
    </row>
    <row r="1982" spans="1:5" x14ac:dyDescent="0.15">
      <c r="A1982" s="7">
        <v>1975</v>
      </c>
      <c r="B1982" s="7">
        <v>0</v>
      </c>
      <c r="C1982" s="7">
        <f t="shared" si="94"/>
        <v>0.75583605794746755</v>
      </c>
      <c r="D1982" s="7">
        <f t="shared" si="95"/>
        <v>0.75586047434167281</v>
      </c>
      <c r="E1982" s="7">
        <f t="shared" si="96"/>
        <v>-0.27989847758459119</v>
      </c>
    </row>
    <row r="1983" spans="1:5" x14ac:dyDescent="0.15">
      <c r="A1983" s="7">
        <v>1976</v>
      </c>
      <c r="B1983" s="7">
        <v>1</v>
      </c>
      <c r="C1983" s="7">
        <f t="shared" si="94"/>
        <v>8.8686757970141181E-2</v>
      </c>
      <c r="D1983" s="7">
        <f t="shared" si="95"/>
        <v>8.867788929434417E-2</v>
      </c>
      <c r="E1983" s="7">
        <f t="shared" si="96"/>
        <v>-2.4227446958891354</v>
      </c>
    </row>
    <row r="1984" spans="1:5" x14ac:dyDescent="0.15">
      <c r="A1984" s="7">
        <v>1977</v>
      </c>
      <c r="B1984" s="7">
        <v>0</v>
      </c>
      <c r="C1984" s="7">
        <f t="shared" si="94"/>
        <v>0.75583605794746755</v>
      </c>
      <c r="D1984" s="7">
        <f t="shared" si="95"/>
        <v>0.75586047434167281</v>
      </c>
      <c r="E1984" s="7">
        <f t="shared" si="96"/>
        <v>-0.27989847758459119</v>
      </c>
    </row>
    <row r="1985" spans="1:5" x14ac:dyDescent="0.15">
      <c r="A1985" s="7">
        <v>1978</v>
      </c>
      <c r="B1985" s="7">
        <v>0</v>
      </c>
      <c r="C1985" s="7">
        <f t="shared" si="94"/>
        <v>0.75583605794746755</v>
      </c>
      <c r="D1985" s="7">
        <f t="shared" si="95"/>
        <v>0.75586047434167281</v>
      </c>
      <c r="E1985" s="7">
        <f t="shared" si="96"/>
        <v>-0.27989847758459119</v>
      </c>
    </row>
    <row r="1986" spans="1:5" x14ac:dyDescent="0.15">
      <c r="A1986" s="7">
        <v>1979</v>
      </c>
      <c r="B1986" s="7">
        <v>2</v>
      </c>
      <c r="C1986" s="7">
        <f t="shared" si="94"/>
        <v>4.4066701399555049E-2</v>
      </c>
      <c r="D1986" s="7">
        <f t="shared" si="95"/>
        <v>4.4062294729415093E-2</v>
      </c>
      <c r="E1986" s="7">
        <f t="shared" si="96"/>
        <v>-3.1221508570437044</v>
      </c>
    </row>
    <row r="1987" spans="1:5" x14ac:dyDescent="0.15">
      <c r="A1987" s="7">
        <v>1980</v>
      </c>
      <c r="B1987" s="7">
        <v>0</v>
      </c>
      <c r="C1987" s="7">
        <f t="shared" si="94"/>
        <v>0.75583605794746755</v>
      </c>
      <c r="D1987" s="7">
        <f t="shared" si="95"/>
        <v>0.75586047434167281</v>
      </c>
      <c r="E1987" s="7">
        <f t="shared" si="96"/>
        <v>-0.27989847758459119</v>
      </c>
    </row>
    <row r="1988" spans="1:5" x14ac:dyDescent="0.15">
      <c r="A1988" s="7">
        <v>1981</v>
      </c>
      <c r="B1988" s="7">
        <v>0</v>
      </c>
      <c r="C1988" s="7">
        <f t="shared" si="94"/>
        <v>0.75583605794746755</v>
      </c>
      <c r="D1988" s="7">
        <f t="shared" si="95"/>
        <v>0.75586047434167281</v>
      </c>
      <c r="E1988" s="7">
        <f t="shared" si="96"/>
        <v>-0.27989847758459119</v>
      </c>
    </row>
    <row r="1989" spans="1:5" x14ac:dyDescent="0.15">
      <c r="A1989" s="7">
        <v>1982</v>
      </c>
      <c r="B1989" s="7">
        <v>0</v>
      </c>
      <c r="C1989" s="7">
        <f t="shared" si="94"/>
        <v>0.75583605794746755</v>
      </c>
      <c r="D1989" s="7">
        <f t="shared" si="95"/>
        <v>0.75586047434167281</v>
      </c>
      <c r="E1989" s="7">
        <f t="shared" si="96"/>
        <v>-0.27989847758459119</v>
      </c>
    </row>
    <row r="1990" spans="1:5" x14ac:dyDescent="0.15">
      <c r="A1990" s="7">
        <v>1983</v>
      </c>
      <c r="B1990" s="7">
        <v>2</v>
      </c>
      <c r="C1990" s="7">
        <f t="shared" si="94"/>
        <v>4.4066701399555049E-2</v>
      </c>
      <c r="D1990" s="7">
        <f t="shared" si="95"/>
        <v>4.4062294729415093E-2</v>
      </c>
      <c r="E1990" s="7">
        <f t="shared" si="96"/>
        <v>-3.1221508570437044</v>
      </c>
    </row>
    <row r="1991" spans="1:5" x14ac:dyDescent="0.15">
      <c r="A1991" s="7">
        <v>1984</v>
      </c>
      <c r="B1991" s="7">
        <v>0</v>
      </c>
      <c r="C1991" s="7">
        <f t="shared" si="94"/>
        <v>0.75583605794746755</v>
      </c>
      <c r="D1991" s="7">
        <f t="shared" si="95"/>
        <v>0.75586047434167281</v>
      </c>
      <c r="E1991" s="7">
        <f t="shared" si="96"/>
        <v>-0.27989847758459119</v>
      </c>
    </row>
    <row r="1992" spans="1:5" x14ac:dyDescent="0.15">
      <c r="A1992" s="7">
        <v>1985</v>
      </c>
      <c r="B1992" s="7">
        <v>14</v>
      </c>
      <c r="C1992" s="7">
        <f t="shared" si="94"/>
        <v>1.7226308754647042E-3</v>
      </c>
      <c r="D1992" s="7">
        <f t="shared" si="95"/>
        <v>1.7224586123771577E-3</v>
      </c>
      <c r="E1992" s="7">
        <f t="shared" si="96"/>
        <v>-6.3640025830126428</v>
      </c>
    </row>
    <row r="1993" spans="1:5" x14ac:dyDescent="0.15">
      <c r="A1993" s="7">
        <v>1986</v>
      </c>
      <c r="B1993" s="7">
        <v>0</v>
      </c>
      <c r="C1993" s="7">
        <f t="shared" ref="C1993:C2056" si="97">(_xlfn.GAMMA($B$1+B1993)/(_xlfn.GAMMA($B$1)*FACT(B1993))) * ($B$2/($B$2+$B$5))^$B$1 * (1/($B$2 +$B$5))^B1993</f>
        <v>0.75583605794746755</v>
      </c>
      <c r="D1993" s="7">
        <f t="shared" ref="D1993:D2056" si="98" xml:space="preserve"> IF(B1993 = 0, $B$3 + (1-$B$3) * C1993, (1-$B$3) *C1993)</f>
        <v>0.75586047434167281</v>
      </c>
      <c r="E1993" s="7">
        <f t="shared" ref="E1993:E2056" si="99">LN(D1993)</f>
        <v>-0.27989847758459119</v>
      </c>
    </row>
    <row r="1994" spans="1:5" x14ac:dyDescent="0.15">
      <c r="A1994" s="7">
        <v>1987</v>
      </c>
      <c r="B1994" s="7">
        <v>1</v>
      </c>
      <c r="C1994" s="7">
        <f t="shared" si="97"/>
        <v>8.8686757970141181E-2</v>
      </c>
      <c r="D1994" s="7">
        <f t="shared" si="98"/>
        <v>8.867788929434417E-2</v>
      </c>
      <c r="E1994" s="7">
        <f t="shared" si="99"/>
        <v>-2.4227446958891354</v>
      </c>
    </row>
    <row r="1995" spans="1:5" x14ac:dyDescent="0.15">
      <c r="A1995" s="7">
        <v>1988</v>
      </c>
      <c r="B1995" s="7">
        <v>0</v>
      </c>
      <c r="C1995" s="7">
        <f t="shared" si="97"/>
        <v>0.75583605794746755</v>
      </c>
      <c r="D1995" s="7">
        <f t="shared" si="98"/>
        <v>0.75586047434167281</v>
      </c>
      <c r="E1995" s="7">
        <f t="shared" si="99"/>
        <v>-0.27989847758459119</v>
      </c>
    </row>
    <row r="1996" spans="1:5" x14ac:dyDescent="0.15">
      <c r="A1996" s="7">
        <v>1989</v>
      </c>
      <c r="B1996" s="7">
        <v>2</v>
      </c>
      <c r="C1996" s="7">
        <f t="shared" si="97"/>
        <v>4.4066701399555049E-2</v>
      </c>
      <c r="D1996" s="7">
        <f t="shared" si="98"/>
        <v>4.4062294729415093E-2</v>
      </c>
      <c r="E1996" s="7">
        <f t="shared" si="99"/>
        <v>-3.1221508570437044</v>
      </c>
    </row>
    <row r="1997" spans="1:5" x14ac:dyDescent="0.15">
      <c r="A1997" s="7">
        <v>1990</v>
      </c>
      <c r="B1997" s="7">
        <v>0</v>
      </c>
      <c r="C1997" s="7">
        <f t="shared" si="97"/>
        <v>0.75583605794746755</v>
      </c>
      <c r="D1997" s="7">
        <f t="shared" si="98"/>
        <v>0.75586047434167281</v>
      </c>
      <c r="E1997" s="7">
        <f t="shared" si="99"/>
        <v>-0.27989847758459119</v>
      </c>
    </row>
    <row r="1998" spans="1:5" x14ac:dyDescent="0.15">
      <c r="A1998" s="7">
        <v>1991</v>
      </c>
      <c r="B1998" s="7">
        <v>0</v>
      </c>
      <c r="C1998" s="7">
        <f t="shared" si="97"/>
        <v>0.75583605794746755</v>
      </c>
      <c r="D1998" s="7">
        <f t="shared" si="98"/>
        <v>0.75586047434167281</v>
      </c>
      <c r="E1998" s="7">
        <f t="shared" si="99"/>
        <v>-0.27989847758459119</v>
      </c>
    </row>
    <row r="1999" spans="1:5" x14ac:dyDescent="0.15">
      <c r="A1999" s="7">
        <v>1992</v>
      </c>
      <c r="B1999" s="7">
        <v>0</v>
      </c>
      <c r="C1999" s="7">
        <f t="shared" si="97"/>
        <v>0.75583605794746755</v>
      </c>
      <c r="D1999" s="7">
        <f t="shared" si="98"/>
        <v>0.75586047434167281</v>
      </c>
      <c r="E1999" s="7">
        <f t="shared" si="99"/>
        <v>-0.27989847758459119</v>
      </c>
    </row>
    <row r="2000" spans="1:5" x14ac:dyDescent="0.15">
      <c r="A2000" s="7">
        <v>1993</v>
      </c>
      <c r="B2000" s="7">
        <v>8</v>
      </c>
      <c r="C2000" s="7">
        <f t="shared" si="97"/>
        <v>6.1521164907488192E-3</v>
      </c>
      <c r="D2000" s="7">
        <f t="shared" si="98"/>
        <v>6.1515012790997444E-3</v>
      </c>
      <c r="E2000" s="7">
        <f t="shared" si="99"/>
        <v>-5.0910591165310892</v>
      </c>
    </row>
    <row r="2001" spans="1:5" x14ac:dyDescent="0.15">
      <c r="A2001" s="7">
        <v>1994</v>
      </c>
      <c r="B2001" s="7">
        <v>0</v>
      </c>
      <c r="C2001" s="7">
        <f t="shared" si="97"/>
        <v>0.75583605794746755</v>
      </c>
      <c r="D2001" s="7">
        <f t="shared" si="98"/>
        <v>0.75586047434167281</v>
      </c>
      <c r="E2001" s="7">
        <f t="shared" si="99"/>
        <v>-0.27989847758459119</v>
      </c>
    </row>
    <row r="2002" spans="1:5" x14ac:dyDescent="0.15">
      <c r="A2002" s="7">
        <v>1995</v>
      </c>
      <c r="B2002" s="7">
        <v>0</v>
      </c>
      <c r="C2002" s="7">
        <f t="shared" si="97"/>
        <v>0.75583605794746755</v>
      </c>
      <c r="D2002" s="7">
        <f t="shared" si="98"/>
        <v>0.75586047434167281</v>
      </c>
      <c r="E2002" s="7">
        <f t="shared" si="99"/>
        <v>-0.27989847758459119</v>
      </c>
    </row>
    <row r="2003" spans="1:5" x14ac:dyDescent="0.15">
      <c r="A2003" s="7">
        <v>1996</v>
      </c>
      <c r="B2003" s="7">
        <v>0</v>
      </c>
      <c r="C2003" s="7">
        <f t="shared" si="97"/>
        <v>0.75583605794746755</v>
      </c>
      <c r="D2003" s="7">
        <f t="shared" si="98"/>
        <v>0.75586047434167281</v>
      </c>
      <c r="E2003" s="7">
        <f t="shared" si="99"/>
        <v>-0.27989847758459119</v>
      </c>
    </row>
    <row r="2004" spans="1:5" x14ac:dyDescent="0.15">
      <c r="A2004" s="7">
        <v>1997</v>
      </c>
      <c r="B2004" s="7">
        <v>0</v>
      </c>
      <c r="C2004" s="7">
        <f t="shared" si="97"/>
        <v>0.75583605794746755</v>
      </c>
      <c r="D2004" s="7">
        <f t="shared" si="98"/>
        <v>0.75586047434167281</v>
      </c>
      <c r="E2004" s="7">
        <f t="shared" si="99"/>
        <v>-0.27989847758459119</v>
      </c>
    </row>
    <row r="2005" spans="1:5" x14ac:dyDescent="0.15">
      <c r="A2005" s="7">
        <v>1998</v>
      </c>
      <c r="B2005" s="7">
        <v>0</v>
      </c>
      <c r="C2005" s="7">
        <f t="shared" si="97"/>
        <v>0.75583605794746755</v>
      </c>
      <c r="D2005" s="7">
        <f t="shared" si="98"/>
        <v>0.75586047434167281</v>
      </c>
      <c r="E2005" s="7">
        <f t="shared" si="99"/>
        <v>-0.27989847758459119</v>
      </c>
    </row>
    <row r="2006" spans="1:5" x14ac:dyDescent="0.15">
      <c r="A2006" s="7">
        <v>1999</v>
      </c>
      <c r="B2006" s="7">
        <v>7</v>
      </c>
      <c r="C2006" s="7">
        <f t="shared" si="97"/>
        <v>7.8718020395525893E-3</v>
      </c>
      <c r="D2006" s="7">
        <f t="shared" si="98"/>
        <v>7.8710148593486347E-3</v>
      </c>
      <c r="E2006" s="7">
        <f t="shared" si="99"/>
        <v>-4.8445682719632792</v>
      </c>
    </row>
    <row r="2007" spans="1:5" x14ac:dyDescent="0.15">
      <c r="A2007" s="7">
        <v>2000</v>
      </c>
      <c r="B2007" s="7">
        <v>0</v>
      </c>
      <c r="C2007" s="7">
        <f t="shared" si="97"/>
        <v>0.75583605794746755</v>
      </c>
      <c r="D2007" s="7">
        <f t="shared" si="98"/>
        <v>0.75586047434167281</v>
      </c>
      <c r="E2007" s="7">
        <f t="shared" si="99"/>
        <v>-0.27989847758459119</v>
      </c>
    </row>
    <row r="2008" spans="1:5" x14ac:dyDescent="0.15">
      <c r="A2008" s="7">
        <v>2001</v>
      </c>
      <c r="B2008" s="7">
        <v>2</v>
      </c>
      <c r="C2008" s="7">
        <f t="shared" si="97"/>
        <v>4.4066701399555049E-2</v>
      </c>
      <c r="D2008" s="7">
        <f t="shared" si="98"/>
        <v>4.4062294729415093E-2</v>
      </c>
      <c r="E2008" s="7">
        <f t="shared" si="99"/>
        <v>-3.1221508570437044</v>
      </c>
    </row>
    <row r="2009" spans="1:5" x14ac:dyDescent="0.15">
      <c r="A2009" s="7">
        <v>2002</v>
      </c>
      <c r="B2009" s="7">
        <v>0</v>
      </c>
      <c r="C2009" s="7">
        <f t="shared" si="97"/>
        <v>0.75583605794746755</v>
      </c>
      <c r="D2009" s="7">
        <f t="shared" si="98"/>
        <v>0.75586047434167281</v>
      </c>
      <c r="E2009" s="7">
        <f t="shared" si="99"/>
        <v>-0.27989847758459119</v>
      </c>
    </row>
    <row r="2010" spans="1:5" x14ac:dyDescent="0.15">
      <c r="A2010" s="7">
        <v>2003</v>
      </c>
      <c r="B2010" s="7">
        <v>1</v>
      </c>
      <c r="C2010" s="7">
        <f t="shared" si="97"/>
        <v>8.8686757970141181E-2</v>
      </c>
      <c r="D2010" s="7">
        <f t="shared" si="98"/>
        <v>8.867788929434417E-2</v>
      </c>
      <c r="E2010" s="7">
        <f t="shared" si="99"/>
        <v>-2.4227446958891354</v>
      </c>
    </row>
    <row r="2011" spans="1:5" x14ac:dyDescent="0.15">
      <c r="A2011" s="7">
        <v>2004</v>
      </c>
      <c r="B2011" s="7">
        <v>0</v>
      </c>
      <c r="C2011" s="7">
        <f t="shared" si="97"/>
        <v>0.75583605794746755</v>
      </c>
      <c r="D2011" s="7">
        <f t="shared" si="98"/>
        <v>0.75586047434167281</v>
      </c>
      <c r="E2011" s="7">
        <f t="shared" si="99"/>
        <v>-0.27989847758459119</v>
      </c>
    </row>
    <row r="2012" spans="1:5" x14ac:dyDescent="0.15">
      <c r="A2012" s="7">
        <v>2005</v>
      </c>
      <c r="B2012" s="7">
        <v>0</v>
      </c>
      <c r="C2012" s="7">
        <f t="shared" si="97"/>
        <v>0.75583605794746755</v>
      </c>
      <c r="D2012" s="7">
        <f t="shared" si="98"/>
        <v>0.75586047434167281</v>
      </c>
      <c r="E2012" s="7">
        <f t="shared" si="99"/>
        <v>-0.27989847758459119</v>
      </c>
    </row>
    <row r="2013" spans="1:5" x14ac:dyDescent="0.15">
      <c r="A2013" s="7">
        <v>2006</v>
      </c>
      <c r="B2013" s="7">
        <v>1</v>
      </c>
      <c r="C2013" s="7">
        <f t="shared" si="97"/>
        <v>8.8686757970141181E-2</v>
      </c>
      <c r="D2013" s="7">
        <f t="shared" si="98"/>
        <v>8.867788929434417E-2</v>
      </c>
      <c r="E2013" s="7">
        <f t="shared" si="99"/>
        <v>-2.4227446958891354</v>
      </c>
    </row>
    <row r="2014" spans="1:5" x14ac:dyDescent="0.15">
      <c r="A2014" s="7">
        <v>2007</v>
      </c>
      <c r="B2014" s="7">
        <v>0</v>
      </c>
      <c r="C2014" s="7">
        <f t="shared" si="97"/>
        <v>0.75583605794746755</v>
      </c>
      <c r="D2014" s="7">
        <f t="shared" si="98"/>
        <v>0.75586047434167281</v>
      </c>
      <c r="E2014" s="7">
        <f t="shared" si="99"/>
        <v>-0.27989847758459119</v>
      </c>
    </row>
    <row r="2015" spans="1:5" x14ac:dyDescent="0.15">
      <c r="A2015" s="7">
        <v>2008</v>
      </c>
      <c r="B2015" s="7">
        <v>0</v>
      </c>
      <c r="C2015" s="7">
        <f t="shared" si="97"/>
        <v>0.75583605794746755</v>
      </c>
      <c r="D2015" s="7">
        <f t="shared" si="98"/>
        <v>0.75586047434167281</v>
      </c>
      <c r="E2015" s="7">
        <f t="shared" si="99"/>
        <v>-0.27989847758459119</v>
      </c>
    </row>
    <row r="2016" spans="1:5" x14ac:dyDescent="0.15">
      <c r="A2016" s="7">
        <v>2009</v>
      </c>
      <c r="B2016" s="7">
        <v>7</v>
      </c>
      <c r="C2016" s="7">
        <f t="shared" si="97"/>
        <v>7.8718020395525893E-3</v>
      </c>
      <c r="D2016" s="7">
        <f t="shared" si="98"/>
        <v>7.8710148593486347E-3</v>
      </c>
      <c r="E2016" s="7">
        <f t="shared" si="99"/>
        <v>-4.8445682719632792</v>
      </c>
    </row>
    <row r="2017" spans="1:5" x14ac:dyDescent="0.15">
      <c r="A2017" s="7">
        <v>2010</v>
      </c>
      <c r="B2017" s="7">
        <v>34</v>
      </c>
      <c r="C2017" s="7">
        <f t="shared" si="97"/>
        <v>5.7252462528276814E-5</v>
      </c>
      <c r="D2017" s="7">
        <f t="shared" si="98"/>
        <v>5.7246737282023987E-5</v>
      </c>
      <c r="E2017" s="7">
        <f t="shared" si="99"/>
        <v>-9.7681399078609612</v>
      </c>
    </row>
    <row r="2018" spans="1:5" x14ac:dyDescent="0.15">
      <c r="A2018" s="7">
        <v>2011</v>
      </c>
      <c r="B2018" s="7">
        <v>0</v>
      </c>
      <c r="C2018" s="7">
        <f t="shared" si="97"/>
        <v>0.75583605794746755</v>
      </c>
      <c r="D2018" s="7">
        <f t="shared" si="98"/>
        <v>0.75586047434167281</v>
      </c>
      <c r="E2018" s="7">
        <f t="shared" si="99"/>
        <v>-0.27989847758459119</v>
      </c>
    </row>
    <row r="2019" spans="1:5" x14ac:dyDescent="0.15">
      <c r="A2019" s="7">
        <v>2012</v>
      </c>
      <c r="B2019" s="7">
        <v>0</v>
      </c>
      <c r="C2019" s="7">
        <f t="shared" si="97"/>
        <v>0.75583605794746755</v>
      </c>
      <c r="D2019" s="7">
        <f t="shared" si="98"/>
        <v>0.75586047434167281</v>
      </c>
      <c r="E2019" s="7">
        <f t="shared" si="99"/>
        <v>-0.27989847758459119</v>
      </c>
    </row>
    <row r="2020" spans="1:5" x14ac:dyDescent="0.15">
      <c r="A2020" s="7">
        <v>2013</v>
      </c>
      <c r="B2020" s="7">
        <v>0</v>
      </c>
      <c r="C2020" s="7">
        <f t="shared" si="97"/>
        <v>0.75583605794746755</v>
      </c>
      <c r="D2020" s="7">
        <f t="shared" si="98"/>
        <v>0.75586047434167281</v>
      </c>
      <c r="E2020" s="7">
        <f t="shared" si="99"/>
        <v>-0.27989847758459119</v>
      </c>
    </row>
    <row r="2021" spans="1:5" x14ac:dyDescent="0.15">
      <c r="A2021" s="7">
        <v>2014</v>
      </c>
      <c r="B2021" s="7">
        <v>2</v>
      </c>
      <c r="C2021" s="7">
        <f t="shared" si="97"/>
        <v>4.4066701399555049E-2</v>
      </c>
      <c r="D2021" s="7">
        <f t="shared" si="98"/>
        <v>4.4062294729415093E-2</v>
      </c>
      <c r="E2021" s="7">
        <f t="shared" si="99"/>
        <v>-3.1221508570437044</v>
      </c>
    </row>
    <row r="2022" spans="1:5" x14ac:dyDescent="0.15">
      <c r="A2022" s="7">
        <v>2015</v>
      </c>
      <c r="B2022" s="7">
        <v>0</v>
      </c>
      <c r="C2022" s="7">
        <f t="shared" si="97"/>
        <v>0.75583605794746755</v>
      </c>
      <c r="D2022" s="7">
        <f t="shared" si="98"/>
        <v>0.75586047434167281</v>
      </c>
      <c r="E2022" s="7">
        <f t="shared" si="99"/>
        <v>-0.27989847758459119</v>
      </c>
    </row>
    <row r="2023" spans="1:5" x14ac:dyDescent="0.15">
      <c r="A2023" s="7">
        <v>2016</v>
      </c>
      <c r="B2023" s="7">
        <v>2</v>
      </c>
      <c r="C2023" s="7">
        <f t="shared" si="97"/>
        <v>4.4066701399555049E-2</v>
      </c>
      <c r="D2023" s="7">
        <f t="shared" si="98"/>
        <v>4.4062294729415093E-2</v>
      </c>
      <c r="E2023" s="7">
        <f t="shared" si="99"/>
        <v>-3.1221508570437044</v>
      </c>
    </row>
    <row r="2024" spans="1:5" x14ac:dyDescent="0.15">
      <c r="A2024" s="7">
        <v>2017</v>
      </c>
      <c r="B2024" s="7">
        <v>0</v>
      </c>
      <c r="C2024" s="7">
        <f t="shared" si="97"/>
        <v>0.75583605794746755</v>
      </c>
      <c r="D2024" s="7">
        <f t="shared" si="98"/>
        <v>0.75586047434167281</v>
      </c>
      <c r="E2024" s="7">
        <f t="shared" si="99"/>
        <v>-0.27989847758459119</v>
      </c>
    </row>
    <row r="2025" spans="1:5" x14ac:dyDescent="0.15">
      <c r="A2025" s="7">
        <v>2018</v>
      </c>
      <c r="B2025" s="7">
        <v>0</v>
      </c>
      <c r="C2025" s="7">
        <f t="shared" si="97"/>
        <v>0.75583605794746755</v>
      </c>
      <c r="D2025" s="7">
        <f t="shared" si="98"/>
        <v>0.75586047434167281</v>
      </c>
      <c r="E2025" s="7">
        <f t="shared" si="99"/>
        <v>-0.27989847758459119</v>
      </c>
    </row>
    <row r="2026" spans="1:5" x14ac:dyDescent="0.15">
      <c r="A2026" s="7">
        <v>2019</v>
      </c>
      <c r="B2026" s="7">
        <v>0</v>
      </c>
      <c r="C2026" s="7">
        <f t="shared" si="97"/>
        <v>0.75583605794746755</v>
      </c>
      <c r="D2026" s="7">
        <f t="shared" si="98"/>
        <v>0.75586047434167281</v>
      </c>
      <c r="E2026" s="7">
        <f t="shared" si="99"/>
        <v>-0.27989847758459119</v>
      </c>
    </row>
    <row r="2027" spans="1:5" x14ac:dyDescent="0.15">
      <c r="A2027" s="7">
        <v>2020</v>
      </c>
      <c r="B2027" s="7">
        <v>0</v>
      </c>
      <c r="C2027" s="7">
        <f t="shared" si="97"/>
        <v>0.75583605794746755</v>
      </c>
      <c r="D2027" s="7">
        <f t="shared" si="98"/>
        <v>0.75586047434167281</v>
      </c>
      <c r="E2027" s="7">
        <f t="shared" si="99"/>
        <v>-0.27989847758459119</v>
      </c>
    </row>
    <row r="2028" spans="1:5" x14ac:dyDescent="0.15">
      <c r="A2028" s="7">
        <v>2021</v>
      </c>
      <c r="B2028" s="7">
        <v>0</v>
      </c>
      <c r="C2028" s="7">
        <f t="shared" si="97"/>
        <v>0.75583605794746755</v>
      </c>
      <c r="D2028" s="7">
        <f t="shared" si="98"/>
        <v>0.75586047434167281</v>
      </c>
      <c r="E2028" s="7">
        <f t="shared" si="99"/>
        <v>-0.27989847758459119</v>
      </c>
    </row>
    <row r="2029" spans="1:5" x14ac:dyDescent="0.15">
      <c r="A2029" s="7">
        <v>2022</v>
      </c>
      <c r="B2029" s="7">
        <v>0</v>
      </c>
      <c r="C2029" s="7">
        <f t="shared" si="97"/>
        <v>0.75583605794746755</v>
      </c>
      <c r="D2029" s="7">
        <f t="shared" si="98"/>
        <v>0.75586047434167281</v>
      </c>
      <c r="E2029" s="7">
        <f t="shared" si="99"/>
        <v>-0.27989847758459119</v>
      </c>
    </row>
    <row r="2030" spans="1:5" x14ac:dyDescent="0.15">
      <c r="A2030" s="7">
        <v>2023</v>
      </c>
      <c r="B2030" s="7">
        <v>0</v>
      </c>
      <c r="C2030" s="7">
        <f t="shared" si="97"/>
        <v>0.75583605794746755</v>
      </c>
      <c r="D2030" s="7">
        <f t="shared" si="98"/>
        <v>0.75586047434167281</v>
      </c>
      <c r="E2030" s="7">
        <f t="shared" si="99"/>
        <v>-0.27989847758459119</v>
      </c>
    </row>
    <row r="2031" spans="1:5" x14ac:dyDescent="0.15">
      <c r="A2031" s="7">
        <v>2024</v>
      </c>
      <c r="B2031" s="7">
        <v>0</v>
      </c>
      <c r="C2031" s="7">
        <f t="shared" si="97"/>
        <v>0.75583605794746755</v>
      </c>
      <c r="D2031" s="7">
        <f t="shared" si="98"/>
        <v>0.75586047434167281</v>
      </c>
      <c r="E2031" s="7">
        <f t="shared" si="99"/>
        <v>-0.27989847758459119</v>
      </c>
    </row>
    <row r="2032" spans="1:5" x14ac:dyDescent="0.15">
      <c r="A2032" s="7">
        <v>2025</v>
      </c>
      <c r="B2032" s="7">
        <v>4</v>
      </c>
      <c r="C2032" s="7">
        <f t="shared" si="97"/>
        <v>1.8863004210024691E-2</v>
      </c>
      <c r="D2032" s="7">
        <f t="shared" si="98"/>
        <v>1.8861117909603688E-2</v>
      </c>
      <c r="E2032" s="7">
        <f t="shared" si="99"/>
        <v>-3.9706527294293466</v>
      </c>
    </row>
    <row r="2033" spans="1:5" x14ac:dyDescent="0.15">
      <c r="A2033" s="7">
        <v>2026</v>
      </c>
      <c r="B2033" s="7">
        <v>0</v>
      </c>
      <c r="C2033" s="7">
        <f t="shared" si="97"/>
        <v>0.75583605794746755</v>
      </c>
      <c r="D2033" s="7">
        <f t="shared" si="98"/>
        <v>0.75586047434167281</v>
      </c>
      <c r="E2033" s="7">
        <f t="shared" si="99"/>
        <v>-0.27989847758459119</v>
      </c>
    </row>
    <row r="2034" spans="1:5" x14ac:dyDescent="0.15">
      <c r="A2034" s="7">
        <v>2027</v>
      </c>
      <c r="B2034" s="7">
        <v>0</v>
      </c>
      <c r="C2034" s="7">
        <f t="shared" si="97"/>
        <v>0.75583605794746755</v>
      </c>
      <c r="D2034" s="7">
        <f t="shared" si="98"/>
        <v>0.75586047434167281</v>
      </c>
      <c r="E2034" s="7">
        <f t="shared" si="99"/>
        <v>-0.27989847758459119</v>
      </c>
    </row>
    <row r="2035" spans="1:5" x14ac:dyDescent="0.15">
      <c r="A2035" s="7">
        <v>2028</v>
      </c>
      <c r="B2035" s="7">
        <v>0</v>
      </c>
      <c r="C2035" s="7">
        <f t="shared" si="97"/>
        <v>0.75583605794746755</v>
      </c>
      <c r="D2035" s="7">
        <f t="shared" si="98"/>
        <v>0.75586047434167281</v>
      </c>
      <c r="E2035" s="7">
        <f t="shared" si="99"/>
        <v>-0.27989847758459119</v>
      </c>
    </row>
    <row r="2036" spans="1:5" x14ac:dyDescent="0.15">
      <c r="A2036" s="7">
        <v>2029</v>
      </c>
      <c r="B2036" s="7">
        <v>0</v>
      </c>
      <c r="C2036" s="7">
        <f t="shared" si="97"/>
        <v>0.75583605794746755</v>
      </c>
      <c r="D2036" s="7">
        <f t="shared" si="98"/>
        <v>0.75586047434167281</v>
      </c>
      <c r="E2036" s="7">
        <f t="shared" si="99"/>
        <v>-0.27989847758459119</v>
      </c>
    </row>
    <row r="2037" spans="1:5" x14ac:dyDescent="0.15">
      <c r="A2037" s="7">
        <v>2030</v>
      </c>
      <c r="B2037" s="7">
        <v>0</v>
      </c>
      <c r="C2037" s="7">
        <f t="shared" si="97"/>
        <v>0.75583605794746755</v>
      </c>
      <c r="D2037" s="7">
        <f t="shared" si="98"/>
        <v>0.75586047434167281</v>
      </c>
      <c r="E2037" s="7">
        <f t="shared" si="99"/>
        <v>-0.27989847758459119</v>
      </c>
    </row>
    <row r="2038" spans="1:5" x14ac:dyDescent="0.15">
      <c r="A2038" s="7">
        <v>2031</v>
      </c>
      <c r="B2038" s="7">
        <v>0</v>
      </c>
      <c r="C2038" s="7">
        <f t="shared" si="97"/>
        <v>0.75583605794746755</v>
      </c>
      <c r="D2038" s="7">
        <f t="shared" si="98"/>
        <v>0.75586047434167281</v>
      </c>
      <c r="E2038" s="7">
        <f t="shared" si="99"/>
        <v>-0.27989847758459119</v>
      </c>
    </row>
    <row r="2039" spans="1:5" x14ac:dyDescent="0.15">
      <c r="A2039" s="7">
        <v>2032</v>
      </c>
      <c r="B2039" s="7">
        <v>0</v>
      </c>
      <c r="C2039" s="7">
        <f t="shared" si="97"/>
        <v>0.75583605794746755</v>
      </c>
      <c r="D2039" s="7">
        <f t="shared" si="98"/>
        <v>0.75586047434167281</v>
      </c>
      <c r="E2039" s="7">
        <f t="shared" si="99"/>
        <v>-0.27989847758459119</v>
      </c>
    </row>
    <row r="2040" spans="1:5" x14ac:dyDescent="0.15">
      <c r="A2040" s="7">
        <v>2033</v>
      </c>
      <c r="B2040" s="7">
        <v>0</v>
      </c>
      <c r="C2040" s="7">
        <f t="shared" si="97"/>
        <v>0.75583605794746755</v>
      </c>
      <c r="D2040" s="7">
        <f t="shared" si="98"/>
        <v>0.75586047434167281</v>
      </c>
      <c r="E2040" s="7">
        <f t="shared" si="99"/>
        <v>-0.27989847758459119</v>
      </c>
    </row>
    <row r="2041" spans="1:5" x14ac:dyDescent="0.15">
      <c r="A2041" s="7">
        <v>2034</v>
      </c>
      <c r="B2041" s="7">
        <v>0</v>
      </c>
      <c r="C2041" s="7">
        <f t="shared" si="97"/>
        <v>0.75583605794746755</v>
      </c>
      <c r="D2041" s="7">
        <f t="shared" si="98"/>
        <v>0.75586047434167281</v>
      </c>
      <c r="E2041" s="7">
        <f t="shared" si="99"/>
        <v>-0.27989847758459119</v>
      </c>
    </row>
    <row r="2042" spans="1:5" x14ac:dyDescent="0.15">
      <c r="A2042" s="7">
        <v>2035</v>
      </c>
      <c r="B2042" s="7">
        <v>1</v>
      </c>
      <c r="C2042" s="7">
        <f t="shared" si="97"/>
        <v>8.8686757970141181E-2</v>
      </c>
      <c r="D2042" s="7">
        <f t="shared" si="98"/>
        <v>8.867788929434417E-2</v>
      </c>
      <c r="E2042" s="7">
        <f t="shared" si="99"/>
        <v>-2.4227446958891354</v>
      </c>
    </row>
    <row r="2043" spans="1:5" x14ac:dyDescent="0.15">
      <c r="A2043" s="7">
        <v>2036</v>
      </c>
      <c r="B2043" s="7">
        <v>0</v>
      </c>
      <c r="C2043" s="7">
        <f t="shared" si="97"/>
        <v>0.75583605794746755</v>
      </c>
      <c r="D2043" s="7">
        <f t="shared" si="98"/>
        <v>0.75586047434167281</v>
      </c>
      <c r="E2043" s="7">
        <f t="shared" si="99"/>
        <v>-0.27989847758459119</v>
      </c>
    </row>
    <row r="2044" spans="1:5" x14ac:dyDescent="0.15">
      <c r="A2044" s="7">
        <v>2037</v>
      </c>
      <c r="B2044" s="7">
        <v>2</v>
      </c>
      <c r="C2044" s="7">
        <f t="shared" si="97"/>
        <v>4.4066701399555049E-2</v>
      </c>
      <c r="D2044" s="7">
        <f t="shared" si="98"/>
        <v>4.4062294729415093E-2</v>
      </c>
      <c r="E2044" s="7">
        <f t="shared" si="99"/>
        <v>-3.1221508570437044</v>
      </c>
    </row>
    <row r="2045" spans="1:5" x14ac:dyDescent="0.15">
      <c r="A2045" s="7">
        <v>2038</v>
      </c>
      <c r="B2045" s="7">
        <v>0</v>
      </c>
      <c r="C2045" s="7">
        <f t="shared" si="97"/>
        <v>0.75583605794746755</v>
      </c>
      <c r="D2045" s="7">
        <f t="shared" si="98"/>
        <v>0.75586047434167281</v>
      </c>
      <c r="E2045" s="7">
        <f t="shared" si="99"/>
        <v>-0.27989847758459119</v>
      </c>
    </row>
    <row r="2046" spans="1:5" x14ac:dyDescent="0.15">
      <c r="A2046" s="7">
        <v>2039</v>
      </c>
      <c r="B2046" s="7">
        <v>0</v>
      </c>
      <c r="C2046" s="7">
        <f t="shared" si="97"/>
        <v>0.75583605794746755</v>
      </c>
      <c r="D2046" s="7">
        <f t="shared" si="98"/>
        <v>0.75586047434167281</v>
      </c>
      <c r="E2046" s="7">
        <f t="shared" si="99"/>
        <v>-0.27989847758459119</v>
      </c>
    </row>
    <row r="2047" spans="1:5" x14ac:dyDescent="0.15">
      <c r="A2047" s="7">
        <v>2040</v>
      </c>
      <c r="B2047" s="7">
        <v>1</v>
      </c>
      <c r="C2047" s="7">
        <f t="shared" si="97"/>
        <v>8.8686757970141181E-2</v>
      </c>
      <c r="D2047" s="7">
        <f t="shared" si="98"/>
        <v>8.867788929434417E-2</v>
      </c>
      <c r="E2047" s="7">
        <f t="shared" si="99"/>
        <v>-2.4227446958891354</v>
      </c>
    </row>
    <row r="2048" spans="1:5" x14ac:dyDescent="0.15">
      <c r="A2048" s="7">
        <v>2041</v>
      </c>
      <c r="B2048" s="7">
        <v>0</v>
      </c>
      <c r="C2048" s="7">
        <f t="shared" si="97"/>
        <v>0.75583605794746755</v>
      </c>
      <c r="D2048" s="7">
        <f t="shared" si="98"/>
        <v>0.75586047434167281</v>
      </c>
      <c r="E2048" s="7">
        <f t="shared" si="99"/>
        <v>-0.27989847758459119</v>
      </c>
    </row>
    <row r="2049" spans="1:5" x14ac:dyDescent="0.15">
      <c r="A2049" s="7">
        <v>2042</v>
      </c>
      <c r="B2049" s="7">
        <v>1</v>
      </c>
      <c r="C2049" s="7">
        <f t="shared" si="97"/>
        <v>8.8686757970141181E-2</v>
      </c>
      <c r="D2049" s="7">
        <f t="shared" si="98"/>
        <v>8.867788929434417E-2</v>
      </c>
      <c r="E2049" s="7">
        <f t="shared" si="99"/>
        <v>-2.4227446958891354</v>
      </c>
    </row>
    <row r="2050" spans="1:5" x14ac:dyDescent="0.15">
      <c r="A2050" s="7">
        <v>2043</v>
      </c>
      <c r="B2050" s="7">
        <v>0</v>
      </c>
      <c r="C2050" s="7">
        <f t="shared" si="97"/>
        <v>0.75583605794746755</v>
      </c>
      <c r="D2050" s="7">
        <f t="shared" si="98"/>
        <v>0.75586047434167281</v>
      </c>
      <c r="E2050" s="7">
        <f t="shared" si="99"/>
        <v>-0.27989847758459119</v>
      </c>
    </row>
    <row r="2051" spans="1:5" x14ac:dyDescent="0.15">
      <c r="A2051" s="7">
        <v>2044</v>
      </c>
      <c r="B2051" s="7">
        <v>0</v>
      </c>
      <c r="C2051" s="7">
        <f t="shared" si="97"/>
        <v>0.75583605794746755</v>
      </c>
      <c r="D2051" s="7">
        <f t="shared" si="98"/>
        <v>0.75586047434167281</v>
      </c>
      <c r="E2051" s="7">
        <f t="shared" si="99"/>
        <v>-0.27989847758459119</v>
      </c>
    </row>
    <row r="2052" spans="1:5" x14ac:dyDescent="0.15">
      <c r="A2052" s="7">
        <v>2045</v>
      </c>
      <c r="B2052" s="7">
        <v>1</v>
      </c>
      <c r="C2052" s="7">
        <f t="shared" si="97"/>
        <v>8.8686757970141181E-2</v>
      </c>
      <c r="D2052" s="7">
        <f t="shared" si="98"/>
        <v>8.867788929434417E-2</v>
      </c>
      <c r="E2052" s="7">
        <f t="shared" si="99"/>
        <v>-2.4227446958891354</v>
      </c>
    </row>
    <row r="2053" spans="1:5" x14ac:dyDescent="0.15">
      <c r="A2053" s="7">
        <v>2046</v>
      </c>
      <c r="B2053" s="7">
        <v>2</v>
      </c>
      <c r="C2053" s="7">
        <f t="shared" si="97"/>
        <v>4.4066701399555049E-2</v>
      </c>
      <c r="D2053" s="7">
        <f t="shared" si="98"/>
        <v>4.4062294729415093E-2</v>
      </c>
      <c r="E2053" s="7">
        <f t="shared" si="99"/>
        <v>-3.1221508570437044</v>
      </c>
    </row>
    <row r="2054" spans="1:5" x14ac:dyDescent="0.15">
      <c r="A2054" s="7">
        <v>2047</v>
      </c>
      <c r="B2054" s="7">
        <v>0</v>
      </c>
      <c r="C2054" s="7">
        <f t="shared" si="97"/>
        <v>0.75583605794746755</v>
      </c>
      <c r="D2054" s="7">
        <f t="shared" si="98"/>
        <v>0.75586047434167281</v>
      </c>
      <c r="E2054" s="7">
        <f t="shared" si="99"/>
        <v>-0.27989847758459119</v>
      </c>
    </row>
    <row r="2055" spans="1:5" x14ac:dyDescent="0.15">
      <c r="A2055" s="7">
        <v>2048</v>
      </c>
      <c r="B2055" s="7">
        <v>0</v>
      </c>
      <c r="C2055" s="7">
        <f t="shared" si="97"/>
        <v>0.75583605794746755</v>
      </c>
      <c r="D2055" s="7">
        <f t="shared" si="98"/>
        <v>0.75586047434167281</v>
      </c>
      <c r="E2055" s="7">
        <f t="shared" si="99"/>
        <v>-0.27989847758459119</v>
      </c>
    </row>
    <row r="2056" spans="1:5" x14ac:dyDescent="0.15">
      <c r="A2056" s="7">
        <v>2049</v>
      </c>
      <c r="B2056" s="7">
        <v>0</v>
      </c>
      <c r="C2056" s="7">
        <f t="shared" si="97"/>
        <v>0.75583605794746755</v>
      </c>
      <c r="D2056" s="7">
        <f t="shared" si="98"/>
        <v>0.75586047434167281</v>
      </c>
      <c r="E2056" s="7">
        <f t="shared" si="99"/>
        <v>-0.27989847758459119</v>
      </c>
    </row>
    <row r="2057" spans="1:5" x14ac:dyDescent="0.15">
      <c r="A2057" s="7">
        <v>2050</v>
      </c>
      <c r="B2057" s="7">
        <v>0</v>
      </c>
      <c r="C2057" s="7">
        <f t="shared" ref="C2057:C2120" si="100">(_xlfn.GAMMA($B$1+B2057)/(_xlfn.GAMMA($B$1)*FACT(B2057))) * ($B$2/($B$2+$B$5))^$B$1 * (1/($B$2 +$B$5))^B2057</f>
        <v>0.75583605794746755</v>
      </c>
      <c r="D2057" s="7">
        <f t="shared" ref="D2057:D2120" si="101" xml:space="preserve"> IF(B2057 = 0, $B$3 + (1-$B$3) * C2057, (1-$B$3) *C2057)</f>
        <v>0.75586047434167281</v>
      </c>
      <c r="E2057" s="7">
        <f t="shared" ref="E2057:E2120" si="102">LN(D2057)</f>
        <v>-0.27989847758459119</v>
      </c>
    </row>
    <row r="2058" spans="1:5" x14ac:dyDescent="0.15">
      <c r="A2058" s="7">
        <v>2051</v>
      </c>
      <c r="B2058" s="7">
        <v>0</v>
      </c>
      <c r="C2058" s="7">
        <f t="shared" si="100"/>
        <v>0.75583605794746755</v>
      </c>
      <c r="D2058" s="7">
        <f t="shared" si="101"/>
        <v>0.75586047434167281</v>
      </c>
      <c r="E2058" s="7">
        <f t="shared" si="102"/>
        <v>-0.27989847758459119</v>
      </c>
    </row>
    <row r="2059" spans="1:5" x14ac:dyDescent="0.15">
      <c r="A2059" s="7">
        <v>2052</v>
      </c>
      <c r="B2059" s="7">
        <v>0</v>
      </c>
      <c r="C2059" s="7">
        <f t="shared" si="100"/>
        <v>0.75583605794746755</v>
      </c>
      <c r="D2059" s="7">
        <f t="shared" si="101"/>
        <v>0.75586047434167281</v>
      </c>
      <c r="E2059" s="7">
        <f t="shared" si="102"/>
        <v>-0.27989847758459119</v>
      </c>
    </row>
    <row r="2060" spans="1:5" x14ac:dyDescent="0.15">
      <c r="A2060" s="7">
        <v>2053</v>
      </c>
      <c r="B2060" s="7">
        <v>0</v>
      </c>
      <c r="C2060" s="7">
        <f t="shared" si="100"/>
        <v>0.75583605794746755</v>
      </c>
      <c r="D2060" s="7">
        <f t="shared" si="101"/>
        <v>0.75586047434167281</v>
      </c>
      <c r="E2060" s="7">
        <f t="shared" si="102"/>
        <v>-0.27989847758459119</v>
      </c>
    </row>
    <row r="2061" spans="1:5" x14ac:dyDescent="0.15">
      <c r="A2061" s="7">
        <v>2054</v>
      </c>
      <c r="B2061" s="7">
        <v>0</v>
      </c>
      <c r="C2061" s="7">
        <f t="shared" si="100"/>
        <v>0.75583605794746755</v>
      </c>
      <c r="D2061" s="7">
        <f t="shared" si="101"/>
        <v>0.75586047434167281</v>
      </c>
      <c r="E2061" s="7">
        <f t="shared" si="102"/>
        <v>-0.27989847758459119</v>
      </c>
    </row>
    <row r="2062" spans="1:5" x14ac:dyDescent="0.15">
      <c r="A2062" s="7">
        <v>2055</v>
      </c>
      <c r="B2062" s="7">
        <v>0</v>
      </c>
      <c r="C2062" s="7">
        <f t="shared" si="100"/>
        <v>0.75583605794746755</v>
      </c>
      <c r="D2062" s="7">
        <f t="shared" si="101"/>
        <v>0.75586047434167281</v>
      </c>
      <c r="E2062" s="7">
        <f t="shared" si="102"/>
        <v>-0.27989847758459119</v>
      </c>
    </row>
    <row r="2063" spans="1:5" x14ac:dyDescent="0.15">
      <c r="A2063" s="7">
        <v>2056</v>
      </c>
      <c r="B2063" s="7">
        <v>0</v>
      </c>
      <c r="C2063" s="7">
        <f t="shared" si="100"/>
        <v>0.75583605794746755</v>
      </c>
      <c r="D2063" s="7">
        <f t="shared" si="101"/>
        <v>0.75586047434167281</v>
      </c>
      <c r="E2063" s="7">
        <f t="shared" si="102"/>
        <v>-0.27989847758459119</v>
      </c>
    </row>
    <row r="2064" spans="1:5" x14ac:dyDescent="0.15">
      <c r="A2064" s="7">
        <v>2057</v>
      </c>
      <c r="B2064" s="7">
        <v>0</v>
      </c>
      <c r="C2064" s="7">
        <f t="shared" si="100"/>
        <v>0.75583605794746755</v>
      </c>
      <c r="D2064" s="7">
        <f t="shared" si="101"/>
        <v>0.75586047434167281</v>
      </c>
      <c r="E2064" s="7">
        <f t="shared" si="102"/>
        <v>-0.27989847758459119</v>
      </c>
    </row>
    <row r="2065" spans="1:5" x14ac:dyDescent="0.15">
      <c r="A2065" s="7">
        <v>2058</v>
      </c>
      <c r="B2065" s="7">
        <v>0</v>
      </c>
      <c r="C2065" s="7">
        <f t="shared" si="100"/>
        <v>0.75583605794746755</v>
      </c>
      <c r="D2065" s="7">
        <f t="shared" si="101"/>
        <v>0.75586047434167281</v>
      </c>
      <c r="E2065" s="7">
        <f t="shared" si="102"/>
        <v>-0.27989847758459119</v>
      </c>
    </row>
    <row r="2066" spans="1:5" x14ac:dyDescent="0.15">
      <c r="A2066" s="7">
        <v>2059</v>
      </c>
      <c r="B2066" s="7">
        <v>0</v>
      </c>
      <c r="C2066" s="7">
        <f t="shared" si="100"/>
        <v>0.75583605794746755</v>
      </c>
      <c r="D2066" s="7">
        <f t="shared" si="101"/>
        <v>0.75586047434167281</v>
      </c>
      <c r="E2066" s="7">
        <f t="shared" si="102"/>
        <v>-0.27989847758459119</v>
      </c>
    </row>
    <row r="2067" spans="1:5" x14ac:dyDescent="0.15">
      <c r="A2067" s="7">
        <v>2060</v>
      </c>
      <c r="B2067" s="7">
        <v>0</v>
      </c>
      <c r="C2067" s="7">
        <f t="shared" si="100"/>
        <v>0.75583605794746755</v>
      </c>
      <c r="D2067" s="7">
        <f t="shared" si="101"/>
        <v>0.75586047434167281</v>
      </c>
      <c r="E2067" s="7">
        <f t="shared" si="102"/>
        <v>-0.27989847758459119</v>
      </c>
    </row>
    <row r="2068" spans="1:5" x14ac:dyDescent="0.15">
      <c r="A2068" s="7">
        <v>2061</v>
      </c>
      <c r="B2068" s="7">
        <v>0</v>
      </c>
      <c r="C2068" s="7">
        <f t="shared" si="100"/>
        <v>0.75583605794746755</v>
      </c>
      <c r="D2068" s="7">
        <f t="shared" si="101"/>
        <v>0.75586047434167281</v>
      </c>
      <c r="E2068" s="7">
        <f t="shared" si="102"/>
        <v>-0.27989847758459119</v>
      </c>
    </row>
    <row r="2069" spans="1:5" x14ac:dyDescent="0.15">
      <c r="A2069" s="7">
        <v>2062</v>
      </c>
      <c r="B2069" s="7">
        <v>0</v>
      </c>
      <c r="C2069" s="7">
        <f t="shared" si="100"/>
        <v>0.75583605794746755</v>
      </c>
      <c r="D2069" s="7">
        <f t="shared" si="101"/>
        <v>0.75586047434167281</v>
      </c>
      <c r="E2069" s="7">
        <f t="shared" si="102"/>
        <v>-0.27989847758459119</v>
      </c>
    </row>
    <row r="2070" spans="1:5" x14ac:dyDescent="0.15">
      <c r="A2070" s="7">
        <v>2063</v>
      </c>
      <c r="B2070" s="7">
        <v>0</v>
      </c>
      <c r="C2070" s="7">
        <f t="shared" si="100"/>
        <v>0.75583605794746755</v>
      </c>
      <c r="D2070" s="7">
        <f t="shared" si="101"/>
        <v>0.75586047434167281</v>
      </c>
      <c r="E2070" s="7">
        <f t="shared" si="102"/>
        <v>-0.27989847758459119</v>
      </c>
    </row>
    <row r="2071" spans="1:5" x14ac:dyDescent="0.15">
      <c r="A2071" s="7">
        <v>2064</v>
      </c>
      <c r="B2071" s="7">
        <v>4</v>
      </c>
      <c r="C2071" s="7">
        <f t="shared" si="100"/>
        <v>1.8863004210024691E-2</v>
      </c>
      <c r="D2071" s="7">
        <f t="shared" si="101"/>
        <v>1.8861117909603688E-2</v>
      </c>
      <c r="E2071" s="7">
        <f t="shared" si="102"/>
        <v>-3.9706527294293466</v>
      </c>
    </row>
    <row r="2072" spans="1:5" x14ac:dyDescent="0.15">
      <c r="A2072" s="7">
        <v>2065</v>
      </c>
      <c r="B2072" s="7">
        <v>0</v>
      </c>
      <c r="C2072" s="7">
        <f t="shared" si="100"/>
        <v>0.75583605794746755</v>
      </c>
      <c r="D2072" s="7">
        <f t="shared" si="101"/>
        <v>0.75586047434167281</v>
      </c>
      <c r="E2072" s="7">
        <f t="shared" si="102"/>
        <v>-0.27989847758459119</v>
      </c>
    </row>
    <row r="2073" spans="1:5" x14ac:dyDescent="0.15">
      <c r="A2073" s="7">
        <v>2066</v>
      </c>
      <c r="B2073" s="7">
        <v>0</v>
      </c>
      <c r="C2073" s="7">
        <f t="shared" si="100"/>
        <v>0.75583605794746755</v>
      </c>
      <c r="D2073" s="7">
        <f t="shared" si="101"/>
        <v>0.75586047434167281</v>
      </c>
      <c r="E2073" s="7">
        <f t="shared" si="102"/>
        <v>-0.27989847758459119</v>
      </c>
    </row>
    <row r="2074" spans="1:5" x14ac:dyDescent="0.15">
      <c r="A2074" s="7">
        <v>2067</v>
      </c>
      <c r="B2074" s="7">
        <v>1</v>
      </c>
      <c r="C2074" s="7">
        <f t="shared" si="100"/>
        <v>8.8686757970141181E-2</v>
      </c>
      <c r="D2074" s="7">
        <f t="shared" si="101"/>
        <v>8.867788929434417E-2</v>
      </c>
      <c r="E2074" s="7">
        <f t="shared" si="102"/>
        <v>-2.4227446958891354</v>
      </c>
    </row>
    <row r="2075" spans="1:5" x14ac:dyDescent="0.15">
      <c r="A2075" s="7">
        <v>2068</v>
      </c>
      <c r="B2075" s="7">
        <v>1</v>
      </c>
      <c r="C2075" s="7">
        <f t="shared" si="100"/>
        <v>8.8686757970141181E-2</v>
      </c>
      <c r="D2075" s="7">
        <f t="shared" si="101"/>
        <v>8.867788929434417E-2</v>
      </c>
      <c r="E2075" s="7">
        <f t="shared" si="102"/>
        <v>-2.4227446958891354</v>
      </c>
    </row>
    <row r="2076" spans="1:5" x14ac:dyDescent="0.15">
      <c r="A2076" s="7">
        <v>2069</v>
      </c>
      <c r="B2076" s="7">
        <v>2</v>
      </c>
      <c r="C2076" s="7">
        <f t="shared" si="100"/>
        <v>4.4066701399555049E-2</v>
      </c>
      <c r="D2076" s="7">
        <f t="shared" si="101"/>
        <v>4.4062294729415093E-2</v>
      </c>
      <c r="E2076" s="7">
        <f t="shared" si="102"/>
        <v>-3.1221508570437044</v>
      </c>
    </row>
    <row r="2077" spans="1:5" x14ac:dyDescent="0.15">
      <c r="A2077" s="7">
        <v>2070</v>
      </c>
      <c r="B2077" s="7">
        <v>18</v>
      </c>
      <c r="C2077" s="7">
        <f t="shared" si="100"/>
        <v>8.183216576339293E-4</v>
      </c>
      <c r="D2077" s="7">
        <f t="shared" si="101"/>
        <v>8.1823982546816595E-4</v>
      </c>
      <c r="E2077" s="7">
        <f t="shared" si="102"/>
        <v>-7.108355079162993</v>
      </c>
    </row>
    <row r="2078" spans="1:5" x14ac:dyDescent="0.15">
      <c r="A2078" s="7">
        <v>2071</v>
      </c>
      <c r="B2078" s="7">
        <v>0</v>
      </c>
      <c r="C2078" s="7">
        <f t="shared" si="100"/>
        <v>0.75583605794746755</v>
      </c>
      <c r="D2078" s="7">
        <f t="shared" si="101"/>
        <v>0.75586047434167281</v>
      </c>
      <c r="E2078" s="7">
        <f t="shared" si="102"/>
        <v>-0.27989847758459119</v>
      </c>
    </row>
    <row r="2079" spans="1:5" x14ac:dyDescent="0.15">
      <c r="A2079" s="7">
        <v>2072</v>
      </c>
      <c r="B2079" s="7">
        <v>7</v>
      </c>
      <c r="C2079" s="7">
        <f t="shared" si="100"/>
        <v>7.8718020395525893E-3</v>
      </c>
      <c r="D2079" s="7">
        <f t="shared" si="101"/>
        <v>7.8710148593486347E-3</v>
      </c>
      <c r="E2079" s="7">
        <f t="shared" si="102"/>
        <v>-4.8445682719632792</v>
      </c>
    </row>
    <row r="2080" spans="1:5" x14ac:dyDescent="0.15">
      <c r="A2080" s="7">
        <v>2073</v>
      </c>
      <c r="B2080" s="7">
        <v>1</v>
      </c>
      <c r="C2080" s="7">
        <f t="shared" si="100"/>
        <v>8.8686757970141181E-2</v>
      </c>
      <c r="D2080" s="7">
        <f t="shared" si="101"/>
        <v>8.867788929434417E-2</v>
      </c>
      <c r="E2080" s="7">
        <f t="shared" si="102"/>
        <v>-2.4227446958891354</v>
      </c>
    </row>
    <row r="2081" spans="1:5" x14ac:dyDescent="0.15">
      <c r="A2081" s="7">
        <v>2074</v>
      </c>
      <c r="B2081" s="7">
        <v>0</v>
      </c>
      <c r="C2081" s="7">
        <f t="shared" si="100"/>
        <v>0.75583605794746755</v>
      </c>
      <c r="D2081" s="7">
        <f t="shared" si="101"/>
        <v>0.75586047434167281</v>
      </c>
      <c r="E2081" s="7">
        <f t="shared" si="102"/>
        <v>-0.27989847758459119</v>
      </c>
    </row>
    <row r="2082" spans="1:5" x14ac:dyDescent="0.15">
      <c r="A2082" s="7">
        <v>2075</v>
      </c>
      <c r="B2082" s="7">
        <v>0</v>
      </c>
      <c r="C2082" s="7">
        <f t="shared" si="100"/>
        <v>0.75583605794746755</v>
      </c>
      <c r="D2082" s="7">
        <f t="shared" si="101"/>
        <v>0.75586047434167281</v>
      </c>
      <c r="E2082" s="7">
        <f t="shared" si="102"/>
        <v>-0.27989847758459119</v>
      </c>
    </row>
    <row r="2083" spans="1:5" x14ac:dyDescent="0.15">
      <c r="A2083" s="7">
        <v>2076</v>
      </c>
      <c r="B2083" s="7">
        <v>0</v>
      </c>
      <c r="C2083" s="7">
        <f t="shared" si="100"/>
        <v>0.75583605794746755</v>
      </c>
      <c r="D2083" s="7">
        <f t="shared" si="101"/>
        <v>0.75586047434167281</v>
      </c>
      <c r="E2083" s="7">
        <f t="shared" si="102"/>
        <v>-0.27989847758459119</v>
      </c>
    </row>
    <row r="2084" spans="1:5" x14ac:dyDescent="0.15">
      <c r="A2084" s="7">
        <v>2077</v>
      </c>
      <c r="B2084" s="7">
        <v>0</v>
      </c>
      <c r="C2084" s="7">
        <f t="shared" si="100"/>
        <v>0.75583605794746755</v>
      </c>
      <c r="D2084" s="7">
        <f t="shared" si="101"/>
        <v>0.75586047434167281</v>
      </c>
      <c r="E2084" s="7">
        <f t="shared" si="102"/>
        <v>-0.27989847758459119</v>
      </c>
    </row>
    <row r="2085" spans="1:5" x14ac:dyDescent="0.15">
      <c r="A2085" s="7">
        <v>2078</v>
      </c>
      <c r="B2085" s="7">
        <v>0</v>
      </c>
      <c r="C2085" s="7">
        <f t="shared" si="100"/>
        <v>0.75583605794746755</v>
      </c>
      <c r="D2085" s="7">
        <f t="shared" si="101"/>
        <v>0.75586047434167281</v>
      </c>
      <c r="E2085" s="7">
        <f t="shared" si="102"/>
        <v>-0.27989847758459119</v>
      </c>
    </row>
    <row r="2086" spans="1:5" x14ac:dyDescent="0.15">
      <c r="A2086" s="7">
        <v>2079</v>
      </c>
      <c r="B2086" s="7">
        <v>2</v>
      </c>
      <c r="C2086" s="7">
        <f t="shared" si="100"/>
        <v>4.4066701399555049E-2</v>
      </c>
      <c r="D2086" s="7">
        <f t="shared" si="101"/>
        <v>4.4062294729415093E-2</v>
      </c>
      <c r="E2086" s="7">
        <f t="shared" si="102"/>
        <v>-3.1221508570437044</v>
      </c>
    </row>
    <row r="2087" spans="1:5" x14ac:dyDescent="0.15">
      <c r="A2087" s="7">
        <v>2080</v>
      </c>
      <c r="B2087" s="7">
        <v>0</v>
      </c>
      <c r="C2087" s="7">
        <f t="shared" si="100"/>
        <v>0.75583605794746755</v>
      </c>
      <c r="D2087" s="7">
        <f t="shared" si="101"/>
        <v>0.75586047434167281</v>
      </c>
      <c r="E2087" s="7">
        <f t="shared" si="102"/>
        <v>-0.27989847758459119</v>
      </c>
    </row>
    <row r="2088" spans="1:5" x14ac:dyDescent="0.15">
      <c r="A2088" s="7">
        <v>2081</v>
      </c>
      <c r="B2088" s="7">
        <v>0</v>
      </c>
      <c r="C2088" s="7">
        <f t="shared" si="100"/>
        <v>0.75583605794746755</v>
      </c>
      <c r="D2088" s="7">
        <f t="shared" si="101"/>
        <v>0.75586047434167281</v>
      </c>
      <c r="E2088" s="7">
        <f t="shared" si="102"/>
        <v>-0.27989847758459119</v>
      </c>
    </row>
    <row r="2089" spans="1:5" x14ac:dyDescent="0.15">
      <c r="A2089" s="7">
        <v>2082</v>
      </c>
      <c r="B2089" s="7">
        <v>0</v>
      </c>
      <c r="C2089" s="7">
        <f t="shared" si="100"/>
        <v>0.75583605794746755</v>
      </c>
      <c r="D2089" s="7">
        <f t="shared" si="101"/>
        <v>0.75586047434167281</v>
      </c>
      <c r="E2089" s="7">
        <f t="shared" si="102"/>
        <v>-0.27989847758459119</v>
      </c>
    </row>
    <row r="2090" spans="1:5" x14ac:dyDescent="0.15">
      <c r="A2090" s="7">
        <v>2083</v>
      </c>
      <c r="B2090" s="7">
        <v>0</v>
      </c>
      <c r="C2090" s="7">
        <f t="shared" si="100"/>
        <v>0.75583605794746755</v>
      </c>
      <c r="D2090" s="7">
        <f t="shared" si="101"/>
        <v>0.75586047434167281</v>
      </c>
      <c r="E2090" s="7">
        <f t="shared" si="102"/>
        <v>-0.27989847758459119</v>
      </c>
    </row>
    <row r="2091" spans="1:5" x14ac:dyDescent="0.15">
      <c r="A2091" s="7">
        <v>2084</v>
      </c>
      <c r="B2091" s="7">
        <v>0</v>
      </c>
      <c r="C2091" s="7">
        <f t="shared" si="100"/>
        <v>0.75583605794746755</v>
      </c>
      <c r="D2091" s="7">
        <f t="shared" si="101"/>
        <v>0.75586047434167281</v>
      </c>
      <c r="E2091" s="7">
        <f t="shared" si="102"/>
        <v>-0.27989847758459119</v>
      </c>
    </row>
    <row r="2092" spans="1:5" x14ac:dyDescent="0.15">
      <c r="A2092" s="7">
        <v>2085</v>
      </c>
      <c r="B2092" s="7">
        <v>0</v>
      </c>
      <c r="C2092" s="7">
        <f t="shared" si="100"/>
        <v>0.75583605794746755</v>
      </c>
      <c r="D2092" s="7">
        <f t="shared" si="101"/>
        <v>0.75586047434167281</v>
      </c>
      <c r="E2092" s="7">
        <f t="shared" si="102"/>
        <v>-0.27989847758459119</v>
      </c>
    </row>
    <row r="2093" spans="1:5" x14ac:dyDescent="0.15">
      <c r="A2093" s="7">
        <v>2086</v>
      </c>
      <c r="B2093" s="7">
        <v>0</v>
      </c>
      <c r="C2093" s="7">
        <f t="shared" si="100"/>
        <v>0.75583605794746755</v>
      </c>
      <c r="D2093" s="7">
        <f t="shared" si="101"/>
        <v>0.75586047434167281</v>
      </c>
      <c r="E2093" s="7">
        <f t="shared" si="102"/>
        <v>-0.27989847758459119</v>
      </c>
    </row>
    <row r="2094" spans="1:5" x14ac:dyDescent="0.15">
      <c r="A2094" s="7">
        <v>2087</v>
      </c>
      <c r="B2094" s="7">
        <v>0</v>
      </c>
      <c r="C2094" s="7">
        <f t="shared" si="100"/>
        <v>0.75583605794746755</v>
      </c>
      <c r="D2094" s="7">
        <f t="shared" si="101"/>
        <v>0.75586047434167281</v>
      </c>
      <c r="E2094" s="7">
        <f t="shared" si="102"/>
        <v>-0.27989847758459119</v>
      </c>
    </row>
    <row r="2095" spans="1:5" x14ac:dyDescent="0.15">
      <c r="A2095" s="7">
        <v>2088</v>
      </c>
      <c r="B2095" s="7">
        <v>0</v>
      </c>
      <c r="C2095" s="7">
        <f t="shared" si="100"/>
        <v>0.75583605794746755</v>
      </c>
      <c r="D2095" s="7">
        <f t="shared" si="101"/>
        <v>0.75586047434167281</v>
      </c>
      <c r="E2095" s="7">
        <f t="shared" si="102"/>
        <v>-0.27989847758459119</v>
      </c>
    </row>
    <row r="2096" spans="1:5" x14ac:dyDescent="0.15">
      <c r="A2096" s="7">
        <v>2089</v>
      </c>
      <c r="B2096" s="7">
        <v>2</v>
      </c>
      <c r="C2096" s="7">
        <f t="shared" si="100"/>
        <v>4.4066701399555049E-2</v>
      </c>
      <c r="D2096" s="7">
        <f t="shared" si="101"/>
        <v>4.4062294729415093E-2</v>
      </c>
      <c r="E2096" s="7">
        <f t="shared" si="102"/>
        <v>-3.1221508570437044</v>
      </c>
    </row>
    <row r="2097" spans="1:5" x14ac:dyDescent="0.15">
      <c r="A2097" s="7">
        <v>2090</v>
      </c>
      <c r="B2097" s="7">
        <v>0</v>
      </c>
      <c r="C2097" s="7">
        <f t="shared" si="100"/>
        <v>0.75583605794746755</v>
      </c>
      <c r="D2097" s="7">
        <f t="shared" si="101"/>
        <v>0.75586047434167281</v>
      </c>
      <c r="E2097" s="7">
        <f t="shared" si="102"/>
        <v>-0.27989847758459119</v>
      </c>
    </row>
    <row r="2098" spans="1:5" x14ac:dyDescent="0.15">
      <c r="A2098" s="7">
        <v>2091</v>
      </c>
      <c r="B2098" s="7">
        <v>0</v>
      </c>
      <c r="C2098" s="7">
        <f t="shared" si="100"/>
        <v>0.75583605794746755</v>
      </c>
      <c r="D2098" s="7">
        <f t="shared" si="101"/>
        <v>0.75586047434167281</v>
      </c>
      <c r="E2098" s="7">
        <f t="shared" si="102"/>
        <v>-0.27989847758459119</v>
      </c>
    </row>
    <row r="2099" spans="1:5" x14ac:dyDescent="0.15">
      <c r="A2099" s="7">
        <v>2092</v>
      </c>
      <c r="B2099" s="7">
        <v>0</v>
      </c>
      <c r="C2099" s="7">
        <f t="shared" si="100"/>
        <v>0.75583605794746755</v>
      </c>
      <c r="D2099" s="7">
        <f t="shared" si="101"/>
        <v>0.75586047434167281</v>
      </c>
      <c r="E2099" s="7">
        <f t="shared" si="102"/>
        <v>-0.27989847758459119</v>
      </c>
    </row>
    <row r="2100" spans="1:5" x14ac:dyDescent="0.15">
      <c r="A2100" s="7">
        <v>2093</v>
      </c>
      <c r="B2100" s="7">
        <v>0</v>
      </c>
      <c r="C2100" s="7">
        <f t="shared" si="100"/>
        <v>0.75583605794746755</v>
      </c>
      <c r="D2100" s="7">
        <f t="shared" si="101"/>
        <v>0.75586047434167281</v>
      </c>
      <c r="E2100" s="7">
        <f t="shared" si="102"/>
        <v>-0.27989847758459119</v>
      </c>
    </row>
    <row r="2101" spans="1:5" x14ac:dyDescent="0.15">
      <c r="A2101" s="7">
        <v>2094</v>
      </c>
      <c r="B2101" s="7">
        <v>0</v>
      </c>
      <c r="C2101" s="7">
        <f t="shared" si="100"/>
        <v>0.75583605794746755</v>
      </c>
      <c r="D2101" s="7">
        <f t="shared" si="101"/>
        <v>0.75586047434167281</v>
      </c>
      <c r="E2101" s="7">
        <f t="shared" si="102"/>
        <v>-0.27989847758459119</v>
      </c>
    </row>
    <row r="2102" spans="1:5" x14ac:dyDescent="0.15">
      <c r="A2102" s="7">
        <v>2095</v>
      </c>
      <c r="B2102" s="7">
        <v>0</v>
      </c>
      <c r="C2102" s="7">
        <f t="shared" si="100"/>
        <v>0.75583605794746755</v>
      </c>
      <c r="D2102" s="7">
        <f t="shared" si="101"/>
        <v>0.75586047434167281</v>
      </c>
      <c r="E2102" s="7">
        <f t="shared" si="102"/>
        <v>-0.27989847758459119</v>
      </c>
    </row>
    <row r="2103" spans="1:5" x14ac:dyDescent="0.15">
      <c r="A2103" s="7">
        <v>2096</v>
      </c>
      <c r="B2103" s="7">
        <v>0</v>
      </c>
      <c r="C2103" s="7">
        <f t="shared" si="100"/>
        <v>0.75583605794746755</v>
      </c>
      <c r="D2103" s="7">
        <f t="shared" si="101"/>
        <v>0.75586047434167281</v>
      </c>
      <c r="E2103" s="7">
        <f t="shared" si="102"/>
        <v>-0.27989847758459119</v>
      </c>
    </row>
    <row r="2104" spans="1:5" x14ac:dyDescent="0.15">
      <c r="A2104" s="7">
        <v>2097</v>
      </c>
      <c r="B2104" s="7">
        <v>0</v>
      </c>
      <c r="C2104" s="7">
        <f t="shared" si="100"/>
        <v>0.75583605794746755</v>
      </c>
      <c r="D2104" s="7">
        <f t="shared" si="101"/>
        <v>0.75586047434167281</v>
      </c>
      <c r="E2104" s="7">
        <f t="shared" si="102"/>
        <v>-0.27989847758459119</v>
      </c>
    </row>
    <row r="2105" spans="1:5" x14ac:dyDescent="0.15">
      <c r="A2105" s="7">
        <v>2098</v>
      </c>
      <c r="B2105" s="7">
        <v>1</v>
      </c>
      <c r="C2105" s="7">
        <f t="shared" si="100"/>
        <v>8.8686757970141181E-2</v>
      </c>
      <c r="D2105" s="7">
        <f t="shared" si="101"/>
        <v>8.867788929434417E-2</v>
      </c>
      <c r="E2105" s="7">
        <f t="shared" si="102"/>
        <v>-2.4227446958891354</v>
      </c>
    </row>
    <row r="2106" spans="1:5" x14ac:dyDescent="0.15">
      <c r="A2106" s="7">
        <v>2099</v>
      </c>
      <c r="B2106" s="7">
        <v>2</v>
      </c>
      <c r="C2106" s="7">
        <f t="shared" si="100"/>
        <v>4.4066701399555049E-2</v>
      </c>
      <c r="D2106" s="7">
        <f t="shared" si="101"/>
        <v>4.4062294729415093E-2</v>
      </c>
      <c r="E2106" s="7">
        <f t="shared" si="102"/>
        <v>-3.1221508570437044</v>
      </c>
    </row>
    <row r="2107" spans="1:5" x14ac:dyDescent="0.15">
      <c r="A2107" s="7">
        <v>2100</v>
      </c>
      <c r="B2107" s="7">
        <v>1</v>
      </c>
      <c r="C2107" s="7">
        <f t="shared" si="100"/>
        <v>8.8686757970141181E-2</v>
      </c>
      <c r="D2107" s="7">
        <f t="shared" si="101"/>
        <v>8.867788929434417E-2</v>
      </c>
      <c r="E2107" s="7">
        <f t="shared" si="102"/>
        <v>-2.4227446958891354</v>
      </c>
    </row>
    <row r="2108" spans="1:5" x14ac:dyDescent="0.15">
      <c r="A2108" s="7">
        <v>2101</v>
      </c>
      <c r="B2108" s="7">
        <v>0</v>
      </c>
      <c r="C2108" s="7">
        <f t="shared" si="100"/>
        <v>0.75583605794746755</v>
      </c>
      <c r="D2108" s="7">
        <f t="shared" si="101"/>
        <v>0.75586047434167281</v>
      </c>
      <c r="E2108" s="7">
        <f t="shared" si="102"/>
        <v>-0.27989847758459119</v>
      </c>
    </row>
    <row r="2109" spans="1:5" x14ac:dyDescent="0.15">
      <c r="A2109" s="7">
        <v>2102</v>
      </c>
      <c r="B2109" s="7">
        <v>0</v>
      </c>
      <c r="C2109" s="7">
        <f t="shared" si="100"/>
        <v>0.75583605794746755</v>
      </c>
      <c r="D2109" s="7">
        <f t="shared" si="101"/>
        <v>0.75586047434167281</v>
      </c>
      <c r="E2109" s="7">
        <f t="shared" si="102"/>
        <v>-0.27989847758459119</v>
      </c>
    </row>
    <row r="2110" spans="1:5" x14ac:dyDescent="0.15">
      <c r="A2110" s="7">
        <v>2103</v>
      </c>
      <c r="B2110" s="7">
        <v>0</v>
      </c>
      <c r="C2110" s="7">
        <f t="shared" si="100"/>
        <v>0.75583605794746755</v>
      </c>
      <c r="D2110" s="7">
        <f t="shared" si="101"/>
        <v>0.75586047434167281</v>
      </c>
      <c r="E2110" s="7">
        <f t="shared" si="102"/>
        <v>-0.27989847758459119</v>
      </c>
    </row>
    <row r="2111" spans="1:5" x14ac:dyDescent="0.15">
      <c r="A2111" s="7">
        <v>2104</v>
      </c>
      <c r="B2111" s="7">
        <v>0</v>
      </c>
      <c r="C2111" s="7">
        <f t="shared" si="100"/>
        <v>0.75583605794746755</v>
      </c>
      <c r="D2111" s="7">
        <f t="shared" si="101"/>
        <v>0.75586047434167281</v>
      </c>
      <c r="E2111" s="7">
        <f t="shared" si="102"/>
        <v>-0.27989847758459119</v>
      </c>
    </row>
    <row r="2112" spans="1:5" x14ac:dyDescent="0.15">
      <c r="A2112" s="7">
        <v>2105</v>
      </c>
      <c r="B2112" s="7">
        <v>0</v>
      </c>
      <c r="C2112" s="7">
        <f t="shared" si="100"/>
        <v>0.75583605794746755</v>
      </c>
      <c r="D2112" s="7">
        <f t="shared" si="101"/>
        <v>0.75586047434167281</v>
      </c>
      <c r="E2112" s="7">
        <f t="shared" si="102"/>
        <v>-0.27989847758459119</v>
      </c>
    </row>
    <row r="2113" spans="1:5" x14ac:dyDescent="0.15">
      <c r="A2113" s="7">
        <v>2106</v>
      </c>
      <c r="B2113" s="7">
        <v>0</v>
      </c>
      <c r="C2113" s="7">
        <f t="shared" si="100"/>
        <v>0.75583605794746755</v>
      </c>
      <c r="D2113" s="7">
        <f t="shared" si="101"/>
        <v>0.75586047434167281</v>
      </c>
      <c r="E2113" s="7">
        <f t="shared" si="102"/>
        <v>-0.27989847758459119</v>
      </c>
    </row>
    <row r="2114" spans="1:5" x14ac:dyDescent="0.15">
      <c r="A2114" s="7">
        <v>2107</v>
      </c>
      <c r="B2114" s="7">
        <v>0</v>
      </c>
      <c r="C2114" s="7">
        <f t="shared" si="100"/>
        <v>0.75583605794746755</v>
      </c>
      <c r="D2114" s="7">
        <f t="shared" si="101"/>
        <v>0.75586047434167281</v>
      </c>
      <c r="E2114" s="7">
        <f t="shared" si="102"/>
        <v>-0.27989847758459119</v>
      </c>
    </row>
    <row r="2115" spans="1:5" x14ac:dyDescent="0.15">
      <c r="A2115" s="7">
        <v>2108</v>
      </c>
      <c r="B2115" s="7">
        <v>0</v>
      </c>
      <c r="C2115" s="7">
        <f t="shared" si="100"/>
        <v>0.75583605794746755</v>
      </c>
      <c r="D2115" s="7">
        <f t="shared" si="101"/>
        <v>0.75586047434167281</v>
      </c>
      <c r="E2115" s="7">
        <f t="shared" si="102"/>
        <v>-0.27989847758459119</v>
      </c>
    </row>
    <row r="2116" spans="1:5" x14ac:dyDescent="0.15">
      <c r="A2116" s="7">
        <v>2109</v>
      </c>
      <c r="B2116" s="7">
        <v>0</v>
      </c>
      <c r="C2116" s="7">
        <f t="shared" si="100"/>
        <v>0.75583605794746755</v>
      </c>
      <c r="D2116" s="7">
        <f t="shared" si="101"/>
        <v>0.75586047434167281</v>
      </c>
      <c r="E2116" s="7">
        <f t="shared" si="102"/>
        <v>-0.27989847758459119</v>
      </c>
    </row>
    <row r="2117" spans="1:5" x14ac:dyDescent="0.15">
      <c r="A2117" s="7">
        <v>2110</v>
      </c>
      <c r="B2117" s="7">
        <v>0</v>
      </c>
      <c r="C2117" s="7">
        <f t="shared" si="100"/>
        <v>0.75583605794746755</v>
      </c>
      <c r="D2117" s="7">
        <f t="shared" si="101"/>
        <v>0.75586047434167281</v>
      </c>
      <c r="E2117" s="7">
        <f t="shared" si="102"/>
        <v>-0.27989847758459119</v>
      </c>
    </row>
    <row r="2118" spans="1:5" x14ac:dyDescent="0.15">
      <c r="A2118" s="7">
        <v>2111</v>
      </c>
      <c r="B2118" s="7">
        <v>1</v>
      </c>
      <c r="C2118" s="7">
        <f t="shared" si="100"/>
        <v>8.8686757970141181E-2</v>
      </c>
      <c r="D2118" s="7">
        <f t="shared" si="101"/>
        <v>8.867788929434417E-2</v>
      </c>
      <c r="E2118" s="7">
        <f t="shared" si="102"/>
        <v>-2.4227446958891354</v>
      </c>
    </row>
    <row r="2119" spans="1:5" x14ac:dyDescent="0.15">
      <c r="A2119" s="7">
        <v>2112</v>
      </c>
      <c r="B2119" s="7">
        <v>0</v>
      </c>
      <c r="C2119" s="7">
        <f t="shared" si="100"/>
        <v>0.75583605794746755</v>
      </c>
      <c r="D2119" s="7">
        <f t="shared" si="101"/>
        <v>0.75586047434167281</v>
      </c>
      <c r="E2119" s="7">
        <f t="shared" si="102"/>
        <v>-0.27989847758459119</v>
      </c>
    </row>
    <row r="2120" spans="1:5" x14ac:dyDescent="0.15">
      <c r="A2120" s="7">
        <v>2113</v>
      </c>
      <c r="B2120" s="7">
        <v>1</v>
      </c>
      <c r="C2120" s="7">
        <f t="shared" si="100"/>
        <v>8.8686757970141181E-2</v>
      </c>
      <c r="D2120" s="7">
        <f t="shared" si="101"/>
        <v>8.867788929434417E-2</v>
      </c>
      <c r="E2120" s="7">
        <f t="shared" si="102"/>
        <v>-2.4227446958891354</v>
      </c>
    </row>
    <row r="2121" spans="1:5" x14ac:dyDescent="0.15">
      <c r="A2121" s="7">
        <v>2114</v>
      </c>
      <c r="B2121" s="7">
        <v>0</v>
      </c>
      <c r="C2121" s="7">
        <f t="shared" ref="C2121:C2184" si="103">(_xlfn.GAMMA($B$1+B2121)/(_xlfn.GAMMA($B$1)*FACT(B2121))) * ($B$2/($B$2+$B$5))^$B$1 * (1/($B$2 +$B$5))^B2121</f>
        <v>0.75583605794746755</v>
      </c>
      <c r="D2121" s="7">
        <f t="shared" ref="D2121:D2184" si="104" xml:space="preserve"> IF(B2121 = 0, $B$3 + (1-$B$3) * C2121, (1-$B$3) *C2121)</f>
        <v>0.75586047434167281</v>
      </c>
      <c r="E2121" s="7">
        <f t="shared" ref="E2121:E2184" si="105">LN(D2121)</f>
        <v>-0.27989847758459119</v>
      </c>
    </row>
    <row r="2122" spans="1:5" x14ac:dyDescent="0.15">
      <c r="A2122" s="7">
        <v>2115</v>
      </c>
      <c r="B2122" s="7">
        <v>0</v>
      </c>
      <c r="C2122" s="7">
        <f t="shared" si="103"/>
        <v>0.75583605794746755</v>
      </c>
      <c r="D2122" s="7">
        <f t="shared" si="104"/>
        <v>0.75586047434167281</v>
      </c>
      <c r="E2122" s="7">
        <f t="shared" si="105"/>
        <v>-0.27989847758459119</v>
      </c>
    </row>
    <row r="2123" spans="1:5" x14ac:dyDescent="0.15">
      <c r="A2123" s="7">
        <v>2116</v>
      </c>
      <c r="B2123" s="7">
        <v>0</v>
      </c>
      <c r="C2123" s="7">
        <f t="shared" si="103"/>
        <v>0.75583605794746755</v>
      </c>
      <c r="D2123" s="7">
        <f t="shared" si="104"/>
        <v>0.75586047434167281</v>
      </c>
      <c r="E2123" s="7">
        <f t="shared" si="105"/>
        <v>-0.27989847758459119</v>
      </c>
    </row>
    <row r="2124" spans="1:5" x14ac:dyDescent="0.15">
      <c r="A2124" s="7">
        <v>2117</v>
      </c>
      <c r="B2124" s="7">
        <v>3</v>
      </c>
      <c r="C2124" s="7">
        <f t="shared" si="103"/>
        <v>2.7470963680778882E-2</v>
      </c>
      <c r="D2124" s="7">
        <f t="shared" si="104"/>
        <v>2.7468216584410805E-2</v>
      </c>
      <c r="E2124" s="7">
        <f t="shared" si="105"/>
        <v>-3.5947257032827968</v>
      </c>
    </row>
    <row r="2125" spans="1:5" x14ac:dyDescent="0.15">
      <c r="A2125" s="7">
        <v>2118</v>
      </c>
      <c r="B2125" s="7">
        <v>0</v>
      </c>
      <c r="C2125" s="7">
        <f t="shared" si="103"/>
        <v>0.75583605794746755</v>
      </c>
      <c r="D2125" s="7">
        <f t="shared" si="104"/>
        <v>0.75586047434167281</v>
      </c>
      <c r="E2125" s="7">
        <f t="shared" si="105"/>
        <v>-0.27989847758459119</v>
      </c>
    </row>
    <row r="2126" spans="1:5" x14ac:dyDescent="0.15">
      <c r="A2126" s="7">
        <v>2119</v>
      </c>
      <c r="B2126" s="7">
        <v>1</v>
      </c>
      <c r="C2126" s="7">
        <f t="shared" si="103"/>
        <v>8.8686757970141181E-2</v>
      </c>
      <c r="D2126" s="7">
        <f t="shared" si="104"/>
        <v>8.867788929434417E-2</v>
      </c>
      <c r="E2126" s="7">
        <f t="shared" si="105"/>
        <v>-2.4227446958891354</v>
      </c>
    </row>
    <row r="2127" spans="1:5" x14ac:dyDescent="0.15">
      <c r="A2127" s="7">
        <v>2120</v>
      </c>
      <c r="B2127" s="7">
        <v>0</v>
      </c>
      <c r="C2127" s="7">
        <f t="shared" si="103"/>
        <v>0.75583605794746755</v>
      </c>
      <c r="D2127" s="7">
        <f t="shared" si="104"/>
        <v>0.75586047434167281</v>
      </c>
      <c r="E2127" s="7">
        <f t="shared" si="105"/>
        <v>-0.27989847758459119</v>
      </c>
    </row>
    <row r="2128" spans="1:5" x14ac:dyDescent="0.15">
      <c r="A2128" s="7">
        <v>2121</v>
      </c>
      <c r="B2128" s="7">
        <v>0</v>
      </c>
      <c r="C2128" s="7">
        <f t="shared" si="103"/>
        <v>0.75583605794746755</v>
      </c>
      <c r="D2128" s="7">
        <f t="shared" si="104"/>
        <v>0.75586047434167281</v>
      </c>
      <c r="E2128" s="7">
        <f t="shared" si="105"/>
        <v>-0.27989847758459119</v>
      </c>
    </row>
    <row r="2129" spans="1:5" x14ac:dyDescent="0.15">
      <c r="A2129" s="7">
        <v>2122</v>
      </c>
      <c r="B2129" s="7">
        <v>0</v>
      </c>
      <c r="C2129" s="7">
        <f t="shared" si="103"/>
        <v>0.75583605794746755</v>
      </c>
      <c r="D2129" s="7">
        <f t="shared" si="104"/>
        <v>0.75586047434167281</v>
      </c>
      <c r="E2129" s="7">
        <f t="shared" si="105"/>
        <v>-0.27989847758459119</v>
      </c>
    </row>
    <row r="2130" spans="1:5" x14ac:dyDescent="0.15">
      <c r="A2130" s="7">
        <v>2123</v>
      </c>
      <c r="B2130" s="7">
        <v>0</v>
      </c>
      <c r="C2130" s="7">
        <f t="shared" si="103"/>
        <v>0.75583605794746755</v>
      </c>
      <c r="D2130" s="7">
        <f t="shared" si="104"/>
        <v>0.75586047434167281</v>
      </c>
      <c r="E2130" s="7">
        <f t="shared" si="105"/>
        <v>-0.27989847758459119</v>
      </c>
    </row>
    <row r="2131" spans="1:5" x14ac:dyDescent="0.15">
      <c r="A2131" s="7">
        <v>2124</v>
      </c>
      <c r="B2131" s="7">
        <v>0</v>
      </c>
      <c r="C2131" s="7">
        <f t="shared" si="103"/>
        <v>0.75583605794746755</v>
      </c>
      <c r="D2131" s="7">
        <f t="shared" si="104"/>
        <v>0.75586047434167281</v>
      </c>
      <c r="E2131" s="7">
        <f t="shared" si="105"/>
        <v>-0.27989847758459119</v>
      </c>
    </row>
    <row r="2132" spans="1:5" x14ac:dyDescent="0.15">
      <c r="A2132" s="7">
        <v>2125</v>
      </c>
      <c r="B2132" s="7">
        <v>0</v>
      </c>
      <c r="C2132" s="7">
        <f t="shared" si="103"/>
        <v>0.75583605794746755</v>
      </c>
      <c r="D2132" s="7">
        <f t="shared" si="104"/>
        <v>0.75586047434167281</v>
      </c>
      <c r="E2132" s="7">
        <f t="shared" si="105"/>
        <v>-0.27989847758459119</v>
      </c>
    </row>
    <row r="2133" spans="1:5" x14ac:dyDescent="0.15">
      <c r="A2133" s="7">
        <v>2126</v>
      </c>
      <c r="B2133" s="7">
        <v>0</v>
      </c>
      <c r="C2133" s="7">
        <f t="shared" si="103"/>
        <v>0.75583605794746755</v>
      </c>
      <c r="D2133" s="7">
        <f t="shared" si="104"/>
        <v>0.75586047434167281</v>
      </c>
      <c r="E2133" s="7">
        <f t="shared" si="105"/>
        <v>-0.27989847758459119</v>
      </c>
    </row>
    <row r="2134" spans="1:5" x14ac:dyDescent="0.15">
      <c r="A2134" s="7">
        <v>2127</v>
      </c>
      <c r="B2134" s="7">
        <v>0</v>
      </c>
      <c r="C2134" s="7">
        <f t="shared" si="103"/>
        <v>0.75583605794746755</v>
      </c>
      <c r="D2134" s="7">
        <f t="shared" si="104"/>
        <v>0.75586047434167281</v>
      </c>
      <c r="E2134" s="7">
        <f t="shared" si="105"/>
        <v>-0.27989847758459119</v>
      </c>
    </row>
    <row r="2135" spans="1:5" x14ac:dyDescent="0.15">
      <c r="A2135" s="7">
        <v>2128</v>
      </c>
      <c r="B2135" s="7">
        <v>0</v>
      </c>
      <c r="C2135" s="7">
        <f t="shared" si="103"/>
        <v>0.75583605794746755</v>
      </c>
      <c r="D2135" s="7">
        <f t="shared" si="104"/>
        <v>0.75586047434167281</v>
      </c>
      <c r="E2135" s="7">
        <f t="shared" si="105"/>
        <v>-0.27989847758459119</v>
      </c>
    </row>
    <row r="2136" spans="1:5" x14ac:dyDescent="0.15">
      <c r="A2136" s="7">
        <v>2129</v>
      </c>
      <c r="B2136" s="7">
        <v>0</v>
      </c>
      <c r="C2136" s="7">
        <f t="shared" si="103"/>
        <v>0.75583605794746755</v>
      </c>
      <c r="D2136" s="7">
        <f t="shared" si="104"/>
        <v>0.75586047434167281</v>
      </c>
      <c r="E2136" s="7">
        <f t="shared" si="105"/>
        <v>-0.27989847758459119</v>
      </c>
    </row>
    <row r="2137" spans="1:5" x14ac:dyDescent="0.15">
      <c r="A2137" s="7">
        <v>2130</v>
      </c>
      <c r="B2137" s="7">
        <v>0</v>
      </c>
      <c r="C2137" s="7">
        <f t="shared" si="103"/>
        <v>0.75583605794746755</v>
      </c>
      <c r="D2137" s="7">
        <f t="shared" si="104"/>
        <v>0.75586047434167281</v>
      </c>
      <c r="E2137" s="7">
        <f t="shared" si="105"/>
        <v>-0.27989847758459119</v>
      </c>
    </row>
    <row r="2138" spans="1:5" x14ac:dyDescent="0.15">
      <c r="A2138" s="7">
        <v>2131</v>
      </c>
      <c r="B2138" s="7">
        <v>0</v>
      </c>
      <c r="C2138" s="7">
        <f t="shared" si="103"/>
        <v>0.75583605794746755</v>
      </c>
      <c r="D2138" s="7">
        <f t="shared" si="104"/>
        <v>0.75586047434167281</v>
      </c>
      <c r="E2138" s="7">
        <f t="shared" si="105"/>
        <v>-0.27989847758459119</v>
      </c>
    </row>
    <row r="2139" spans="1:5" x14ac:dyDescent="0.15">
      <c r="A2139" s="7">
        <v>2132</v>
      </c>
      <c r="B2139" s="7">
        <v>0</v>
      </c>
      <c r="C2139" s="7">
        <f t="shared" si="103"/>
        <v>0.75583605794746755</v>
      </c>
      <c r="D2139" s="7">
        <f t="shared" si="104"/>
        <v>0.75586047434167281</v>
      </c>
      <c r="E2139" s="7">
        <f t="shared" si="105"/>
        <v>-0.27989847758459119</v>
      </c>
    </row>
    <row r="2140" spans="1:5" x14ac:dyDescent="0.15">
      <c r="A2140" s="7">
        <v>2133</v>
      </c>
      <c r="B2140" s="7">
        <v>0</v>
      </c>
      <c r="C2140" s="7">
        <f t="shared" si="103"/>
        <v>0.75583605794746755</v>
      </c>
      <c r="D2140" s="7">
        <f t="shared" si="104"/>
        <v>0.75586047434167281</v>
      </c>
      <c r="E2140" s="7">
        <f t="shared" si="105"/>
        <v>-0.27989847758459119</v>
      </c>
    </row>
    <row r="2141" spans="1:5" x14ac:dyDescent="0.15">
      <c r="A2141" s="7">
        <v>2134</v>
      </c>
      <c r="B2141" s="7">
        <v>0</v>
      </c>
      <c r="C2141" s="7">
        <f t="shared" si="103"/>
        <v>0.75583605794746755</v>
      </c>
      <c r="D2141" s="7">
        <f t="shared" si="104"/>
        <v>0.75586047434167281</v>
      </c>
      <c r="E2141" s="7">
        <f t="shared" si="105"/>
        <v>-0.27989847758459119</v>
      </c>
    </row>
    <row r="2142" spans="1:5" x14ac:dyDescent="0.15">
      <c r="A2142" s="7">
        <v>2135</v>
      </c>
      <c r="B2142" s="7">
        <v>0</v>
      </c>
      <c r="C2142" s="7">
        <f t="shared" si="103"/>
        <v>0.75583605794746755</v>
      </c>
      <c r="D2142" s="7">
        <f t="shared" si="104"/>
        <v>0.75586047434167281</v>
      </c>
      <c r="E2142" s="7">
        <f t="shared" si="105"/>
        <v>-0.27989847758459119</v>
      </c>
    </row>
    <row r="2143" spans="1:5" x14ac:dyDescent="0.15">
      <c r="A2143" s="7">
        <v>2136</v>
      </c>
      <c r="B2143" s="7">
        <v>0</v>
      </c>
      <c r="C2143" s="7">
        <f t="shared" si="103"/>
        <v>0.75583605794746755</v>
      </c>
      <c r="D2143" s="7">
        <f t="shared" si="104"/>
        <v>0.75586047434167281</v>
      </c>
      <c r="E2143" s="7">
        <f t="shared" si="105"/>
        <v>-0.27989847758459119</v>
      </c>
    </row>
    <row r="2144" spans="1:5" x14ac:dyDescent="0.15">
      <c r="A2144" s="7">
        <v>2137</v>
      </c>
      <c r="B2144" s="7">
        <v>0</v>
      </c>
      <c r="C2144" s="7">
        <f t="shared" si="103"/>
        <v>0.75583605794746755</v>
      </c>
      <c r="D2144" s="7">
        <f t="shared" si="104"/>
        <v>0.75586047434167281</v>
      </c>
      <c r="E2144" s="7">
        <f t="shared" si="105"/>
        <v>-0.27989847758459119</v>
      </c>
    </row>
    <row r="2145" spans="1:5" x14ac:dyDescent="0.15">
      <c r="A2145" s="7">
        <v>2138</v>
      </c>
      <c r="B2145" s="7">
        <v>2</v>
      </c>
      <c r="C2145" s="7">
        <f t="shared" si="103"/>
        <v>4.4066701399555049E-2</v>
      </c>
      <c r="D2145" s="7">
        <f t="shared" si="104"/>
        <v>4.4062294729415093E-2</v>
      </c>
      <c r="E2145" s="7">
        <f t="shared" si="105"/>
        <v>-3.1221508570437044</v>
      </c>
    </row>
    <row r="2146" spans="1:5" x14ac:dyDescent="0.15">
      <c r="A2146" s="7">
        <v>2139</v>
      </c>
      <c r="B2146" s="7">
        <v>5</v>
      </c>
      <c r="C2146" s="7">
        <f t="shared" si="103"/>
        <v>1.366826244062944E-2</v>
      </c>
      <c r="D2146" s="7">
        <f t="shared" si="104"/>
        <v>1.3666895614385376E-2</v>
      </c>
      <c r="E2146" s="7">
        <f t="shared" si="105"/>
        <v>-4.2927787488141558</v>
      </c>
    </row>
    <row r="2147" spans="1:5" x14ac:dyDescent="0.15">
      <c r="A2147" s="7">
        <v>2140</v>
      </c>
      <c r="B2147" s="7">
        <v>0</v>
      </c>
      <c r="C2147" s="7">
        <f t="shared" si="103"/>
        <v>0.75583605794746755</v>
      </c>
      <c r="D2147" s="7">
        <f t="shared" si="104"/>
        <v>0.75586047434167281</v>
      </c>
      <c r="E2147" s="7">
        <f t="shared" si="105"/>
        <v>-0.27989847758459119</v>
      </c>
    </row>
    <row r="2148" spans="1:5" x14ac:dyDescent="0.15">
      <c r="A2148" s="7">
        <v>2141</v>
      </c>
      <c r="B2148" s="7">
        <v>0</v>
      </c>
      <c r="C2148" s="7">
        <f t="shared" si="103"/>
        <v>0.75583605794746755</v>
      </c>
      <c r="D2148" s="7">
        <f t="shared" si="104"/>
        <v>0.75586047434167281</v>
      </c>
      <c r="E2148" s="7">
        <f t="shared" si="105"/>
        <v>-0.27989847758459119</v>
      </c>
    </row>
    <row r="2149" spans="1:5" x14ac:dyDescent="0.15">
      <c r="A2149" s="7">
        <v>2142</v>
      </c>
      <c r="B2149" s="7">
        <v>0</v>
      </c>
      <c r="C2149" s="7">
        <f t="shared" si="103"/>
        <v>0.75583605794746755</v>
      </c>
      <c r="D2149" s="7">
        <f t="shared" si="104"/>
        <v>0.75586047434167281</v>
      </c>
      <c r="E2149" s="7">
        <f t="shared" si="105"/>
        <v>-0.27989847758459119</v>
      </c>
    </row>
    <row r="2150" spans="1:5" x14ac:dyDescent="0.15">
      <c r="A2150" s="7">
        <v>2143</v>
      </c>
      <c r="B2150" s="7">
        <v>0</v>
      </c>
      <c r="C2150" s="7">
        <f t="shared" si="103"/>
        <v>0.75583605794746755</v>
      </c>
      <c r="D2150" s="7">
        <f t="shared" si="104"/>
        <v>0.75586047434167281</v>
      </c>
      <c r="E2150" s="7">
        <f t="shared" si="105"/>
        <v>-0.27989847758459119</v>
      </c>
    </row>
    <row r="2151" spans="1:5" x14ac:dyDescent="0.15">
      <c r="A2151" s="7">
        <v>2144</v>
      </c>
      <c r="B2151" s="7">
        <v>0</v>
      </c>
      <c r="C2151" s="7">
        <f t="shared" si="103"/>
        <v>0.75583605794746755</v>
      </c>
      <c r="D2151" s="7">
        <f t="shared" si="104"/>
        <v>0.75586047434167281</v>
      </c>
      <c r="E2151" s="7">
        <f t="shared" si="105"/>
        <v>-0.27989847758459119</v>
      </c>
    </row>
    <row r="2152" spans="1:5" x14ac:dyDescent="0.15">
      <c r="A2152" s="7">
        <v>2145</v>
      </c>
      <c r="B2152" s="7">
        <v>5</v>
      </c>
      <c r="C2152" s="7">
        <f t="shared" si="103"/>
        <v>1.366826244062944E-2</v>
      </c>
      <c r="D2152" s="7">
        <f t="shared" si="104"/>
        <v>1.3666895614385376E-2</v>
      </c>
      <c r="E2152" s="7">
        <f t="shared" si="105"/>
        <v>-4.2927787488141558</v>
      </c>
    </row>
    <row r="2153" spans="1:5" x14ac:dyDescent="0.15">
      <c r="A2153" s="7">
        <v>2146</v>
      </c>
      <c r="B2153" s="7">
        <v>0</v>
      </c>
      <c r="C2153" s="7">
        <f t="shared" si="103"/>
        <v>0.75583605794746755</v>
      </c>
      <c r="D2153" s="7">
        <f t="shared" si="104"/>
        <v>0.75586047434167281</v>
      </c>
      <c r="E2153" s="7">
        <f t="shared" si="105"/>
        <v>-0.27989847758459119</v>
      </c>
    </row>
    <row r="2154" spans="1:5" x14ac:dyDescent="0.15">
      <c r="A2154" s="7">
        <v>2147</v>
      </c>
      <c r="B2154" s="7">
        <v>1</v>
      </c>
      <c r="C2154" s="7">
        <f t="shared" si="103"/>
        <v>8.8686757970141181E-2</v>
      </c>
      <c r="D2154" s="7">
        <f t="shared" si="104"/>
        <v>8.867788929434417E-2</v>
      </c>
      <c r="E2154" s="7">
        <f t="shared" si="105"/>
        <v>-2.4227446958891354</v>
      </c>
    </row>
    <row r="2155" spans="1:5" x14ac:dyDescent="0.15">
      <c r="A2155" s="7">
        <v>2148</v>
      </c>
      <c r="B2155" s="7">
        <v>0</v>
      </c>
      <c r="C2155" s="7">
        <f t="shared" si="103"/>
        <v>0.75583605794746755</v>
      </c>
      <c r="D2155" s="7">
        <f t="shared" si="104"/>
        <v>0.75586047434167281</v>
      </c>
      <c r="E2155" s="7">
        <f t="shared" si="105"/>
        <v>-0.27989847758459119</v>
      </c>
    </row>
    <row r="2156" spans="1:5" x14ac:dyDescent="0.15">
      <c r="A2156" s="7">
        <v>2149</v>
      </c>
      <c r="B2156" s="7">
        <v>0</v>
      </c>
      <c r="C2156" s="7">
        <f t="shared" si="103"/>
        <v>0.75583605794746755</v>
      </c>
      <c r="D2156" s="7">
        <f t="shared" si="104"/>
        <v>0.75586047434167281</v>
      </c>
      <c r="E2156" s="7">
        <f t="shared" si="105"/>
        <v>-0.27989847758459119</v>
      </c>
    </row>
    <row r="2157" spans="1:5" x14ac:dyDescent="0.15">
      <c r="A2157" s="7">
        <v>2150</v>
      </c>
      <c r="B2157" s="7">
        <v>1</v>
      </c>
      <c r="C2157" s="7">
        <f t="shared" si="103"/>
        <v>8.8686757970141181E-2</v>
      </c>
      <c r="D2157" s="7">
        <f t="shared" si="104"/>
        <v>8.867788929434417E-2</v>
      </c>
      <c r="E2157" s="7">
        <f t="shared" si="105"/>
        <v>-2.4227446958891354</v>
      </c>
    </row>
    <row r="2158" spans="1:5" x14ac:dyDescent="0.15">
      <c r="A2158" s="7">
        <v>2151</v>
      </c>
      <c r="B2158" s="7">
        <v>0</v>
      </c>
      <c r="C2158" s="7">
        <f t="shared" si="103"/>
        <v>0.75583605794746755</v>
      </c>
      <c r="D2158" s="7">
        <f t="shared" si="104"/>
        <v>0.75586047434167281</v>
      </c>
      <c r="E2158" s="7">
        <f t="shared" si="105"/>
        <v>-0.27989847758459119</v>
      </c>
    </row>
    <row r="2159" spans="1:5" x14ac:dyDescent="0.15">
      <c r="A2159" s="7">
        <v>2152</v>
      </c>
      <c r="B2159" s="7">
        <v>0</v>
      </c>
      <c r="C2159" s="7">
        <f t="shared" si="103"/>
        <v>0.75583605794746755</v>
      </c>
      <c r="D2159" s="7">
        <f t="shared" si="104"/>
        <v>0.75586047434167281</v>
      </c>
      <c r="E2159" s="7">
        <f t="shared" si="105"/>
        <v>-0.27989847758459119</v>
      </c>
    </row>
    <row r="2160" spans="1:5" x14ac:dyDescent="0.15">
      <c r="A2160" s="7">
        <v>2153</v>
      </c>
      <c r="B2160" s="7">
        <v>4</v>
      </c>
      <c r="C2160" s="7">
        <f t="shared" si="103"/>
        <v>1.8863004210024691E-2</v>
      </c>
      <c r="D2160" s="7">
        <f t="shared" si="104"/>
        <v>1.8861117909603688E-2</v>
      </c>
      <c r="E2160" s="7">
        <f t="shared" si="105"/>
        <v>-3.9706527294293466</v>
      </c>
    </row>
    <row r="2161" spans="1:5" x14ac:dyDescent="0.15">
      <c r="A2161" s="7">
        <v>2154</v>
      </c>
      <c r="B2161" s="7">
        <v>0</v>
      </c>
      <c r="C2161" s="7">
        <f t="shared" si="103"/>
        <v>0.75583605794746755</v>
      </c>
      <c r="D2161" s="7">
        <f t="shared" si="104"/>
        <v>0.75586047434167281</v>
      </c>
      <c r="E2161" s="7">
        <f t="shared" si="105"/>
        <v>-0.27989847758459119</v>
      </c>
    </row>
    <row r="2162" spans="1:5" x14ac:dyDescent="0.15">
      <c r="A2162" s="7">
        <v>2155</v>
      </c>
      <c r="B2162" s="7">
        <v>40</v>
      </c>
      <c r="C2162" s="7">
        <f t="shared" si="103"/>
        <v>2.254559333508656E-5</v>
      </c>
      <c r="D2162" s="7">
        <f t="shared" si="104"/>
        <v>2.254333877575305E-5</v>
      </c>
      <c r="E2162" s="7">
        <f t="shared" si="105"/>
        <v>-10.700070933625202</v>
      </c>
    </row>
    <row r="2163" spans="1:5" x14ac:dyDescent="0.15">
      <c r="A2163" s="7">
        <v>2156</v>
      </c>
      <c r="B2163" s="7">
        <v>2</v>
      </c>
      <c r="C2163" s="7">
        <f t="shared" si="103"/>
        <v>4.4066701399555049E-2</v>
      </c>
      <c r="D2163" s="7">
        <f t="shared" si="104"/>
        <v>4.4062294729415093E-2</v>
      </c>
      <c r="E2163" s="7">
        <f t="shared" si="105"/>
        <v>-3.1221508570437044</v>
      </c>
    </row>
    <row r="2164" spans="1:5" x14ac:dyDescent="0.15">
      <c r="A2164" s="7">
        <v>2157</v>
      </c>
      <c r="B2164" s="7">
        <v>0</v>
      </c>
      <c r="C2164" s="7">
        <f t="shared" si="103"/>
        <v>0.75583605794746755</v>
      </c>
      <c r="D2164" s="7">
        <f t="shared" si="104"/>
        <v>0.75586047434167281</v>
      </c>
      <c r="E2164" s="7">
        <f t="shared" si="105"/>
        <v>-0.27989847758459119</v>
      </c>
    </row>
    <row r="2165" spans="1:5" x14ac:dyDescent="0.15">
      <c r="A2165" s="7">
        <v>2158</v>
      </c>
      <c r="B2165" s="7">
        <v>0</v>
      </c>
      <c r="C2165" s="7">
        <f t="shared" si="103"/>
        <v>0.75583605794746755</v>
      </c>
      <c r="D2165" s="7">
        <f t="shared" si="104"/>
        <v>0.75586047434167281</v>
      </c>
      <c r="E2165" s="7">
        <f t="shared" si="105"/>
        <v>-0.27989847758459119</v>
      </c>
    </row>
    <row r="2166" spans="1:5" x14ac:dyDescent="0.15">
      <c r="A2166" s="7">
        <v>2159</v>
      </c>
      <c r="B2166" s="7">
        <v>0</v>
      </c>
      <c r="C2166" s="7">
        <f t="shared" si="103"/>
        <v>0.75583605794746755</v>
      </c>
      <c r="D2166" s="7">
        <f t="shared" si="104"/>
        <v>0.75586047434167281</v>
      </c>
      <c r="E2166" s="7">
        <f t="shared" si="105"/>
        <v>-0.27989847758459119</v>
      </c>
    </row>
    <row r="2167" spans="1:5" x14ac:dyDescent="0.15">
      <c r="A2167" s="7">
        <v>2160</v>
      </c>
      <c r="B2167" s="7">
        <v>0</v>
      </c>
      <c r="C2167" s="7">
        <f t="shared" si="103"/>
        <v>0.75583605794746755</v>
      </c>
      <c r="D2167" s="7">
        <f t="shared" si="104"/>
        <v>0.75586047434167281</v>
      </c>
      <c r="E2167" s="7">
        <f t="shared" si="105"/>
        <v>-0.27989847758459119</v>
      </c>
    </row>
    <row r="2168" spans="1:5" x14ac:dyDescent="0.15">
      <c r="A2168" s="7">
        <v>2161</v>
      </c>
      <c r="B2168" s="7">
        <v>0</v>
      </c>
      <c r="C2168" s="7">
        <f t="shared" si="103"/>
        <v>0.75583605794746755</v>
      </c>
      <c r="D2168" s="7">
        <f t="shared" si="104"/>
        <v>0.75586047434167281</v>
      </c>
      <c r="E2168" s="7">
        <f t="shared" si="105"/>
        <v>-0.27989847758459119</v>
      </c>
    </row>
    <row r="2169" spans="1:5" x14ac:dyDescent="0.15">
      <c r="A2169" s="7">
        <v>2162</v>
      </c>
      <c r="B2169" s="7">
        <v>0</v>
      </c>
      <c r="C2169" s="7">
        <f t="shared" si="103"/>
        <v>0.75583605794746755</v>
      </c>
      <c r="D2169" s="7">
        <f t="shared" si="104"/>
        <v>0.75586047434167281</v>
      </c>
      <c r="E2169" s="7">
        <f t="shared" si="105"/>
        <v>-0.27989847758459119</v>
      </c>
    </row>
    <row r="2170" spans="1:5" x14ac:dyDescent="0.15">
      <c r="A2170" s="7">
        <v>2163</v>
      </c>
      <c r="B2170" s="7">
        <v>0</v>
      </c>
      <c r="C2170" s="7">
        <f t="shared" si="103"/>
        <v>0.75583605794746755</v>
      </c>
      <c r="D2170" s="7">
        <f t="shared" si="104"/>
        <v>0.75586047434167281</v>
      </c>
      <c r="E2170" s="7">
        <f t="shared" si="105"/>
        <v>-0.27989847758459119</v>
      </c>
    </row>
    <row r="2171" spans="1:5" x14ac:dyDescent="0.15">
      <c r="A2171" s="7">
        <v>2164</v>
      </c>
      <c r="B2171" s="7">
        <v>0</v>
      </c>
      <c r="C2171" s="7">
        <f t="shared" si="103"/>
        <v>0.75583605794746755</v>
      </c>
      <c r="D2171" s="7">
        <f t="shared" si="104"/>
        <v>0.75586047434167281</v>
      </c>
      <c r="E2171" s="7">
        <f t="shared" si="105"/>
        <v>-0.27989847758459119</v>
      </c>
    </row>
    <row r="2172" spans="1:5" x14ac:dyDescent="0.15">
      <c r="A2172" s="7">
        <v>2165</v>
      </c>
      <c r="B2172" s="7">
        <v>4</v>
      </c>
      <c r="C2172" s="7">
        <f t="shared" si="103"/>
        <v>1.8863004210024691E-2</v>
      </c>
      <c r="D2172" s="7">
        <f t="shared" si="104"/>
        <v>1.8861117909603688E-2</v>
      </c>
      <c r="E2172" s="7">
        <f t="shared" si="105"/>
        <v>-3.9706527294293466</v>
      </c>
    </row>
    <row r="2173" spans="1:5" x14ac:dyDescent="0.15">
      <c r="A2173" s="7">
        <v>2166</v>
      </c>
      <c r="B2173" s="7">
        <v>1</v>
      </c>
      <c r="C2173" s="7">
        <f t="shared" si="103"/>
        <v>8.8686757970141181E-2</v>
      </c>
      <c r="D2173" s="7">
        <f t="shared" si="104"/>
        <v>8.867788929434417E-2</v>
      </c>
      <c r="E2173" s="7">
        <f t="shared" si="105"/>
        <v>-2.4227446958891354</v>
      </c>
    </row>
    <row r="2174" spans="1:5" x14ac:dyDescent="0.15">
      <c r="A2174" s="7">
        <v>2167</v>
      </c>
      <c r="B2174" s="7">
        <v>0</v>
      </c>
      <c r="C2174" s="7">
        <f t="shared" si="103"/>
        <v>0.75583605794746755</v>
      </c>
      <c r="D2174" s="7">
        <f t="shared" si="104"/>
        <v>0.75586047434167281</v>
      </c>
      <c r="E2174" s="7">
        <f t="shared" si="105"/>
        <v>-0.27989847758459119</v>
      </c>
    </row>
    <row r="2175" spans="1:5" x14ac:dyDescent="0.15">
      <c r="A2175" s="7">
        <v>2168</v>
      </c>
      <c r="B2175" s="7">
        <v>0</v>
      </c>
      <c r="C2175" s="7">
        <f t="shared" si="103"/>
        <v>0.75583605794746755</v>
      </c>
      <c r="D2175" s="7">
        <f t="shared" si="104"/>
        <v>0.75586047434167281</v>
      </c>
      <c r="E2175" s="7">
        <f t="shared" si="105"/>
        <v>-0.27989847758459119</v>
      </c>
    </row>
    <row r="2176" spans="1:5" x14ac:dyDescent="0.15">
      <c r="A2176" s="7">
        <v>2169</v>
      </c>
      <c r="B2176" s="7">
        <v>0</v>
      </c>
      <c r="C2176" s="7">
        <f t="shared" si="103"/>
        <v>0.75583605794746755</v>
      </c>
      <c r="D2176" s="7">
        <f t="shared" si="104"/>
        <v>0.75586047434167281</v>
      </c>
      <c r="E2176" s="7">
        <f t="shared" si="105"/>
        <v>-0.27989847758459119</v>
      </c>
    </row>
    <row r="2177" spans="1:5" x14ac:dyDescent="0.15">
      <c r="A2177" s="7">
        <v>2170</v>
      </c>
      <c r="B2177" s="7">
        <v>0</v>
      </c>
      <c r="C2177" s="7">
        <f t="shared" si="103"/>
        <v>0.75583605794746755</v>
      </c>
      <c r="D2177" s="7">
        <f t="shared" si="104"/>
        <v>0.75586047434167281</v>
      </c>
      <c r="E2177" s="7">
        <f t="shared" si="105"/>
        <v>-0.27989847758459119</v>
      </c>
    </row>
    <row r="2178" spans="1:5" x14ac:dyDescent="0.15">
      <c r="A2178" s="7">
        <v>2171</v>
      </c>
      <c r="B2178" s="7">
        <v>0</v>
      </c>
      <c r="C2178" s="7">
        <f t="shared" si="103"/>
        <v>0.75583605794746755</v>
      </c>
      <c r="D2178" s="7">
        <f t="shared" si="104"/>
        <v>0.75586047434167281</v>
      </c>
      <c r="E2178" s="7">
        <f t="shared" si="105"/>
        <v>-0.27989847758459119</v>
      </c>
    </row>
    <row r="2179" spans="1:5" x14ac:dyDescent="0.15">
      <c r="A2179" s="7">
        <v>2172</v>
      </c>
      <c r="B2179" s="7">
        <v>0</v>
      </c>
      <c r="C2179" s="7">
        <f t="shared" si="103"/>
        <v>0.75583605794746755</v>
      </c>
      <c r="D2179" s="7">
        <f t="shared" si="104"/>
        <v>0.75586047434167281</v>
      </c>
      <c r="E2179" s="7">
        <f t="shared" si="105"/>
        <v>-0.27989847758459119</v>
      </c>
    </row>
    <row r="2180" spans="1:5" x14ac:dyDescent="0.15">
      <c r="A2180" s="7">
        <v>2173</v>
      </c>
      <c r="B2180" s="7">
        <v>0</v>
      </c>
      <c r="C2180" s="7">
        <f t="shared" si="103"/>
        <v>0.75583605794746755</v>
      </c>
      <c r="D2180" s="7">
        <f t="shared" si="104"/>
        <v>0.75586047434167281</v>
      </c>
      <c r="E2180" s="7">
        <f t="shared" si="105"/>
        <v>-0.27989847758459119</v>
      </c>
    </row>
    <row r="2181" spans="1:5" x14ac:dyDescent="0.15">
      <c r="A2181" s="7">
        <v>2174</v>
      </c>
      <c r="B2181" s="7">
        <v>2</v>
      </c>
      <c r="C2181" s="7">
        <f t="shared" si="103"/>
        <v>4.4066701399555049E-2</v>
      </c>
      <c r="D2181" s="7">
        <f t="shared" si="104"/>
        <v>4.4062294729415093E-2</v>
      </c>
      <c r="E2181" s="7">
        <f t="shared" si="105"/>
        <v>-3.1221508570437044</v>
      </c>
    </row>
    <row r="2182" spans="1:5" x14ac:dyDescent="0.15">
      <c r="A2182" s="7">
        <v>2175</v>
      </c>
      <c r="B2182" s="7">
        <v>0</v>
      </c>
      <c r="C2182" s="7">
        <f t="shared" si="103"/>
        <v>0.75583605794746755</v>
      </c>
      <c r="D2182" s="7">
        <f t="shared" si="104"/>
        <v>0.75586047434167281</v>
      </c>
      <c r="E2182" s="7">
        <f t="shared" si="105"/>
        <v>-0.27989847758459119</v>
      </c>
    </row>
    <row r="2183" spans="1:5" x14ac:dyDescent="0.15">
      <c r="A2183" s="7">
        <v>2176</v>
      </c>
      <c r="B2183" s="7">
        <v>0</v>
      </c>
      <c r="C2183" s="7">
        <f t="shared" si="103"/>
        <v>0.75583605794746755</v>
      </c>
      <c r="D2183" s="7">
        <f t="shared" si="104"/>
        <v>0.75586047434167281</v>
      </c>
      <c r="E2183" s="7">
        <f t="shared" si="105"/>
        <v>-0.27989847758459119</v>
      </c>
    </row>
    <row r="2184" spans="1:5" x14ac:dyDescent="0.15">
      <c r="A2184" s="7">
        <v>2177</v>
      </c>
      <c r="B2184" s="7">
        <v>4</v>
      </c>
      <c r="C2184" s="7">
        <f t="shared" si="103"/>
        <v>1.8863004210024691E-2</v>
      </c>
      <c r="D2184" s="7">
        <f t="shared" si="104"/>
        <v>1.8861117909603688E-2</v>
      </c>
      <c r="E2184" s="7">
        <f t="shared" si="105"/>
        <v>-3.9706527294293466</v>
      </c>
    </row>
    <row r="2185" spans="1:5" x14ac:dyDescent="0.15">
      <c r="A2185" s="7">
        <v>2178</v>
      </c>
      <c r="B2185" s="7">
        <v>2</v>
      </c>
      <c r="C2185" s="7">
        <f t="shared" ref="C2185:C2248" si="106">(_xlfn.GAMMA($B$1+B2185)/(_xlfn.GAMMA($B$1)*FACT(B2185))) * ($B$2/($B$2+$B$5))^$B$1 * (1/($B$2 +$B$5))^B2185</f>
        <v>4.4066701399555049E-2</v>
      </c>
      <c r="D2185" s="7">
        <f t="shared" ref="D2185:D2248" si="107" xml:space="preserve"> IF(B2185 = 0, $B$3 + (1-$B$3) * C2185, (1-$B$3) *C2185)</f>
        <v>4.4062294729415093E-2</v>
      </c>
      <c r="E2185" s="7">
        <f t="shared" ref="E2185:E2248" si="108">LN(D2185)</f>
        <v>-3.1221508570437044</v>
      </c>
    </row>
    <row r="2186" spans="1:5" x14ac:dyDescent="0.15">
      <c r="A2186" s="7">
        <v>2179</v>
      </c>
      <c r="B2186" s="7">
        <v>0</v>
      </c>
      <c r="C2186" s="7">
        <f t="shared" si="106"/>
        <v>0.75583605794746755</v>
      </c>
      <c r="D2186" s="7">
        <f t="shared" si="107"/>
        <v>0.75586047434167281</v>
      </c>
      <c r="E2186" s="7">
        <f t="shared" si="108"/>
        <v>-0.27989847758459119</v>
      </c>
    </row>
    <row r="2187" spans="1:5" x14ac:dyDescent="0.15">
      <c r="A2187" s="7">
        <v>2180</v>
      </c>
      <c r="B2187" s="7">
        <v>0</v>
      </c>
      <c r="C2187" s="7">
        <f t="shared" si="106"/>
        <v>0.75583605794746755</v>
      </c>
      <c r="D2187" s="7">
        <f t="shared" si="107"/>
        <v>0.75586047434167281</v>
      </c>
      <c r="E2187" s="7">
        <f t="shared" si="108"/>
        <v>-0.27989847758459119</v>
      </c>
    </row>
    <row r="2188" spans="1:5" x14ac:dyDescent="0.15">
      <c r="A2188" s="7">
        <v>2181</v>
      </c>
      <c r="B2188" s="7">
        <v>0</v>
      </c>
      <c r="C2188" s="7">
        <f t="shared" si="106"/>
        <v>0.75583605794746755</v>
      </c>
      <c r="D2188" s="7">
        <f t="shared" si="107"/>
        <v>0.75586047434167281</v>
      </c>
      <c r="E2188" s="7">
        <f t="shared" si="108"/>
        <v>-0.27989847758459119</v>
      </c>
    </row>
    <row r="2189" spans="1:5" x14ac:dyDescent="0.15">
      <c r="A2189" s="7">
        <v>2182</v>
      </c>
      <c r="B2189" s="7">
        <v>0</v>
      </c>
      <c r="C2189" s="7">
        <f t="shared" si="106"/>
        <v>0.75583605794746755</v>
      </c>
      <c r="D2189" s="7">
        <f t="shared" si="107"/>
        <v>0.75586047434167281</v>
      </c>
      <c r="E2189" s="7">
        <f t="shared" si="108"/>
        <v>-0.27989847758459119</v>
      </c>
    </row>
    <row r="2190" spans="1:5" x14ac:dyDescent="0.15">
      <c r="A2190" s="7">
        <v>2183</v>
      </c>
      <c r="B2190" s="7">
        <v>0</v>
      </c>
      <c r="C2190" s="7">
        <f t="shared" si="106"/>
        <v>0.75583605794746755</v>
      </c>
      <c r="D2190" s="7">
        <f t="shared" si="107"/>
        <v>0.75586047434167281</v>
      </c>
      <c r="E2190" s="7">
        <f t="shared" si="108"/>
        <v>-0.27989847758459119</v>
      </c>
    </row>
    <row r="2191" spans="1:5" x14ac:dyDescent="0.15">
      <c r="A2191" s="7">
        <v>2184</v>
      </c>
      <c r="B2191" s="7">
        <v>0</v>
      </c>
      <c r="C2191" s="7">
        <f t="shared" si="106"/>
        <v>0.75583605794746755</v>
      </c>
      <c r="D2191" s="7">
        <f t="shared" si="107"/>
        <v>0.75586047434167281</v>
      </c>
      <c r="E2191" s="7">
        <f t="shared" si="108"/>
        <v>-0.27989847758459119</v>
      </c>
    </row>
    <row r="2192" spans="1:5" x14ac:dyDescent="0.15">
      <c r="A2192" s="7">
        <v>2185</v>
      </c>
      <c r="B2192" s="7">
        <v>5</v>
      </c>
      <c r="C2192" s="7">
        <f t="shared" si="106"/>
        <v>1.366826244062944E-2</v>
      </c>
      <c r="D2192" s="7">
        <f t="shared" si="107"/>
        <v>1.3666895614385376E-2</v>
      </c>
      <c r="E2192" s="7">
        <f t="shared" si="108"/>
        <v>-4.2927787488141558</v>
      </c>
    </row>
    <row r="2193" spans="1:5" x14ac:dyDescent="0.15">
      <c r="A2193" s="7">
        <v>2186</v>
      </c>
      <c r="B2193" s="7">
        <v>0</v>
      </c>
      <c r="C2193" s="7">
        <f t="shared" si="106"/>
        <v>0.75583605794746755</v>
      </c>
      <c r="D2193" s="7">
        <f t="shared" si="107"/>
        <v>0.75586047434167281</v>
      </c>
      <c r="E2193" s="7">
        <f t="shared" si="108"/>
        <v>-0.27989847758459119</v>
      </c>
    </row>
    <row r="2194" spans="1:5" x14ac:dyDescent="0.15">
      <c r="A2194" s="7">
        <v>2187</v>
      </c>
      <c r="B2194" s="7">
        <v>0</v>
      </c>
      <c r="C2194" s="7">
        <f t="shared" si="106"/>
        <v>0.75583605794746755</v>
      </c>
      <c r="D2194" s="7">
        <f t="shared" si="107"/>
        <v>0.75586047434167281</v>
      </c>
      <c r="E2194" s="7">
        <f t="shared" si="108"/>
        <v>-0.27989847758459119</v>
      </c>
    </row>
    <row r="2195" spans="1:5" x14ac:dyDescent="0.15">
      <c r="A2195" s="7">
        <v>2188</v>
      </c>
      <c r="B2195" s="7">
        <v>0</v>
      </c>
      <c r="C2195" s="7">
        <f t="shared" si="106"/>
        <v>0.75583605794746755</v>
      </c>
      <c r="D2195" s="7">
        <f t="shared" si="107"/>
        <v>0.75586047434167281</v>
      </c>
      <c r="E2195" s="7">
        <f t="shared" si="108"/>
        <v>-0.27989847758459119</v>
      </c>
    </row>
    <row r="2196" spans="1:5" x14ac:dyDescent="0.15">
      <c r="A2196" s="7">
        <v>2189</v>
      </c>
      <c r="B2196" s="7">
        <v>0</v>
      </c>
      <c r="C2196" s="7">
        <f t="shared" si="106"/>
        <v>0.75583605794746755</v>
      </c>
      <c r="D2196" s="7">
        <f t="shared" si="107"/>
        <v>0.75586047434167281</v>
      </c>
      <c r="E2196" s="7">
        <f t="shared" si="108"/>
        <v>-0.27989847758459119</v>
      </c>
    </row>
    <row r="2197" spans="1:5" x14ac:dyDescent="0.15">
      <c r="A2197" s="7">
        <v>2190</v>
      </c>
      <c r="B2197" s="7">
        <v>0</v>
      </c>
      <c r="C2197" s="7">
        <f t="shared" si="106"/>
        <v>0.75583605794746755</v>
      </c>
      <c r="D2197" s="7">
        <f t="shared" si="107"/>
        <v>0.75586047434167281</v>
      </c>
      <c r="E2197" s="7">
        <f t="shared" si="108"/>
        <v>-0.27989847758459119</v>
      </c>
    </row>
    <row r="2198" spans="1:5" x14ac:dyDescent="0.15">
      <c r="A2198" s="7">
        <v>2191</v>
      </c>
      <c r="B2198" s="7">
        <v>0</v>
      </c>
      <c r="C2198" s="7">
        <f t="shared" si="106"/>
        <v>0.75583605794746755</v>
      </c>
      <c r="D2198" s="7">
        <f t="shared" si="107"/>
        <v>0.75586047434167281</v>
      </c>
      <c r="E2198" s="7">
        <f t="shared" si="108"/>
        <v>-0.27989847758459119</v>
      </c>
    </row>
    <row r="2199" spans="1:5" x14ac:dyDescent="0.15">
      <c r="A2199" s="7">
        <v>2192</v>
      </c>
      <c r="B2199" s="7">
        <v>3</v>
      </c>
      <c r="C2199" s="7">
        <f t="shared" si="106"/>
        <v>2.7470963680778882E-2</v>
      </c>
      <c r="D2199" s="7">
        <f t="shared" si="107"/>
        <v>2.7468216584410805E-2</v>
      </c>
      <c r="E2199" s="7">
        <f t="shared" si="108"/>
        <v>-3.5947257032827968</v>
      </c>
    </row>
    <row r="2200" spans="1:5" x14ac:dyDescent="0.15">
      <c r="A2200" s="7">
        <v>2193</v>
      </c>
      <c r="B2200" s="7">
        <v>1</v>
      </c>
      <c r="C2200" s="7">
        <f t="shared" si="106"/>
        <v>8.8686757970141181E-2</v>
      </c>
      <c r="D2200" s="7">
        <f t="shared" si="107"/>
        <v>8.867788929434417E-2</v>
      </c>
      <c r="E2200" s="7">
        <f t="shared" si="108"/>
        <v>-2.4227446958891354</v>
      </c>
    </row>
    <row r="2201" spans="1:5" x14ac:dyDescent="0.15">
      <c r="A2201" s="7">
        <v>2194</v>
      </c>
      <c r="B2201" s="7">
        <v>2</v>
      </c>
      <c r="C2201" s="7">
        <f t="shared" si="106"/>
        <v>4.4066701399555049E-2</v>
      </c>
      <c r="D2201" s="7">
        <f t="shared" si="107"/>
        <v>4.4062294729415093E-2</v>
      </c>
      <c r="E2201" s="7">
        <f t="shared" si="108"/>
        <v>-3.1221508570437044</v>
      </c>
    </row>
    <row r="2202" spans="1:5" x14ac:dyDescent="0.15">
      <c r="A2202" s="7">
        <v>2195</v>
      </c>
      <c r="B2202" s="7">
        <v>0</v>
      </c>
      <c r="C2202" s="7">
        <f t="shared" si="106"/>
        <v>0.75583605794746755</v>
      </c>
      <c r="D2202" s="7">
        <f t="shared" si="107"/>
        <v>0.75586047434167281</v>
      </c>
      <c r="E2202" s="7">
        <f t="shared" si="108"/>
        <v>-0.27989847758459119</v>
      </c>
    </row>
    <row r="2203" spans="1:5" x14ac:dyDescent="0.15">
      <c r="A2203" s="7">
        <v>2196</v>
      </c>
      <c r="B2203" s="7">
        <v>0</v>
      </c>
      <c r="C2203" s="7">
        <f t="shared" si="106"/>
        <v>0.75583605794746755</v>
      </c>
      <c r="D2203" s="7">
        <f t="shared" si="107"/>
        <v>0.75586047434167281</v>
      </c>
      <c r="E2203" s="7">
        <f t="shared" si="108"/>
        <v>-0.27989847758459119</v>
      </c>
    </row>
    <row r="2204" spans="1:5" x14ac:dyDescent="0.15">
      <c r="A2204" s="7">
        <v>2197</v>
      </c>
      <c r="B2204" s="7">
        <v>0</v>
      </c>
      <c r="C2204" s="7">
        <f t="shared" si="106"/>
        <v>0.75583605794746755</v>
      </c>
      <c r="D2204" s="7">
        <f t="shared" si="107"/>
        <v>0.75586047434167281</v>
      </c>
      <c r="E2204" s="7">
        <f t="shared" si="108"/>
        <v>-0.27989847758459119</v>
      </c>
    </row>
    <row r="2205" spans="1:5" x14ac:dyDescent="0.15">
      <c r="A2205" s="7">
        <v>2198</v>
      </c>
      <c r="B2205" s="7">
        <v>3</v>
      </c>
      <c r="C2205" s="7">
        <f t="shared" si="106"/>
        <v>2.7470963680778882E-2</v>
      </c>
      <c r="D2205" s="7">
        <f t="shared" si="107"/>
        <v>2.7468216584410805E-2</v>
      </c>
      <c r="E2205" s="7">
        <f t="shared" si="108"/>
        <v>-3.5947257032827968</v>
      </c>
    </row>
    <row r="2206" spans="1:5" x14ac:dyDescent="0.15">
      <c r="A2206" s="7">
        <v>2199</v>
      </c>
      <c r="B2206" s="7">
        <v>0</v>
      </c>
      <c r="C2206" s="7">
        <f t="shared" si="106"/>
        <v>0.75583605794746755</v>
      </c>
      <c r="D2206" s="7">
        <f t="shared" si="107"/>
        <v>0.75586047434167281</v>
      </c>
      <c r="E2206" s="7">
        <f t="shared" si="108"/>
        <v>-0.27989847758459119</v>
      </c>
    </row>
    <row r="2207" spans="1:5" x14ac:dyDescent="0.15">
      <c r="A2207" s="7">
        <v>2200</v>
      </c>
      <c r="B2207" s="7">
        <v>1</v>
      </c>
      <c r="C2207" s="7">
        <f t="shared" si="106"/>
        <v>8.8686757970141181E-2</v>
      </c>
      <c r="D2207" s="7">
        <f t="shared" si="107"/>
        <v>8.867788929434417E-2</v>
      </c>
      <c r="E2207" s="7">
        <f t="shared" si="108"/>
        <v>-2.4227446958891354</v>
      </c>
    </row>
    <row r="2208" spans="1:5" x14ac:dyDescent="0.15">
      <c r="A2208" s="7">
        <v>2201</v>
      </c>
      <c r="B2208" s="7">
        <v>0</v>
      </c>
      <c r="C2208" s="7">
        <f t="shared" si="106"/>
        <v>0.75583605794746755</v>
      </c>
      <c r="D2208" s="7">
        <f t="shared" si="107"/>
        <v>0.75586047434167281</v>
      </c>
      <c r="E2208" s="7">
        <f t="shared" si="108"/>
        <v>-0.27989847758459119</v>
      </c>
    </row>
    <row r="2209" spans="1:5" x14ac:dyDescent="0.15">
      <c r="A2209" s="7">
        <v>2202</v>
      </c>
      <c r="B2209" s="7">
        <v>0</v>
      </c>
      <c r="C2209" s="7">
        <f t="shared" si="106"/>
        <v>0.75583605794746755</v>
      </c>
      <c r="D2209" s="7">
        <f t="shared" si="107"/>
        <v>0.75586047434167281</v>
      </c>
      <c r="E2209" s="7">
        <f t="shared" si="108"/>
        <v>-0.27989847758459119</v>
      </c>
    </row>
    <row r="2210" spans="1:5" x14ac:dyDescent="0.15">
      <c r="A2210" s="7">
        <v>2203</v>
      </c>
      <c r="B2210" s="7">
        <v>1</v>
      </c>
      <c r="C2210" s="7">
        <f t="shared" si="106"/>
        <v>8.8686757970141181E-2</v>
      </c>
      <c r="D2210" s="7">
        <f t="shared" si="107"/>
        <v>8.867788929434417E-2</v>
      </c>
      <c r="E2210" s="7">
        <f t="shared" si="108"/>
        <v>-2.4227446958891354</v>
      </c>
    </row>
    <row r="2211" spans="1:5" x14ac:dyDescent="0.15">
      <c r="A2211" s="7">
        <v>2204</v>
      </c>
      <c r="B2211" s="7">
        <v>14</v>
      </c>
      <c r="C2211" s="7">
        <f t="shared" si="106"/>
        <v>1.7226308754647042E-3</v>
      </c>
      <c r="D2211" s="7">
        <f t="shared" si="107"/>
        <v>1.7224586123771577E-3</v>
      </c>
      <c r="E2211" s="7">
        <f t="shared" si="108"/>
        <v>-6.3640025830126428</v>
      </c>
    </row>
    <row r="2212" spans="1:5" x14ac:dyDescent="0.15">
      <c r="A2212" s="7">
        <v>2205</v>
      </c>
      <c r="B2212" s="7">
        <v>1</v>
      </c>
      <c r="C2212" s="7">
        <f t="shared" si="106"/>
        <v>8.8686757970141181E-2</v>
      </c>
      <c r="D2212" s="7">
        <f t="shared" si="107"/>
        <v>8.867788929434417E-2</v>
      </c>
      <c r="E2212" s="7">
        <f t="shared" si="108"/>
        <v>-2.4227446958891354</v>
      </c>
    </row>
    <row r="2213" spans="1:5" x14ac:dyDescent="0.15">
      <c r="A2213" s="7">
        <v>2206</v>
      </c>
      <c r="B2213" s="7">
        <v>1</v>
      </c>
      <c r="C2213" s="7">
        <f t="shared" si="106"/>
        <v>8.8686757970141181E-2</v>
      </c>
      <c r="D2213" s="7">
        <f t="shared" si="107"/>
        <v>8.867788929434417E-2</v>
      </c>
      <c r="E2213" s="7">
        <f t="shared" si="108"/>
        <v>-2.4227446958891354</v>
      </c>
    </row>
    <row r="2214" spans="1:5" x14ac:dyDescent="0.15">
      <c r="A2214" s="7">
        <v>2207</v>
      </c>
      <c r="B2214" s="7">
        <v>0</v>
      </c>
      <c r="C2214" s="7">
        <f t="shared" si="106"/>
        <v>0.75583605794746755</v>
      </c>
      <c r="D2214" s="7">
        <f t="shared" si="107"/>
        <v>0.75586047434167281</v>
      </c>
      <c r="E2214" s="7">
        <f t="shared" si="108"/>
        <v>-0.27989847758459119</v>
      </c>
    </row>
    <row r="2215" spans="1:5" x14ac:dyDescent="0.15">
      <c r="A2215" s="7">
        <v>2208</v>
      </c>
      <c r="B2215" s="7">
        <v>0</v>
      </c>
      <c r="C2215" s="7">
        <f t="shared" si="106"/>
        <v>0.75583605794746755</v>
      </c>
      <c r="D2215" s="7">
        <f t="shared" si="107"/>
        <v>0.75586047434167281</v>
      </c>
      <c r="E2215" s="7">
        <f t="shared" si="108"/>
        <v>-0.27989847758459119</v>
      </c>
    </row>
    <row r="2216" spans="1:5" x14ac:dyDescent="0.15">
      <c r="A2216" s="7">
        <v>2209</v>
      </c>
      <c r="B2216" s="7">
        <v>0</v>
      </c>
      <c r="C2216" s="7">
        <f t="shared" si="106"/>
        <v>0.75583605794746755</v>
      </c>
      <c r="D2216" s="7">
        <f t="shared" si="107"/>
        <v>0.75586047434167281</v>
      </c>
      <c r="E2216" s="7">
        <f t="shared" si="108"/>
        <v>-0.27989847758459119</v>
      </c>
    </row>
    <row r="2217" spans="1:5" x14ac:dyDescent="0.15">
      <c r="A2217" s="7">
        <v>2210</v>
      </c>
      <c r="B2217" s="7">
        <v>0</v>
      </c>
      <c r="C2217" s="7">
        <f t="shared" si="106"/>
        <v>0.75583605794746755</v>
      </c>
      <c r="D2217" s="7">
        <f t="shared" si="107"/>
        <v>0.75586047434167281</v>
      </c>
      <c r="E2217" s="7">
        <f t="shared" si="108"/>
        <v>-0.27989847758459119</v>
      </c>
    </row>
    <row r="2218" spans="1:5" x14ac:dyDescent="0.15">
      <c r="A2218" s="7">
        <v>2211</v>
      </c>
      <c r="B2218" s="7">
        <v>6</v>
      </c>
      <c r="C2218" s="7">
        <f t="shared" si="106"/>
        <v>1.0249964283711298E-2</v>
      </c>
      <c r="D2218" s="7">
        <f t="shared" si="107"/>
        <v>1.0248939287282927E-2</v>
      </c>
      <c r="E2218" s="7">
        <f t="shared" si="108"/>
        <v>-4.5805810629200954</v>
      </c>
    </row>
    <row r="2219" spans="1:5" x14ac:dyDescent="0.15">
      <c r="A2219" s="7">
        <v>2212</v>
      </c>
      <c r="B2219" s="7">
        <v>0</v>
      </c>
      <c r="C2219" s="7">
        <f t="shared" si="106"/>
        <v>0.75583605794746755</v>
      </c>
      <c r="D2219" s="7">
        <f t="shared" si="107"/>
        <v>0.75586047434167281</v>
      </c>
      <c r="E2219" s="7">
        <f t="shared" si="108"/>
        <v>-0.27989847758459119</v>
      </c>
    </row>
    <row r="2220" spans="1:5" x14ac:dyDescent="0.15">
      <c r="A2220" s="7">
        <v>2213</v>
      </c>
      <c r="B2220" s="7">
        <v>0</v>
      </c>
      <c r="C2220" s="7">
        <f t="shared" si="106"/>
        <v>0.75583605794746755</v>
      </c>
      <c r="D2220" s="7">
        <f t="shared" si="107"/>
        <v>0.75586047434167281</v>
      </c>
      <c r="E2220" s="7">
        <f t="shared" si="108"/>
        <v>-0.27989847758459119</v>
      </c>
    </row>
    <row r="2221" spans="1:5" x14ac:dyDescent="0.15">
      <c r="A2221" s="7">
        <v>2214</v>
      </c>
      <c r="B2221" s="7">
        <v>0</v>
      </c>
      <c r="C2221" s="7">
        <f t="shared" si="106"/>
        <v>0.75583605794746755</v>
      </c>
      <c r="D2221" s="7">
        <f t="shared" si="107"/>
        <v>0.75586047434167281</v>
      </c>
      <c r="E2221" s="7">
        <f t="shared" si="108"/>
        <v>-0.27989847758459119</v>
      </c>
    </row>
    <row r="2222" spans="1:5" x14ac:dyDescent="0.15">
      <c r="A2222" s="7">
        <v>2215</v>
      </c>
      <c r="B2222" s="7">
        <v>0</v>
      </c>
      <c r="C2222" s="7">
        <f t="shared" si="106"/>
        <v>0.75583605794746755</v>
      </c>
      <c r="D2222" s="7">
        <f t="shared" si="107"/>
        <v>0.75586047434167281</v>
      </c>
      <c r="E2222" s="7">
        <f t="shared" si="108"/>
        <v>-0.27989847758459119</v>
      </c>
    </row>
    <row r="2223" spans="1:5" x14ac:dyDescent="0.15">
      <c r="A2223" s="7">
        <v>2216</v>
      </c>
      <c r="B2223" s="7">
        <v>0</v>
      </c>
      <c r="C2223" s="7">
        <f t="shared" si="106"/>
        <v>0.75583605794746755</v>
      </c>
      <c r="D2223" s="7">
        <f t="shared" si="107"/>
        <v>0.75586047434167281</v>
      </c>
      <c r="E2223" s="7">
        <f t="shared" si="108"/>
        <v>-0.27989847758459119</v>
      </c>
    </row>
    <row r="2224" spans="1:5" x14ac:dyDescent="0.15">
      <c r="A2224" s="7">
        <v>2217</v>
      </c>
      <c r="B2224" s="7">
        <v>3</v>
      </c>
      <c r="C2224" s="7">
        <f t="shared" si="106"/>
        <v>2.7470963680778882E-2</v>
      </c>
      <c r="D2224" s="7">
        <f t="shared" si="107"/>
        <v>2.7468216584410805E-2</v>
      </c>
      <c r="E2224" s="7">
        <f t="shared" si="108"/>
        <v>-3.5947257032827968</v>
      </c>
    </row>
    <row r="2225" spans="1:5" x14ac:dyDescent="0.15">
      <c r="A2225" s="7">
        <v>2218</v>
      </c>
      <c r="B2225" s="7">
        <v>0</v>
      </c>
      <c r="C2225" s="7">
        <f t="shared" si="106"/>
        <v>0.75583605794746755</v>
      </c>
      <c r="D2225" s="7">
        <f t="shared" si="107"/>
        <v>0.75586047434167281</v>
      </c>
      <c r="E2225" s="7">
        <f t="shared" si="108"/>
        <v>-0.27989847758459119</v>
      </c>
    </row>
    <row r="2226" spans="1:5" x14ac:dyDescent="0.15">
      <c r="A2226" s="7">
        <v>2219</v>
      </c>
      <c r="B2226" s="7">
        <v>1</v>
      </c>
      <c r="C2226" s="7">
        <f t="shared" si="106"/>
        <v>8.8686757970141181E-2</v>
      </c>
      <c r="D2226" s="7">
        <f t="shared" si="107"/>
        <v>8.867788929434417E-2</v>
      </c>
      <c r="E2226" s="7">
        <f t="shared" si="108"/>
        <v>-2.4227446958891354</v>
      </c>
    </row>
    <row r="2227" spans="1:5" x14ac:dyDescent="0.15">
      <c r="A2227" s="7">
        <v>2220</v>
      </c>
      <c r="B2227" s="7">
        <v>1</v>
      </c>
      <c r="C2227" s="7">
        <f t="shared" si="106"/>
        <v>8.8686757970141181E-2</v>
      </c>
      <c r="D2227" s="7">
        <f t="shared" si="107"/>
        <v>8.867788929434417E-2</v>
      </c>
      <c r="E2227" s="7">
        <f t="shared" si="108"/>
        <v>-2.4227446958891354</v>
      </c>
    </row>
    <row r="2228" spans="1:5" x14ac:dyDescent="0.15">
      <c r="A2228" s="7">
        <v>2221</v>
      </c>
      <c r="B2228" s="7">
        <v>0</v>
      </c>
      <c r="C2228" s="7">
        <f t="shared" si="106"/>
        <v>0.75583605794746755</v>
      </c>
      <c r="D2228" s="7">
        <f t="shared" si="107"/>
        <v>0.75586047434167281</v>
      </c>
      <c r="E2228" s="7">
        <f t="shared" si="108"/>
        <v>-0.27989847758459119</v>
      </c>
    </row>
    <row r="2229" spans="1:5" x14ac:dyDescent="0.15">
      <c r="A2229" s="7">
        <v>2222</v>
      </c>
      <c r="B2229" s="7">
        <v>1</v>
      </c>
      <c r="C2229" s="7">
        <f t="shared" si="106"/>
        <v>8.8686757970141181E-2</v>
      </c>
      <c r="D2229" s="7">
        <f t="shared" si="107"/>
        <v>8.867788929434417E-2</v>
      </c>
      <c r="E2229" s="7">
        <f t="shared" si="108"/>
        <v>-2.4227446958891354</v>
      </c>
    </row>
    <row r="2230" spans="1:5" x14ac:dyDescent="0.15">
      <c r="A2230" s="7">
        <v>2223</v>
      </c>
      <c r="B2230" s="7">
        <v>0</v>
      </c>
      <c r="C2230" s="7">
        <f t="shared" si="106"/>
        <v>0.75583605794746755</v>
      </c>
      <c r="D2230" s="7">
        <f t="shared" si="107"/>
        <v>0.75586047434167281</v>
      </c>
      <c r="E2230" s="7">
        <f t="shared" si="108"/>
        <v>-0.27989847758459119</v>
      </c>
    </row>
    <row r="2231" spans="1:5" x14ac:dyDescent="0.15">
      <c r="A2231" s="7">
        <v>2224</v>
      </c>
      <c r="B2231" s="7">
        <v>0</v>
      </c>
      <c r="C2231" s="7">
        <f t="shared" si="106"/>
        <v>0.75583605794746755</v>
      </c>
      <c r="D2231" s="7">
        <f t="shared" si="107"/>
        <v>0.75586047434167281</v>
      </c>
      <c r="E2231" s="7">
        <f t="shared" si="108"/>
        <v>-0.27989847758459119</v>
      </c>
    </row>
    <row r="2232" spans="1:5" x14ac:dyDescent="0.15">
      <c r="A2232" s="7">
        <v>2225</v>
      </c>
      <c r="B2232" s="7">
        <v>0</v>
      </c>
      <c r="C2232" s="7">
        <f t="shared" si="106"/>
        <v>0.75583605794746755</v>
      </c>
      <c r="D2232" s="7">
        <f t="shared" si="107"/>
        <v>0.75586047434167281</v>
      </c>
      <c r="E2232" s="7">
        <f t="shared" si="108"/>
        <v>-0.27989847758459119</v>
      </c>
    </row>
    <row r="2233" spans="1:5" x14ac:dyDescent="0.15">
      <c r="A2233" s="7">
        <v>2226</v>
      </c>
      <c r="B2233" s="7">
        <v>1</v>
      </c>
      <c r="C2233" s="7">
        <f t="shared" si="106"/>
        <v>8.8686757970141181E-2</v>
      </c>
      <c r="D2233" s="7">
        <f t="shared" si="107"/>
        <v>8.867788929434417E-2</v>
      </c>
      <c r="E2233" s="7">
        <f t="shared" si="108"/>
        <v>-2.4227446958891354</v>
      </c>
    </row>
    <row r="2234" spans="1:5" x14ac:dyDescent="0.15">
      <c r="A2234" s="7">
        <v>2227</v>
      </c>
      <c r="B2234" s="7">
        <v>0</v>
      </c>
      <c r="C2234" s="7">
        <f t="shared" si="106"/>
        <v>0.75583605794746755</v>
      </c>
      <c r="D2234" s="7">
        <f t="shared" si="107"/>
        <v>0.75586047434167281</v>
      </c>
      <c r="E2234" s="7">
        <f t="shared" si="108"/>
        <v>-0.27989847758459119</v>
      </c>
    </row>
    <row r="2235" spans="1:5" x14ac:dyDescent="0.15">
      <c r="A2235" s="7">
        <v>2228</v>
      </c>
      <c r="B2235" s="7">
        <v>3</v>
      </c>
      <c r="C2235" s="7">
        <f t="shared" si="106"/>
        <v>2.7470963680778882E-2</v>
      </c>
      <c r="D2235" s="7">
        <f t="shared" si="107"/>
        <v>2.7468216584410805E-2</v>
      </c>
      <c r="E2235" s="7">
        <f t="shared" si="108"/>
        <v>-3.5947257032827968</v>
      </c>
    </row>
    <row r="2236" spans="1:5" x14ac:dyDescent="0.15">
      <c r="A2236" s="7">
        <v>2229</v>
      </c>
      <c r="B2236" s="7">
        <v>1</v>
      </c>
      <c r="C2236" s="7">
        <f t="shared" si="106"/>
        <v>8.8686757970141181E-2</v>
      </c>
      <c r="D2236" s="7">
        <f t="shared" si="107"/>
        <v>8.867788929434417E-2</v>
      </c>
      <c r="E2236" s="7">
        <f t="shared" si="108"/>
        <v>-2.4227446958891354</v>
      </c>
    </row>
    <row r="2237" spans="1:5" x14ac:dyDescent="0.15">
      <c r="A2237" s="7">
        <v>2230</v>
      </c>
      <c r="B2237" s="7">
        <v>0</v>
      </c>
      <c r="C2237" s="7">
        <f t="shared" si="106"/>
        <v>0.75583605794746755</v>
      </c>
      <c r="D2237" s="7">
        <f t="shared" si="107"/>
        <v>0.75586047434167281</v>
      </c>
      <c r="E2237" s="7">
        <f t="shared" si="108"/>
        <v>-0.27989847758459119</v>
      </c>
    </row>
    <row r="2238" spans="1:5" x14ac:dyDescent="0.15">
      <c r="A2238" s="7">
        <v>2231</v>
      </c>
      <c r="B2238" s="7">
        <v>3</v>
      </c>
      <c r="C2238" s="7">
        <f t="shared" si="106"/>
        <v>2.7470963680778882E-2</v>
      </c>
      <c r="D2238" s="7">
        <f t="shared" si="107"/>
        <v>2.7468216584410805E-2</v>
      </c>
      <c r="E2238" s="7">
        <f t="shared" si="108"/>
        <v>-3.5947257032827968</v>
      </c>
    </row>
    <row r="2239" spans="1:5" x14ac:dyDescent="0.15">
      <c r="A2239" s="7">
        <v>2232</v>
      </c>
      <c r="B2239" s="7">
        <v>0</v>
      </c>
      <c r="C2239" s="7">
        <f t="shared" si="106"/>
        <v>0.75583605794746755</v>
      </c>
      <c r="D2239" s="7">
        <f t="shared" si="107"/>
        <v>0.75586047434167281</v>
      </c>
      <c r="E2239" s="7">
        <f t="shared" si="108"/>
        <v>-0.27989847758459119</v>
      </c>
    </row>
    <row r="2240" spans="1:5" x14ac:dyDescent="0.15">
      <c r="A2240" s="7">
        <v>2233</v>
      </c>
      <c r="B2240" s="7">
        <v>0</v>
      </c>
      <c r="C2240" s="7">
        <f t="shared" si="106"/>
        <v>0.75583605794746755</v>
      </c>
      <c r="D2240" s="7">
        <f t="shared" si="107"/>
        <v>0.75586047434167281</v>
      </c>
      <c r="E2240" s="7">
        <f t="shared" si="108"/>
        <v>-0.27989847758459119</v>
      </c>
    </row>
    <row r="2241" spans="1:5" x14ac:dyDescent="0.15">
      <c r="A2241" s="7">
        <v>2234</v>
      </c>
      <c r="B2241" s="7">
        <v>0</v>
      </c>
      <c r="C2241" s="7">
        <f t="shared" si="106"/>
        <v>0.75583605794746755</v>
      </c>
      <c r="D2241" s="7">
        <f t="shared" si="107"/>
        <v>0.75586047434167281</v>
      </c>
      <c r="E2241" s="7">
        <f t="shared" si="108"/>
        <v>-0.27989847758459119</v>
      </c>
    </row>
    <row r="2242" spans="1:5" x14ac:dyDescent="0.15">
      <c r="A2242" s="7">
        <v>2235</v>
      </c>
      <c r="B2242" s="7">
        <v>1</v>
      </c>
      <c r="C2242" s="7">
        <f t="shared" si="106"/>
        <v>8.8686757970141181E-2</v>
      </c>
      <c r="D2242" s="7">
        <f t="shared" si="107"/>
        <v>8.867788929434417E-2</v>
      </c>
      <c r="E2242" s="7">
        <f t="shared" si="108"/>
        <v>-2.4227446958891354</v>
      </c>
    </row>
    <row r="2243" spans="1:5" x14ac:dyDescent="0.15">
      <c r="A2243" s="7">
        <v>2236</v>
      </c>
      <c r="B2243" s="7">
        <v>0</v>
      </c>
      <c r="C2243" s="7">
        <f t="shared" si="106"/>
        <v>0.75583605794746755</v>
      </c>
      <c r="D2243" s="7">
        <f t="shared" si="107"/>
        <v>0.75586047434167281</v>
      </c>
      <c r="E2243" s="7">
        <f t="shared" si="108"/>
        <v>-0.27989847758459119</v>
      </c>
    </row>
    <row r="2244" spans="1:5" x14ac:dyDescent="0.15">
      <c r="A2244" s="7">
        <v>2237</v>
      </c>
      <c r="B2244" s="7">
        <v>0</v>
      </c>
      <c r="C2244" s="7">
        <f t="shared" si="106"/>
        <v>0.75583605794746755</v>
      </c>
      <c r="D2244" s="7">
        <f t="shared" si="107"/>
        <v>0.75586047434167281</v>
      </c>
      <c r="E2244" s="7">
        <f t="shared" si="108"/>
        <v>-0.27989847758459119</v>
      </c>
    </row>
    <row r="2245" spans="1:5" x14ac:dyDescent="0.15">
      <c r="A2245" s="7">
        <v>2238</v>
      </c>
      <c r="B2245" s="7">
        <v>0</v>
      </c>
      <c r="C2245" s="7">
        <f t="shared" si="106"/>
        <v>0.75583605794746755</v>
      </c>
      <c r="D2245" s="7">
        <f t="shared" si="107"/>
        <v>0.75586047434167281</v>
      </c>
      <c r="E2245" s="7">
        <f t="shared" si="108"/>
        <v>-0.27989847758459119</v>
      </c>
    </row>
    <row r="2246" spans="1:5" x14ac:dyDescent="0.15">
      <c r="A2246" s="7">
        <v>2239</v>
      </c>
      <c r="B2246" s="7">
        <v>1</v>
      </c>
      <c r="C2246" s="7">
        <f t="shared" si="106"/>
        <v>8.8686757970141181E-2</v>
      </c>
      <c r="D2246" s="7">
        <f t="shared" si="107"/>
        <v>8.867788929434417E-2</v>
      </c>
      <c r="E2246" s="7">
        <f t="shared" si="108"/>
        <v>-2.4227446958891354</v>
      </c>
    </row>
    <row r="2247" spans="1:5" x14ac:dyDescent="0.15">
      <c r="A2247" s="7">
        <v>2240</v>
      </c>
      <c r="B2247" s="7">
        <v>0</v>
      </c>
      <c r="C2247" s="7">
        <f t="shared" si="106"/>
        <v>0.75583605794746755</v>
      </c>
      <c r="D2247" s="7">
        <f t="shared" si="107"/>
        <v>0.75586047434167281</v>
      </c>
      <c r="E2247" s="7">
        <f t="shared" si="108"/>
        <v>-0.27989847758459119</v>
      </c>
    </row>
    <row r="2248" spans="1:5" x14ac:dyDescent="0.15">
      <c r="A2248" s="7">
        <v>2241</v>
      </c>
      <c r="B2248" s="7">
        <v>0</v>
      </c>
      <c r="C2248" s="7">
        <f t="shared" si="106"/>
        <v>0.75583605794746755</v>
      </c>
      <c r="D2248" s="7">
        <f t="shared" si="107"/>
        <v>0.75586047434167281</v>
      </c>
      <c r="E2248" s="7">
        <f t="shared" si="108"/>
        <v>-0.27989847758459119</v>
      </c>
    </row>
    <row r="2249" spans="1:5" x14ac:dyDescent="0.15">
      <c r="A2249" s="7">
        <v>2242</v>
      </c>
      <c r="B2249" s="7">
        <v>0</v>
      </c>
      <c r="C2249" s="7">
        <f t="shared" ref="C2249:C2312" si="109">(_xlfn.GAMMA($B$1+B2249)/(_xlfn.GAMMA($B$1)*FACT(B2249))) * ($B$2/($B$2+$B$5))^$B$1 * (1/($B$2 +$B$5))^B2249</f>
        <v>0.75583605794746755</v>
      </c>
      <c r="D2249" s="7">
        <f t="shared" ref="D2249:D2312" si="110" xml:space="preserve"> IF(B2249 = 0, $B$3 + (1-$B$3) * C2249, (1-$B$3) *C2249)</f>
        <v>0.75586047434167281</v>
      </c>
      <c r="E2249" s="7">
        <f t="shared" ref="E2249:E2312" si="111">LN(D2249)</f>
        <v>-0.27989847758459119</v>
      </c>
    </row>
    <row r="2250" spans="1:5" x14ac:dyDescent="0.15">
      <c r="A2250" s="7">
        <v>2243</v>
      </c>
      <c r="B2250" s="7">
        <v>0</v>
      </c>
      <c r="C2250" s="7">
        <f t="shared" si="109"/>
        <v>0.75583605794746755</v>
      </c>
      <c r="D2250" s="7">
        <f t="shared" si="110"/>
        <v>0.75586047434167281</v>
      </c>
      <c r="E2250" s="7">
        <f t="shared" si="111"/>
        <v>-0.27989847758459119</v>
      </c>
    </row>
    <row r="2251" spans="1:5" x14ac:dyDescent="0.15">
      <c r="A2251" s="7">
        <v>2244</v>
      </c>
      <c r="B2251" s="7">
        <v>1</v>
      </c>
      <c r="C2251" s="7">
        <f t="shared" si="109"/>
        <v>8.8686757970141181E-2</v>
      </c>
      <c r="D2251" s="7">
        <f t="shared" si="110"/>
        <v>8.867788929434417E-2</v>
      </c>
      <c r="E2251" s="7">
        <f t="shared" si="111"/>
        <v>-2.4227446958891354</v>
      </c>
    </row>
    <row r="2252" spans="1:5" x14ac:dyDescent="0.15">
      <c r="A2252" s="7">
        <v>2245</v>
      </c>
      <c r="B2252" s="7">
        <v>0</v>
      </c>
      <c r="C2252" s="7">
        <f t="shared" si="109"/>
        <v>0.75583605794746755</v>
      </c>
      <c r="D2252" s="7">
        <f t="shared" si="110"/>
        <v>0.75586047434167281</v>
      </c>
      <c r="E2252" s="7">
        <f t="shared" si="111"/>
        <v>-0.27989847758459119</v>
      </c>
    </row>
    <row r="2253" spans="1:5" x14ac:dyDescent="0.15">
      <c r="A2253" s="7">
        <v>2246</v>
      </c>
      <c r="B2253" s="7">
        <v>1</v>
      </c>
      <c r="C2253" s="7">
        <f t="shared" si="109"/>
        <v>8.8686757970141181E-2</v>
      </c>
      <c r="D2253" s="7">
        <f t="shared" si="110"/>
        <v>8.867788929434417E-2</v>
      </c>
      <c r="E2253" s="7">
        <f t="shared" si="111"/>
        <v>-2.4227446958891354</v>
      </c>
    </row>
    <row r="2254" spans="1:5" x14ac:dyDescent="0.15">
      <c r="A2254" s="7">
        <v>2247</v>
      </c>
      <c r="B2254" s="7">
        <v>0</v>
      </c>
      <c r="C2254" s="7">
        <f t="shared" si="109"/>
        <v>0.75583605794746755</v>
      </c>
      <c r="D2254" s="7">
        <f t="shared" si="110"/>
        <v>0.75586047434167281</v>
      </c>
      <c r="E2254" s="7">
        <f t="shared" si="111"/>
        <v>-0.27989847758459119</v>
      </c>
    </row>
    <row r="2255" spans="1:5" x14ac:dyDescent="0.15">
      <c r="A2255" s="7">
        <v>2248</v>
      </c>
      <c r="B2255" s="7">
        <v>0</v>
      </c>
      <c r="C2255" s="7">
        <f t="shared" si="109"/>
        <v>0.75583605794746755</v>
      </c>
      <c r="D2255" s="7">
        <f t="shared" si="110"/>
        <v>0.75586047434167281</v>
      </c>
      <c r="E2255" s="7">
        <f t="shared" si="111"/>
        <v>-0.27989847758459119</v>
      </c>
    </row>
    <row r="2256" spans="1:5" x14ac:dyDescent="0.15">
      <c r="A2256" s="7">
        <v>2249</v>
      </c>
      <c r="B2256" s="7">
        <v>0</v>
      </c>
      <c r="C2256" s="7">
        <f t="shared" si="109"/>
        <v>0.75583605794746755</v>
      </c>
      <c r="D2256" s="7">
        <f t="shared" si="110"/>
        <v>0.75586047434167281</v>
      </c>
      <c r="E2256" s="7">
        <f t="shared" si="111"/>
        <v>-0.27989847758459119</v>
      </c>
    </row>
    <row r="2257" spans="1:5" x14ac:dyDescent="0.15">
      <c r="A2257" s="7">
        <v>2250</v>
      </c>
      <c r="B2257" s="7">
        <v>6</v>
      </c>
      <c r="C2257" s="7">
        <f t="shared" si="109"/>
        <v>1.0249964283711298E-2</v>
      </c>
      <c r="D2257" s="7">
        <f t="shared" si="110"/>
        <v>1.0248939287282927E-2</v>
      </c>
      <c r="E2257" s="7">
        <f t="shared" si="111"/>
        <v>-4.5805810629200954</v>
      </c>
    </row>
    <row r="2258" spans="1:5" x14ac:dyDescent="0.15">
      <c r="A2258" s="7">
        <v>2251</v>
      </c>
      <c r="B2258" s="7">
        <v>0</v>
      </c>
      <c r="C2258" s="7">
        <f t="shared" si="109"/>
        <v>0.75583605794746755</v>
      </c>
      <c r="D2258" s="7">
        <f t="shared" si="110"/>
        <v>0.75586047434167281</v>
      </c>
      <c r="E2258" s="7">
        <f t="shared" si="111"/>
        <v>-0.27989847758459119</v>
      </c>
    </row>
    <row r="2259" spans="1:5" x14ac:dyDescent="0.15">
      <c r="A2259" s="7">
        <v>2252</v>
      </c>
      <c r="B2259" s="7">
        <v>0</v>
      </c>
      <c r="C2259" s="7">
        <f t="shared" si="109"/>
        <v>0.75583605794746755</v>
      </c>
      <c r="D2259" s="7">
        <f t="shared" si="110"/>
        <v>0.75586047434167281</v>
      </c>
      <c r="E2259" s="7">
        <f t="shared" si="111"/>
        <v>-0.27989847758459119</v>
      </c>
    </row>
    <row r="2260" spans="1:5" x14ac:dyDescent="0.15">
      <c r="A2260" s="7">
        <v>2253</v>
      </c>
      <c r="B2260" s="7">
        <v>5</v>
      </c>
      <c r="C2260" s="7">
        <f t="shared" si="109"/>
        <v>1.366826244062944E-2</v>
      </c>
      <c r="D2260" s="7">
        <f t="shared" si="110"/>
        <v>1.3666895614385376E-2</v>
      </c>
      <c r="E2260" s="7">
        <f t="shared" si="111"/>
        <v>-4.2927787488141558</v>
      </c>
    </row>
    <row r="2261" spans="1:5" x14ac:dyDescent="0.15">
      <c r="A2261" s="7">
        <v>2254</v>
      </c>
      <c r="B2261" s="7">
        <v>0</v>
      </c>
      <c r="C2261" s="7">
        <f t="shared" si="109"/>
        <v>0.75583605794746755</v>
      </c>
      <c r="D2261" s="7">
        <f t="shared" si="110"/>
        <v>0.75586047434167281</v>
      </c>
      <c r="E2261" s="7">
        <f t="shared" si="111"/>
        <v>-0.27989847758459119</v>
      </c>
    </row>
    <row r="2262" spans="1:5" x14ac:dyDescent="0.15">
      <c r="A2262" s="7">
        <v>2255</v>
      </c>
      <c r="B2262" s="7">
        <v>0</v>
      </c>
      <c r="C2262" s="7">
        <f t="shared" si="109"/>
        <v>0.75583605794746755</v>
      </c>
      <c r="D2262" s="7">
        <f t="shared" si="110"/>
        <v>0.75586047434167281</v>
      </c>
      <c r="E2262" s="7">
        <f t="shared" si="111"/>
        <v>-0.27989847758459119</v>
      </c>
    </row>
    <row r="2263" spans="1:5" x14ac:dyDescent="0.15">
      <c r="A2263" s="7">
        <v>2256</v>
      </c>
      <c r="B2263" s="7">
        <v>1</v>
      </c>
      <c r="C2263" s="7">
        <f t="shared" si="109"/>
        <v>8.8686757970141181E-2</v>
      </c>
      <c r="D2263" s="7">
        <f t="shared" si="110"/>
        <v>8.867788929434417E-2</v>
      </c>
      <c r="E2263" s="7">
        <f t="shared" si="111"/>
        <v>-2.4227446958891354</v>
      </c>
    </row>
    <row r="2264" spans="1:5" x14ac:dyDescent="0.15">
      <c r="A2264" s="7">
        <v>2257</v>
      </c>
      <c r="B2264" s="7">
        <v>3</v>
      </c>
      <c r="C2264" s="7">
        <f t="shared" si="109"/>
        <v>2.7470963680778882E-2</v>
      </c>
      <c r="D2264" s="7">
        <f t="shared" si="110"/>
        <v>2.7468216584410805E-2</v>
      </c>
      <c r="E2264" s="7">
        <f t="shared" si="111"/>
        <v>-3.5947257032827968</v>
      </c>
    </row>
    <row r="2265" spans="1:5" x14ac:dyDescent="0.15">
      <c r="A2265" s="7">
        <v>2258</v>
      </c>
      <c r="B2265" s="7">
        <v>0</v>
      </c>
      <c r="C2265" s="7">
        <f t="shared" si="109"/>
        <v>0.75583605794746755</v>
      </c>
      <c r="D2265" s="7">
        <f t="shared" si="110"/>
        <v>0.75586047434167281</v>
      </c>
      <c r="E2265" s="7">
        <f t="shared" si="111"/>
        <v>-0.27989847758459119</v>
      </c>
    </row>
    <row r="2266" spans="1:5" x14ac:dyDescent="0.15">
      <c r="A2266" s="7">
        <v>2259</v>
      </c>
      <c r="B2266" s="7">
        <v>0</v>
      </c>
      <c r="C2266" s="7">
        <f t="shared" si="109"/>
        <v>0.75583605794746755</v>
      </c>
      <c r="D2266" s="7">
        <f t="shared" si="110"/>
        <v>0.75586047434167281</v>
      </c>
      <c r="E2266" s="7">
        <f t="shared" si="111"/>
        <v>-0.27989847758459119</v>
      </c>
    </row>
    <row r="2267" spans="1:5" x14ac:dyDescent="0.15">
      <c r="A2267" s="7">
        <v>2260</v>
      </c>
      <c r="B2267" s="7">
        <v>0</v>
      </c>
      <c r="C2267" s="7">
        <f t="shared" si="109"/>
        <v>0.75583605794746755</v>
      </c>
      <c r="D2267" s="7">
        <f t="shared" si="110"/>
        <v>0.75586047434167281</v>
      </c>
      <c r="E2267" s="7">
        <f t="shared" si="111"/>
        <v>-0.27989847758459119</v>
      </c>
    </row>
    <row r="2268" spans="1:5" x14ac:dyDescent="0.15">
      <c r="A2268" s="7">
        <v>2261</v>
      </c>
      <c r="B2268" s="7">
        <v>0</v>
      </c>
      <c r="C2268" s="7">
        <f t="shared" si="109"/>
        <v>0.75583605794746755</v>
      </c>
      <c r="D2268" s="7">
        <f t="shared" si="110"/>
        <v>0.75586047434167281</v>
      </c>
      <c r="E2268" s="7">
        <f t="shared" si="111"/>
        <v>-0.27989847758459119</v>
      </c>
    </row>
    <row r="2269" spans="1:5" x14ac:dyDescent="0.15">
      <c r="A2269" s="7">
        <v>2262</v>
      </c>
      <c r="B2269" s="7">
        <v>2</v>
      </c>
      <c r="C2269" s="7">
        <f t="shared" si="109"/>
        <v>4.4066701399555049E-2</v>
      </c>
      <c r="D2269" s="7">
        <f t="shared" si="110"/>
        <v>4.4062294729415093E-2</v>
      </c>
      <c r="E2269" s="7">
        <f t="shared" si="111"/>
        <v>-3.1221508570437044</v>
      </c>
    </row>
    <row r="2270" spans="1:5" x14ac:dyDescent="0.15">
      <c r="A2270" s="7">
        <v>2263</v>
      </c>
      <c r="B2270" s="7">
        <v>1</v>
      </c>
      <c r="C2270" s="7">
        <f t="shared" si="109"/>
        <v>8.8686757970141181E-2</v>
      </c>
      <c r="D2270" s="7">
        <f t="shared" si="110"/>
        <v>8.867788929434417E-2</v>
      </c>
      <c r="E2270" s="7">
        <f t="shared" si="111"/>
        <v>-2.4227446958891354</v>
      </c>
    </row>
    <row r="2271" spans="1:5" x14ac:dyDescent="0.15">
      <c r="A2271" s="7">
        <v>2264</v>
      </c>
      <c r="B2271" s="7">
        <v>0</v>
      </c>
      <c r="C2271" s="7">
        <f t="shared" si="109"/>
        <v>0.75583605794746755</v>
      </c>
      <c r="D2271" s="7">
        <f t="shared" si="110"/>
        <v>0.75586047434167281</v>
      </c>
      <c r="E2271" s="7">
        <f t="shared" si="111"/>
        <v>-0.27989847758459119</v>
      </c>
    </row>
    <row r="2272" spans="1:5" x14ac:dyDescent="0.15">
      <c r="A2272" s="7">
        <v>2265</v>
      </c>
      <c r="B2272" s="7">
        <v>0</v>
      </c>
      <c r="C2272" s="7">
        <f t="shared" si="109"/>
        <v>0.75583605794746755</v>
      </c>
      <c r="D2272" s="7">
        <f t="shared" si="110"/>
        <v>0.75586047434167281</v>
      </c>
      <c r="E2272" s="7">
        <f t="shared" si="111"/>
        <v>-0.27989847758459119</v>
      </c>
    </row>
    <row r="2273" spans="1:5" x14ac:dyDescent="0.15">
      <c r="A2273" s="7">
        <v>2266</v>
      </c>
      <c r="B2273" s="7">
        <v>0</v>
      </c>
      <c r="C2273" s="7">
        <f t="shared" si="109"/>
        <v>0.75583605794746755</v>
      </c>
      <c r="D2273" s="7">
        <f t="shared" si="110"/>
        <v>0.75586047434167281</v>
      </c>
      <c r="E2273" s="7">
        <f t="shared" si="111"/>
        <v>-0.27989847758459119</v>
      </c>
    </row>
    <row r="2274" spans="1:5" x14ac:dyDescent="0.15">
      <c r="A2274" s="7">
        <v>2267</v>
      </c>
      <c r="B2274" s="7">
        <v>0</v>
      </c>
      <c r="C2274" s="7">
        <f t="shared" si="109"/>
        <v>0.75583605794746755</v>
      </c>
      <c r="D2274" s="7">
        <f t="shared" si="110"/>
        <v>0.75586047434167281</v>
      </c>
      <c r="E2274" s="7">
        <f t="shared" si="111"/>
        <v>-0.27989847758459119</v>
      </c>
    </row>
    <row r="2275" spans="1:5" x14ac:dyDescent="0.15">
      <c r="A2275" s="7">
        <v>2268</v>
      </c>
      <c r="B2275" s="7">
        <v>2</v>
      </c>
      <c r="C2275" s="7">
        <f t="shared" si="109"/>
        <v>4.4066701399555049E-2</v>
      </c>
      <c r="D2275" s="7">
        <f t="shared" si="110"/>
        <v>4.4062294729415093E-2</v>
      </c>
      <c r="E2275" s="7">
        <f t="shared" si="111"/>
        <v>-3.1221508570437044</v>
      </c>
    </row>
    <row r="2276" spans="1:5" x14ac:dyDescent="0.15">
      <c r="A2276" s="7">
        <v>2269</v>
      </c>
      <c r="B2276" s="7">
        <v>0</v>
      </c>
      <c r="C2276" s="7">
        <f t="shared" si="109"/>
        <v>0.75583605794746755</v>
      </c>
      <c r="D2276" s="7">
        <f t="shared" si="110"/>
        <v>0.75586047434167281</v>
      </c>
      <c r="E2276" s="7">
        <f t="shared" si="111"/>
        <v>-0.27989847758459119</v>
      </c>
    </row>
    <row r="2277" spans="1:5" x14ac:dyDescent="0.15">
      <c r="A2277" s="7">
        <v>2270</v>
      </c>
      <c r="B2277" s="7">
        <v>11</v>
      </c>
      <c r="C2277" s="7">
        <f t="shared" si="109"/>
        <v>3.1496470211733337E-3</v>
      </c>
      <c r="D2277" s="7">
        <f t="shared" si="110"/>
        <v>3.1493320564712165E-3</v>
      </c>
      <c r="E2277" s="7">
        <f t="shared" si="111"/>
        <v>-5.7605648941941281</v>
      </c>
    </row>
    <row r="2278" spans="1:5" x14ac:dyDescent="0.15">
      <c r="A2278" s="7">
        <v>2271</v>
      </c>
      <c r="B2278" s="7">
        <v>0</v>
      </c>
      <c r="C2278" s="7">
        <f t="shared" si="109"/>
        <v>0.75583605794746755</v>
      </c>
      <c r="D2278" s="7">
        <f t="shared" si="110"/>
        <v>0.75586047434167281</v>
      </c>
      <c r="E2278" s="7">
        <f t="shared" si="111"/>
        <v>-0.27989847758459119</v>
      </c>
    </row>
    <row r="2279" spans="1:5" x14ac:dyDescent="0.15">
      <c r="A2279" s="7">
        <v>2272</v>
      </c>
      <c r="B2279" s="7">
        <v>0</v>
      </c>
      <c r="C2279" s="7">
        <f t="shared" si="109"/>
        <v>0.75583605794746755</v>
      </c>
      <c r="D2279" s="7">
        <f t="shared" si="110"/>
        <v>0.75586047434167281</v>
      </c>
      <c r="E2279" s="7">
        <f t="shared" si="111"/>
        <v>-0.27989847758459119</v>
      </c>
    </row>
    <row r="2280" spans="1:5" x14ac:dyDescent="0.15">
      <c r="A2280" s="7">
        <v>2273</v>
      </c>
      <c r="B2280" s="7">
        <v>0</v>
      </c>
      <c r="C2280" s="7">
        <f t="shared" si="109"/>
        <v>0.75583605794746755</v>
      </c>
      <c r="D2280" s="7">
        <f t="shared" si="110"/>
        <v>0.75586047434167281</v>
      </c>
      <c r="E2280" s="7">
        <f t="shared" si="111"/>
        <v>-0.27989847758459119</v>
      </c>
    </row>
    <row r="2281" spans="1:5" x14ac:dyDescent="0.15">
      <c r="A2281" s="7">
        <v>2274</v>
      </c>
      <c r="B2281" s="7">
        <v>0</v>
      </c>
      <c r="C2281" s="7">
        <f t="shared" si="109"/>
        <v>0.75583605794746755</v>
      </c>
      <c r="D2281" s="7">
        <f t="shared" si="110"/>
        <v>0.75586047434167281</v>
      </c>
      <c r="E2281" s="7">
        <f t="shared" si="111"/>
        <v>-0.27989847758459119</v>
      </c>
    </row>
    <row r="2282" spans="1:5" x14ac:dyDescent="0.15">
      <c r="A2282" s="7">
        <v>2275</v>
      </c>
      <c r="B2282" s="7">
        <v>0</v>
      </c>
      <c r="C2282" s="7">
        <f t="shared" si="109"/>
        <v>0.75583605794746755</v>
      </c>
      <c r="D2282" s="7">
        <f t="shared" si="110"/>
        <v>0.75586047434167281</v>
      </c>
      <c r="E2282" s="7">
        <f t="shared" si="111"/>
        <v>-0.27989847758459119</v>
      </c>
    </row>
    <row r="2283" spans="1:5" x14ac:dyDescent="0.15">
      <c r="A2283" s="7">
        <v>2276</v>
      </c>
      <c r="B2283" s="7">
        <v>0</v>
      </c>
      <c r="C2283" s="7">
        <f t="shared" si="109"/>
        <v>0.75583605794746755</v>
      </c>
      <c r="D2283" s="7">
        <f t="shared" si="110"/>
        <v>0.75586047434167281</v>
      </c>
      <c r="E2283" s="7">
        <f t="shared" si="111"/>
        <v>-0.27989847758459119</v>
      </c>
    </row>
    <row r="2284" spans="1:5" x14ac:dyDescent="0.15">
      <c r="A2284" s="7">
        <v>2277</v>
      </c>
      <c r="B2284" s="7">
        <v>0</v>
      </c>
      <c r="C2284" s="7">
        <f t="shared" si="109"/>
        <v>0.75583605794746755</v>
      </c>
      <c r="D2284" s="7">
        <f t="shared" si="110"/>
        <v>0.75586047434167281</v>
      </c>
      <c r="E2284" s="7">
        <f t="shared" si="111"/>
        <v>-0.27989847758459119</v>
      </c>
    </row>
    <row r="2285" spans="1:5" x14ac:dyDescent="0.15">
      <c r="A2285" s="7">
        <v>2278</v>
      </c>
      <c r="B2285" s="7">
        <v>0</v>
      </c>
      <c r="C2285" s="7">
        <f t="shared" si="109"/>
        <v>0.75583605794746755</v>
      </c>
      <c r="D2285" s="7">
        <f t="shared" si="110"/>
        <v>0.75586047434167281</v>
      </c>
      <c r="E2285" s="7">
        <f t="shared" si="111"/>
        <v>-0.27989847758459119</v>
      </c>
    </row>
    <row r="2286" spans="1:5" x14ac:dyDescent="0.15">
      <c r="A2286" s="7">
        <v>2279</v>
      </c>
      <c r="B2286" s="7">
        <v>0</v>
      </c>
      <c r="C2286" s="7">
        <f t="shared" si="109"/>
        <v>0.75583605794746755</v>
      </c>
      <c r="D2286" s="7">
        <f t="shared" si="110"/>
        <v>0.75586047434167281</v>
      </c>
      <c r="E2286" s="7">
        <f t="shared" si="111"/>
        <v>-0.27989847758459119</v>
      </c>
    </row>
    <row r="2287" spans="1:5" x14ac:dyDescent="0.15">
      <c r="A2287" s="7">
        <v>2280</v>
      </c>
      <c r="B2287" s="7">
        <v>3</v>
      </c>
      <c r="C2287" s="7">
        <f t="shared" si="109"/>
        <v>2.7470963680778882E-2</v>
      </c>
      <c r="D2287" s="7">
        <f t="shared" si="110"/>
        <v>2.7468216584410805E-2</v>
      </c>
      <c r="E2287" s="7">
        <f t="shared" si="111"/>
        <v>-3.5947257032827968</v>
      </c>
    </row>
    <row r="2288" spans="1:5" x14ac:dyDescent="0.15">
      <c r="A2288" s="7">
        <v>2281</v>
      </c>
      <c r="B2288" s="7">
        <v>0</v>
      </c>
      <c r="C2288" s="7">
        <f t="shared" si="109"/>
        <v>0.75583605794746755</v>
      </c>
      <c r="D2288" s="7">
        <f t="shared" si="110"/>
        <v>0.75586047434167281</v>
      </c>
      <c r="E2288" s="7">
        <f t="shared" si="111"/>
        <v>-0.27989847758459119</v>
      </c>
    </row>
    <row r="2289" spans="1:5" x14ac:dyDescent="0.15">
      <c r="A2289" s="7">
        <v>2282</v>
      </c>
      <c r="B2289" s="7">
        <v>1</v>
      </c>
      <c r="C2289" s="7">
        <f t="shared" si="109"/>
        <v>8.8686757970141181E-2</v>
      </c>
      <c r="D2289" s="7">
        <f t="shared" si="110"/>
        <v>8.867788929434417E-2</v>
      </c>
      <c r="E2289" s="7">
        <f t="shared" si="111"/>
        <v>-2.4227446958891354</v>
      </c>
    </row>
    <row r="2290" spans="1:5" x14ac:dyDescent="0.15">
      <c r="A2290" s="7">
        <v>2283</v>
      </c>
      <c r="B2290" s="7">
        <v>9</v>
      </c>
      <c r="C2290" s="7">
        <f t="shared" si="109"/>
        <v>4.8729771313975011E-3</v>
      </c>
      <c r="D2290" s="7">
        <f t="shared" si="110"/>
        <v>4.8724898336843618E-3</v>
      </c>
      <c r="E2290" s="7">
        <f t="shared" si="111"/>
        <v>-5.324150213052798</v>
      </c>
    </row>
    <row r="2291" spans="1:5" x14ac:dyDescent="0.15">
      <c r="A2291" s="7">
        <v>2284</v>
      </c>
      <c r="B2291" s="7">
        <v>0</v>
      </c>
      <c r="C2291" s="7">
        <f t="shared" si="109"/>
        <v>0.75583605794746755</v>
      </c>
      <c r="D2291" s="7">
        <f t="shared" si="110"/>
        <v>0.75586047434167281</v>
      </c>
      <c r="E2291" s="7">
        <f t="shared" si="111"/>
        <v>-0.27989847758459119</v>
      </c>
    </row>
    <row r="2292" spans="1:5" x14ac:dyDescent="0.15">
      <c r="A2292" s="7">
        <v>2285</v>
      </c>
      <c r="B2292" s="7">
        <v>1</v>
      </c>
      <c r="C2292" s="7">
        <f t="shared" si="109"/>
        <v>8.8686757970141181E-2</v>
      </c>
      <c r="D2292" s="7">
        <f t="shared" si="110"/>
        <v>8.867788929434417E-2</v>
      </c>
      <c r="E2292" s="7">
        <f t="shared" si="111"/>
        <v>-2.4227446958891354</v>
      </c>
    </row>
    <row r="2293" spans="1:5" x14ac:dyDescent="0.15">
      <c r="A2293" s="7">
        <v>2286</v>
      </c>
      <c r="B2293" s="7">
        <v>0</v>
      </c>
      <c r="C2293" s="7">
        <f t="shared" si="109"/>
        <v>0.75583605794746755</v>
      </c>
      <c r="D2293" s="7">
        <f t="shared" si="110"/>
        <v>0.75586047434167281</v>
      </c>
      <c r="E2293" s="7">
        <f t="shared" si="111"/>
        <v>-0.27989847758459119</v>
      </c>
    </row>
    <row r="2294" spans="1:5" x14ac:dyDescent="0.15">
      <c r="A2294" s="7">
        <v>2287</v>
      </c>
      <c r="B2294" s="7">
        <v>2</v>
      </c>
      <c r="C2294" s="7">
        <f t="shared" si="109"/>
        <v>4.4066701399555049E-2</v>
      </c>
      <c r="D2294" s="7">
        <f t="shared" si="110"/>
        <v>4.4062294729415093E-2</v>
      </c>
      <c r="E2294" s="7">
        <f t="shared" si="111"/>
        <v>-3.1221508570437044</v>
      </c>
    </row>
    <row r="2295" spans="1:5" x14ac:dyDescent="0.15">
      <c r="A2295" s="7">
        <v>2288</v>
      </c>
      <c r="B2295" s="7">
        <v>1</v>
      </c>
      <c r="C2295" s="7">
        <f t="shared" si="109"/>
        <v>8.8686757970141181E-2</v>
      </c>
      <c r="D2295" s="7">
        <f t="shared" si="110"/>
        <v>8.867788929434417E-2</v>
      </c>
      <c r="E2295" s="7">
        <f t="shared" si="111"/>
        <v>-2.4227446958891354</v>
      </c>
    </row>
    <row r="2296" spans="1:5" x14ac:dyDescent="0.15">
      <c r="A2296" s="7">
        <v>2289</v>
      </c>
      <c r="B2296" s="7">
        <v>2</v>
      </c>
      <c r="C2296" s="7">
        <f t="shared" si="109"/>
        <v>4.4066701399555049E-2</v>
      </c>
      <c r="D2296" s="7">
        <f t="shared" si="110"/>
        <v>4.4062294729415093E-2</v>
      </c>
      <c r="E2296" s="7">
        <f t="shared" si="111"/>
        <v>-3.1221508570437044</v>
      </c>
    </row>
    <row r="2297" spans="1:5" x14ac:dyDescent="0.15">
      <c r="A2297" s="7">
        <v>2290</v>
      </c>
      <c r="B2297" s="7">
        <v>0</v>
      </c>
      <c r="C2297" s="7">
        <f t="shared" si="109"/>
        <v>0.75583605794746755</v>
      </c>
      <c r="D2297" s="7">
        <f t="shared" si="110"/>
        <v>0.75586047434167281</v>
      </c>
      <c r="E2297" s="7">
        <f t="shared" si="111"/>
        <v>-0.27989847758459119</v>
      </c>
    </row>
    <row r="2298" spans="1:5" x14ac:dyDescent="0.15">
      <c r="A2298" s="7">
        <v>2291</v>
      </c>
      <c r="B2298" s="7">
        <v>0</v>
      </c>
      <c r="C2298" s="7">
        <f t="shared" si="109"/>
        <v>0.75583605794746755</v>
      </c>
      <c r="D2298" s="7">
        <f t="shared" si="110"/>
        <v>0.75586047434167281</v>
      </c>
      <c r="E2298" s="7">
        <f t="shared" si="111"/>
        <v>-0.27989847758459119</v>
      </c>
    </row>
    <row r="2299" spans="1:5" x14ac:dyDescent="0.15">
      <c r="A2299" s="7">
        <v>2292</v>
      </c>
      <c r="B2299" s="7">
        <v>9</v>
      </c>
      <c r="C2299" s="7">
        <f t="shared" si="109"/>
        <v>4.8729771313975011E-3</v>
      </c>
      <c r="D2299" s="7">
        <f t="shared" si="110"/>
        <v>4.8724898336843618E-3</v>
      </c>
      <c r="E2299" s="7">
        <f t="shared" si="111"/>
        <v>-5.324150213052798</v>
      </c>
    </row>
    <row r="2300" spans="1:5" x14ac:dyDescent="0.15">
      <c r="A2300" s="7">
        <v>2293</v>
      </c>
      <c r="B2300" s="7">
        <v>0</v>
      </c>
      <c r="C2300" s="7">
        <f t="shared" si="109"/>
        <v>0.75583605794746755</v>
      </c>
      <c r="D2300" s="7">
        <f t="shared" si="110"/>
        <v>0.75586047434167281</v>
      </c>
      <c r="E2300" s="7">
        <f t="shared" si="111"/>
        <v>-0.27989847758459119</v>
      </c>
    </row>
    <row r="2301" spans="1:5" x14ac:dyDescent="0.15">
      <c r="A2301" s="7">
        <v>2294</v>
      </c>
      <c r="B2301" s="7">
        <v>0</v>
      </c>
      <c r="C2301" s="7">
        <f t="shared" si="109"/>
        <v>0.75583605794746755</v>
      </c>
      <c r="D2301" s="7">
        <f t="shared" si="110"/>
        <v>0.75586047434167281</v>
      </c>
      <c r="E2301" s="7">
        <f t="shared" si="111"/>
        <v>-0.27989847758459119</v>
      </c>
    </row>
    <row r="2302" spans="1:5" x14ac:dyDescent="0.15">
      <c r="A2302" s="7">
        <v>2295</v>
      </c>
      <c r="B2302" s="7">
        <v>0</v>
      </c>
      <c r="C2302" s="7">
        <f t="shared" si="109"/>
        <v>0.75583605794746755</v>
      </c>
      <c r="D2302" s="7">
        <f t="shared" si="110"/>
        <v>0.75586047434167281</v>
      </c>
      <c r="E2302" s="7">
        <f t="shared" si="111"/>
        <v>-0.27989847758459119</v>
      </c>
    </row>
    <row r="2303" spans="1:5" x14ac:dyDescent="0.15">
      <c r="A2303" s="7">
        <v>2296</v>
      </c>
      <c r="B2303" s="7">
        <v>1</v>
      </c>
      <c r="C2303" s="7">
        <f t="shared" si="109"/>
        <v>8.8686757970141181E-2</v>
      </c>
      <c r="D2303" s="7">
        <f t="shared" si="110"/>
        <v>8.867788929434417E-2</v>
      </c>
      <c r="E2303" s="7">
        <f t="shared" si="111"/>
        <v>-2.4227446958891354</v>
      </c>
    </row>
    <row r="2304" spans="1:5" x14ac:dyDescent="0.15">
      <c r="A2304" s="7">
        <v>2297</v>
      </c>
      <c r="B2304" s="7">
        <v>10</v>
      </c>
      <c r="C2304" s="7">
        <f t="shared" si="109"/>
        <v>3.9008948573815809E-3</v>
      </c>
      <c r="D2304" s="7">
        <f t="shared" si="110"/>
        <v>3.9005047678958428E-3</v>
      </c>
      <c r="E2304" s="7">
        <f t="shared" si="111"/>
        <v>-5.546649306555973</v>
      </c>
    </row>
    <row r="2305" spans="1:5" x14ac:dyDescent="0.15">
      <c r="A2305" s="7">
        <v>2298</v>
      </c>
      <c r="B2305" s="7">
        <v>5</v>
      </c>
      <c r="C2305" s="7">
        <f t="shared" si="109"/>
        <v>1.366826244062944E-2</v>
      </c>
      <c r="D2305" s="7">
        <f t="shared" si="110"/>
        <v>1.3666895614385376E-2</v>
      </c>
      <c r="E2305" s="7">
        <f t="shared" si="111"/>
        <v>-4.2927787488141558</v>
      </c>
    </row>
    <row r="2306" spans="1:5" x14ac:dyDescent="0.15">
      <c r="A2306" s="7">
        <v>2299</v>
      </c>
      <c r="B2306" s="7">
        <v>0</v>
      </c>
      <c r="C2306" s="7">
        <f t="shared" si="109"/>
        <v>0.75583605794746755</v>
      </c>
      <c r="D2306" s="7">
        <f t="shared" si="110"/>
        <v>0.75586047434167281</v>
      </c>
      <c r="E2306" s="7">
        <f t="shared" si="111"/>
        <v>-0.27989847758459119</v>
      </c>
    </row>
    <row r="2307" spans="1:5" x14ac:dyDescent="0.15">
      <c r="A2307" s="7">
        <v>2300</v>
      </c>
      <c r="B2307" s="7">
        <v>0</v>
      </c>
      <c r="C2307" s="7">
        <f t="shared" si="109"/>
        <v>0.75583605794746755</v>
      </c>
      <c r="D2307" s="7">
        <f t="shared" si="110"/>
        <v>0.75586047434167281</v>
      </c>
      <c r="E2307" s="7">
        <f t="shared" si="111"/>
        <v>-0.27989847758459119</v>
      </c>
    </row>
    <row r="2308" spans="1:5" x14ac:dyDescent="0.15">
      <c r="A2308" s="7">
        <v>2301</v>
      </c>
      <c r="B2308" s="7">
        <v>0</v>
      </c>
      <c r="C2308" s="7">
        <f t="shared" si="109"/>
        <v>0.75583605794746755</v>
      </c>
      <c r="D2308" s="7">
        <f t="shared" si="110"/>
        <v>0.75586047434167281</v>
      </c>
      <c r="E2308" s="7">
        <f t="shared" si="111"/>
        <v>-0.27989847758459119</v>
      </c>
    </row>
    <row r="2309" spans="1:5" x14ac:dyDescent="0.15">
      <c r="A2309" s="7">
        <v>2302</v>
      </c>
      <c r="B2309" s="7">
        <v>1</v>
      </c>
      <c r="C2309" s="7">
        <f t="shared" si="109"/>
        <v>8.8686757970141181E-2</v>
      </c>
      <c r="D2309" s="7">
        <f t="shared" si="110"/>
        <v>8.867788929434417E-2</v>
      </c>
      <c r="E2309" s="7">
        <f t="shared" si="111"/>
        <v>-2.4227446958891354</v>
      </c>
    </row>
    <row r="2310" spans="1:5" x14ac:dyDescent="0.15">
      <c r="A2310" s="7">
        <v>2303</v>
      </c>
      <c r="B2310" s="7">
        <v>0</v>
      </c>
      <c r="C2310" s="7">
        <f t="shared" si="109"/>
        <v>0.75583605794746755</v>
      </c>
      <c r="D2310" s="7">
        <f t="shared" si="110"/>
        <v>0.75586047434167281</v>
      </c>
      <c r="E2310" s="7">
        <f t="shared" si="111"/>
        <v>-0.27989847758459119</v>
      </c>
    </row>
    <row r="2311" spans="1:5" x14ac:dyDescent="0.15">
      <c r="A2311" s="7">
        <v>2304</v>
      </c>
      <c r="B2311" s="7">
        <v>0</v>
      </c>
      <c r="C2311" s="7">
        <f t="shared" si="109"/>
        <v>0.75583605794746755</v>
      </c>
      <c r="D2311" s="7">
        <f t="shared" si="110"/>
        <v>0.75586047434167281</v>
      </c>
      <c r="E2311" s="7">
        <f t="shared" si="111"/>
        <v>-0.27989847758459119</v>
      </c>
    </row>
    <row r="2312" spans="1:5" x14ac:dyDescent="0.15">
      <c r="A2312" s="7">
        <v>2305</v>
      </c>
      <c r="B2312" s="7">
        <v>0</v>
      </c>
      <c r="C2312" s="7">
        <f t="shared" si="109"/>
        <v>0.75583605794746755</v>
      </c>
      <c r="D2312" s="7">
        <f t="shared" si="110"/>
        <v>0.75586047434167281</v>
      </c>
      <c r="E2312" s="7">
        <f t="shared" si="111"/>
        <v>-0.27989847758459119</v>
      </c>
    </row>
    <row r="2313" spans="1:5" x14ac:dyDescent="0.15">
      <c r="A2313" s="7">
        <v>2306</v>
      </c>
      <c r="B2313" s="7">
        <v>0</v>
      </c>
      <c r="C2313" s="7">
        <f t="shared" ref="C2313:C2376" si="112">(_xlfn.GAMMA($B$1+B2313)/(_xlfn.GAMMA($B$1)*FACT(B2313))) * ($B$2/($B$2+$B$5))^$B$1 * (1/($B$2 +$B$5))^B2313</f>
        <v>0.75583605794746755</v>
      </c>
      <c r="D2313" s="7">
        <f t="shared" ref="D2313:D2376" si="113" xml:space="preserve"> IF(B2313 = 0, $B$3 + (1-$B$3) * C2313, (1-$B$3) *C2313)</f>
        <v>0.75586047434167281</v>
      </c>
      <c r="E2313" s="7">
        <f t="shared" ref="E2313:E2376" si="114">LN(D2313)</f>
        <v>-0.27989847758459119</v>
      </c>
    </row>
    <row r="2314" spans="1:5" x14ac:dyDescent="0.15">
      <c r="A2314" s="7">
        <v>2307</v>
      </c>
      <c r="B2314" s="7">
        <v>1</v>
      </c>
      <c r="C2314" s="7">
        <f t="shared" si="112"/>
        <v>8.8686757970141181E-2</v>
      </c>
      <c r="D2314" s="7">
        <f t="shared" si="113"/>
        <v>8.867788929434417E-2</v>
      </c>
      <c r="E2314" s="7">
        <f t="shared" si="114"/>
        <v>-2.4227446958891354</v>
      </c>
    </row>
    <row r="2315" spans="1:5" x14ac:dyDescent="0.15">
      <c r="A2315" s="7">
        <v>2308</v>
      </c>
      <c r="B2315" s="7">
        <v>1</v>
      </c>
      <c r="C2315" s="7">
        <f t="shared" si="112"/>
        <v>8.8686757970141181E-2</v>
      </c>
      <c r="D2315" s="7">
        <f t="shared" si="113"/>
        <v>8.867788929434417E-2</v>
      </c>
      <c r="E2315" s="7">
        <f t="shared" si="114"/>
        <v>-2.4227446958891354</v>
      </c>
    </row>
    <row r="2316" spans="1:5" x14ac:dyDescent="0.15">
      <c r="A2316" s="7">
        <v>2309</v>
      </c>
      <c r="B2316" s="7">
        <v>0</v>
      </c>
      <c r="C2316" s="7">
        <f t="shared" si="112"/>
        <v>0.75583605794746755</v>
      </c>
      <c r="D2316" s="7">
        <f t="shared" si="113"/>
        <v>0.75586047434167281</v>
      </c>
      <c r="E2316" s="7">
        <f t="shared" si="114"/>
        <v>-0.27989847758459119</v>
      </c>
    </row>
    <row r="2317" spans="1:5" x14ac:dyDescent="0.15">
      <c r="A2317" s="7">
        <v>2310</v>
      </c>
      <c r="B2317" s="7">
        <v>0</v>
      </c>
      <c r="C2317" s="7">
        <f t="shared" si="112"/>
        <v>0.75583605794746755</v>
      </c>
      <c r="D2317" s="7">
        <f t="shared" si="113"/>
        <v>0.75586047434167281</v>
      </c>
      <c r="E2317" s="7">
        <f t="shared" si="114"/>
        <v>-0.27989847758459119</v>
      </c>
    </row>
    <row r="2318" spans="1:5" x14ac:dyDescent="0.15">
      <c r="A2318" s="7">
        <v>2311</v>
      </c>
      <c r="B2318" s="7">
        <v>0</v>
      </c>
      <c r="C2318" s="7">
        <f t="shared" si="112"/>
        <v>0.75583605794746755</v>
      </c>
      <c r="D2318" s="7">
        <f t="shared" si="113"/>
        <v>0.75586047434167281</v>
      </c>
      <c r="E2318" s="7">
        <f t="shared" si="114"/>
        <v>-0.27989847758459119</v>
      </c>
    </row>
    <row r="2319" spans="1:5" x14ac:dyDescent="0.15">
      <c r="A2319" s="7">
        <v>2312</v>
      </c>
      <c r="B2319" s="7">
        <v>0</v>
      </c>
      <c r="C2319" s="7">
        <f t="shared" si="112"/>
        <v>0.75583605794746755</v>
      </c>
      <c r="D2319" s="7">
        <f t="shared" si="113"/>
        <v>0.75586047434167281</v>
      </c>
      <c r="E2319" s="7">
        <f t="shared" si="114"/>
        <v>-0.27989847758459119</v>
      </c>
    </row>
    <row r="2320" spans="1:5" x14ac:dyDescent="0.15">
      <c r="A2320" s="7">
        <v>2313</v>
      </c>
      <c r="B2320" s="7">
        <v>1</v>
      </c>
      <c r="C2320" s="7">
        <f t="shared" si="112"/>
        <v>8.8686757970141181E-2</v>
      </c>
      <c r="D2320" s="7">
        <f t="shared" si="113"/>
        <v>8.867788929434417E-2</v>
      </c>
      <c r="E2320" s="7">
        <f t="shared" si="114"/>
        <v>-2.4227446958891354</v>
      </c>
    </row>
    <row r="2321" spans="1:5" x14ac:dyDescent="0.15">
      <c r="A2321" s="7">
        <v>2314</v>
      </c>
      <c r="B2321" s="7">
        <v>0</v>
      </c>
      <c r="C2321" s="7">
        <f t="shared" si="112"/>
        <v>0.75583605794746755</v>
      </c>
      <c r="D2321" s="7">
        <f t="shared" si="113"/>
        <v>0.75586047434167281</v>
      </c>
      <c r="E2321" s="7">
        <f t="shared" si="114"/>
        <v>-0.27989847758459119</v>
      </c>
    </row>
    <row r="2322" spans="1:5" x14ac:dyDescent="0.15">
      <c r="A2322" s="7">
        <v>2315</v>
      </c>
      <c r="B2322" s="7">
        <v>1</v>
      </c>
      <c r="C2322" s="7">
        <f t="shared" si="112"/>
        <v>8.8686757970141181E-2</v>
      </c>
      <c r="D2322" s="7">
        <f t="shared" si="113"/>
        <v>8.867788929434417E-2</v>
      </c>
      <c r="E2322" s="7">
        <f t="shared" si="114"/>
        <v>-2.4227446958891354</v>
      </c>
    </row>
    <row r="2323" spans="1:5" x14ac:dyDescent="0.15">
      <c r="A2323" s="7">
        <v>2316</v>
      </c>
      <c r="B2323" s="7">
        <v>0</v>
      </c>
      <c r="C2323" s="7">
        <f t="shared" si="112"/>
        <v>0.75583605794746755</v>
      </c>
      <c r="D2323" s="7">
        <f t="shared" si="113"/>
        <v>0.75586047434167281</v>
      </c>
      <c r="E2323" s="7">
        <f t="shared" si="114"/>
        <v>-0.27989847758459119</v>
      </c>
    </row>
    <row r="2324" spans="1:5" x14ac:dyDescent="0.15">
      <c r="A2324" s="7">
        <v>2317</v>
      </c>
      <c r="B2324" s="7">
        <v>0</v>
      </c>
      <c r="C2324" s="7">
        <f t="shared" si="112"/>
        <v>0.75583605794746755</v>
      </c>
      <c r="D2324" s="7">
        <f t="shared" si="113"/>
        <v>0.75586047434167281</v>
      </c>
      <c r="E2324" s="7">
        <f t="shared" si="114"/>
        <v>-0.27989847758459119</v>
      </c>
    </row>
    <row r="2325" spans="1:5" x14ac:dyDescent="0.15">
      <c r="A2325" s="7">
        <v>2318</v>
      </c>
      <c r="B2325" s="7">
        <v>1</v>
      </c>
      <c r="C2325" s="7">
        <f t="shared" si="112"/>
        <v>8.8686757970141181E-2</v>
      </c>
      <c r="D2325" s="7">
        <f t="shared" si="113"/>
        <v>8.867788929434417E-2</v>
      </c>
      <c r="E2325" s="7">
        <f t="shared" si="114"/>
        <v>-2.4227446958891354</v>
      </c>
    </row>
    <row r="2326" spans="1:5" x14ac:dyDescent="0.15">
      <c r="A2326" s="7">
        <v>2319</v>
      </c>
      <c r="B2326" s="7">
        <v>0</v>
      </c>
      <c r="C2326" s="7">
        <f t="shared" si="112"/>
        <v>0.75583605794746755</v>
      </c>
      <c r="D2326" s="7">
        <f t="shared" si="113"/>
        <v>0.75586047434167281</v>
      </c>
      <c r="E2326" s="7">
        <f t="shared" si="114"/>
        <v>-0.27989847758459119</v>
      </c>
    </row>
    <row r="2327" spans="1:5" x14ac:dyDescent="0.15">
      <c r="A2327" s="7">
        <v>2320</v>
      </c>
      <c r="B2327" s="7">
        <v>0</v>
      </c>
      <c r="C2327" s="7">
        <f t="shared" si="112"/>
        <v>0.75583605794746755</v>
      </c>
      <c r="D2327" s="7">
        <f t="shared" si="113"/>
        <v>0.75586047434167281</v>
      </c>
      <c r="E2327" s="7">
        <f t="shared" si="114"/>
        <v>-0.27989847758459119</v>
      </c>
    </row>
    <row r="2328" spans="1:5" x14ac:dyDescent="0.15">
      <c r="A2328" s="7">
        <v>2321</v>
      </c>
      <c r="B2328" s="7">
        <v>0</v>
      </c>
      <c r="C2328" s="7">
        <f t="shared" si="112"/>
        <v>0.75583605794746755</v>
      </c>
      <c r="D2328" s="7">
        <f t="shared" si="113"/>
        <v>0.75586047434167281</v>
      </c>
      <c r="E2328" s="7">
        <f t="shared" si="114"/>
        <v>-0.27989847758459119</v>
      </c>
    </row>
    <row r="2329" spans="1:5" x14ac:dyDescent="0.15">
      <c r="A2329" s="7">
        <v>2322</v>
      </c>
      <c r="B2329" s="7">
        <v>0</v>
      </c>
      <c r="C2329" s="7">
        <f t="shared" si="112"/>
        <v>0.75583605794746755</v>
      </c>
      <c r="D2329" s="7">
        <f t="shared" si="113"/>
        <v>0.75586047434167281</v>
      </c>
      <c r="E2329" s="7">
        <f t="shared" si="114"/>
        <v>-0.27989847758459119</v>
      </c>
    </row>
    <row r="2330" spans="1:5" x14ac:dyDescent="0.15">
      <c r="A2330" s="7">
        <v>2323</v>
      </c>
      <c r="B2330" s="7">
        <v>0</v>
      </c>
      <c r="C2330" s="7">
        <f t="shared" si="112"/>
        <v>0.75583605794746755</v>
      </c>
      <c r="D2330" s="7">
        <f t="shared" si="113"/>
        <v>0.75586047434167281</v>
      </c>
      <c r="E2330" s="7">
        <f t="shared" si="114"/>
        <v>-0.27989847758459119</v>
      </c>
    </row>
    <row r="2331" spans="1:5" x14ac:dyDescent="0.15">
      <c r="A2331" s="7">
        <v>2324</v>
      </c>
      <c r="B2331" s="7">
        <v>0</v>
      </c>
      <c r="C2331" s="7">
        <f t="shared" si="112"/>
        <v>0.75583605794746755</v>
      </c>
      <c r="D2331" s="7">
        <f t="shared" si="113"/>
        <v>0.75586047434167281</v>
      </c>
      <c r="E2331" s="7">
        <f t="shared" si="114"/>
        <v>-0.27989847758459119</v>
      </c>
    </row>
    <row r="2332" spans="1:5" x14ac:dyDescent="0.15">
      <c r="A2332" s="7">
        <v>2325</v>
      </c>
      <c r="B2332" s="7">
        <v>0</v>
      </c>
      <c r="C2332" s="7">
        <f t="shared" si="112"/>
        <v>0.75583605794746755</v>
      </c>
      <c r="D2332" s="7">
        <f t="shared" si="113"/>
        <v>0.75586047434167281</v>
      </c>
      <c r="E2332" s="7">
        <f t="shared" si="114"/>
        <v>-0.27989847758459119</v>
      </c>
    </row>
    <row r="2333" spans="1:5" x14ac:dyDescent="0.15">
      <c r="A2333" s="7">
        <v>2326</v>
      </c>
      <c r="B2333" s="7">
        <v>0</v>
      </c>
      <c r="C2333" s="7">
        <f t="shared" si="112"/>
        <v>0.75583605794746755</v>
      </c>
      <c r="D2333" s="7">
        <f t="shared" si="113"/>
        <v>0.75586047434167281</v>
      </c>
      <c r="E2333" s="7">
        <f t="shared" si="114"/>
        <v>-0.27989847758459119</v>
      </c>
    </row>
    <row r="2334" spans="1:5" x14ac:dyDescent="0.15">
      <c r="A2334" s="7">
        <v>2327</v>
      </c>
      <c r="B2334" s="7">
        <v>0</v>
      </c>
      <c r="C2334" s="7">
        <f t="shared" si="112"/>
        <v>0.75583605794746755</v>
      </c>
      <c r="D2334" s="7">
        <f t="shared" si="113"/>
        <v>0.75586047434167281</v>
      </c>
      <c r="E2334" s="7">
        <f t="shared" si="114"/>
        <v>-0.27989847758459119</v>
      </c>
    </row>
    <row r="2335" spans="1:5" x14ac:dyDescent="0.15">
      <c r="A2335" s="7">
        <v>2328</v>
      </c>
      <c r="B2335" s="7">
        <v>0</v>
      </c>
      <c r="C2335" s="7">
        <f t="shared" si="112"/>
        <v>0.75583605794746755</v>
      </c>
      <c r="D2335" s="7">
        <f t="shared" si="113"/>
        <v>0.75586047434167281</v>
      </c>
      <c r="E2335" s="7">
        <f t="shared" si="114"/>
        <v>-0.27989847758459119</v>
      </c>
    </row>
    <row r="2336" spans="1:5" x14ac:dyDescent="0.15">
      <c r="A2336" s="7">
        <v>2329</v>
      </c>
      <c r="B2336" s="7">
        <v>0</v>
      </c>
      <c r="C2336" s="7">
        <f t="shared" si="112"/>
        <v>0.75583605794746755</v>
      </c>
      <c r="D2336" s="7">
        <f t="shared" si="113"/>
        <v>0.75586047434167281</v>
      </c>
      <c r="E2336" s="7">
        <f t="shared" si="114"/>
        <v>-0.27989847758459119</v>
      </c>
    </row>
    <row r="2337" spans="1:5" x14ac:dyDescent="0.15">
      <c r="A2337" s="7">
        <v>2330</v>
      </c>
      <c r="B2337" s="7">
        <v>0</v>
      </c>
      <c r="C2337" s="7">
        <f t="shared" si="112"/>
        <v>0.75583605794746755</v>
      </c>
      <c r="D2337" s="7">
        <f t="shared" si="113"/>
        <v>0.75586047434167281</v>
      </c>
      <c r="E2337" s="7">
        <f t="shared" si="114"/>
        <v>-0.27989847758459119</v>
      </c>
    </row>
    <row r="2338" spans="1:5" x14ac:dyDescent="0.15">
      <c r="A2338" s="7">
        <v>2331</v>
      </c>
      <c r="B2338" s="7">
        <v>0</v>
      </c>
      <c r="C2338" s="7">
        <f t="shared" si="112"/>
        <v>0.75583605794746755</v>
      </c>
      <c r="D2338" s="7">
        <f t="shared" si="113"/>
        <v>0.75586047434167281</v>
      </c>
      <c r="E2338" s="7">
        <f t="shared" si="114"/>
        <v>-0.27989847758459119</v>
      </c>
    </row>
    <row r="2339" spans="1:5" x14ac:dyDescent="0.15">
      <c r="A2339" s="7">
        <v>2332</v>
      </c>
      <c r="B2339" s="7">
        <v>0</v>
      </c>
      <c r="C2339" s="7">
        <f t="shared" si="112"/>
        <v>0.75583605794746755</v>
      </c>
      <c r="D2339" s="7">
        <f t="shared" si="113"/>
        <v>0.75586047434167281</v>
      </c>
      <c r="E2339" s="7">
        <f t="shared" si="114"/>
        <v>-0.27989847758459119</v>
      </c>
    </row>
    <row r="2340" spans="1:5" x14ac:dyDescent="0.15">
      <c r="A2340" s="7">
        <v>2333</v>
      </c>
      <c r="B2340" s="7">
        <v>1</v>
      </c>
      <c r="C2340" s="7">
        <f t="shared" si="112"/>
        <v>8.8686757970141181E-2</v>
      </c>
      <c r="D2340" s="7">
        <f t="shared" si="113"/>
        <v>8.867788929434417E-2</v>
      </c>
      <c r="E2340" s="7">
        <f t="shared" si="114"/>
        <v>-2.4227446958891354</v>
      </c>
    </row>
    <row r="2341" spans="1:5" x14ac:dyDescent="0.15">
      <c r="A2341" s="7">
        <v>2334</v>
      </c>
      <c r="B2341" s="7">
        <v>0</v>
      </c>
      <c r="C2341" s="7">
        <f t="shared" si="112"/>
        <v>0.75583605794746755</v>
      </c>
      <c r="D2341" s="7">
        <f t="shared" si="113"/>
        <v>0.75586047434167281</v>
      </c>
      <c r="E2341" s="7">
        <f t="shared" si="114"/>
        <v>-0.27989847758459119</v>
      </c>
    </row>
    <row r="2342" spans="1:5" x14ac:dyDescent="0.15">
      <c r="A2342" s="7">
        <v>2335</v>
      </c>
      <c r="B2342" s="7">
        <v>0</v>
      </c>
      <c r="C2342" s="7">
        <f t="shared" si="112"/>
        <v>0.75583605794746755</v>
      </c>
      <c r="D2342" s="7">
        <f t="shared" si="113"/>
        <v>0.75586047434167281</v>
      </c>
      <c r="E2342" s="7">
        <f t="shared" si="114"/>
        <v>-0.27989847758459119</v>
      </c>
    </row>
    <row r="2343" spans="1:5" x14ac:dyDescent="0.15">
      <c r="A2343" s="7">
        <v>2336</v>
      </c>
      <c r="B2343" s="7">
        <v>0</v>
      </c>
      <c r="C2343" s="7">
        <f t="shared" si="112"/>
        <v>0.75583605794746755</v>
      </c>
      <c r="D2343" s="7">
        <f t="shared" si="113"/>
        <v>0.75586047434167281</v>
      </c>
      <c r="E2343" s="7">
        <f t="shared" si="114"/>
        <v>-0.27989847758459119</v>
      </c>
    </row>
    <row r="2344" spans="1:5" x14ac:dyDescent="0.15">
      <c r="A2344" s="7">
        <v>2337</v>
      </c>
      <c r="B2344" s="7">
        <v>1</v>
      </c>
      <c r="C2344" s="7">
        <f t="shared" si="112"/>
        <v>8.8686757970141181E-2</v>
      </c>
      <c r="D2344" s="7">
        <f t="shared" si="113"/>
        <v>8.867788929434417E-2</v>
      </c>
      <c r="E2344" s="7">
        <f t="shared" si="114"/>
        <v>-2.4227446958891354</v>
      </c>
    </row>
    <row r="2345" spans="1:5" x14ac:dyDescent="0.15">
      <c r="A2345" s="7">
        <v>2338</v>
      </c>
      <c r="B2345" s="7">
        <v>0</v>
      </c>
      <c r="C2345" s="7">
        <f t="shared" si="112"/>
        <v>0.75583605794746755</v>
      </c>
      <c r="D2345" s="7">
        <f t="shared" si="113"/>
        <v>0.75586047434167281</v>
      </c>
      <c r="E2345" s="7">
        <f t="shared" si="114"/>
        <v>-0.27989847758459119</v>
      </c>
    </row>
    <row r="2346" spans="1:5" x14ac:dyDescent="0.15">
      <c r="A2346" s="7">
        <v>2339</v>
      </c>
      <c r="B2346" s="7">
        <v>3</v>
      </c>
      <c r="C2346" s="7">
        <f t="shared" si="112"/>
        <v>2.7470963680778882E-2</v>
      </c>
      <c r="D2346" s="7">
        <f t="shared" si="113"/>
        <v>2.7468216584410805E-2</v>
      </c>
      <c r="E2346" s="7">
        <f t="shared" si="114"/>
        <v>-3.5947257032827968</v>
      </c>
    </row>
    <row r="2347" spans="1:5" x14ac:dyDescent="0.15">
      <c r="A2347" s="7">
        <v>2340</v>
      </c>
      <c r="B2347" s="7">
        <v>0</v>
      </c>
      <c r="C2347" s="7">
        <f t="shared" si="112"/>
        <v>0.75583605794746755</v>
      </c>
      <c r="D2347" s="7">
        <f t="shared" si="113"/>
        <v>0.75586047434167281</v>
      </c>
      <c r="E2347" s="7">
        <f t="shared" si="114"/>
        <v>-0.27989847758459119</v>
      </c>
    </row>
    <row r="2348" spans="1:5" x14ac:dyDescent="0.15">
      <c r="A2348" s="7">
        <v>2341</v>
      </c>
      <c r="B2348" s="7">
        <v>0</v>
      </c>
      <c r="C2348" s="7">
        <f t="shared" si="112"/>
        <v>0.75583605794746755</v>
      </c>
      <c r="D2348" s="7">
        <f t="shared" si="113"/>
        <v>0.75586047434167281</v>
      </c>
      <c r="E2348" s="7">
        <f t="shared" si="114"/>
        <v>-0.27989847758459119</v>
      </c>
    </row>
    <row r="2349" spans="1:5" x14ac:dyDescent="0.15">
      <c r="A2349" s="7">
        <v>2342</v>
      </c>
      <c r="B2349" s="7">
        <v>0</v>
      </c>
      <c r="C2349" s="7">
        <f t="shared" si="112"/>
        <v>0.75583605794746755</v>
      </c>
      <c r="D2349" s="7">
        <f t="shared" si="113"/>
        <v>0.75586047434167281</v>
      </c>
      <c r="E2349" s="7">
        <f t="shared" si="114"/>
        <v>-0.27989847758459119</v>
      </c>
    </row>
    <row r="2350" spans="1:5" x14ac:dyDescent="0.15">
      <c r="A2350" s="7">
        <v>2343</v>
      </c>
      <c r="B2350" s="7">
        <v>0</v>
      </c>
      <c r="C2350" s="7">
        <f t="shared" si="112"/>
        <v>0.75583605794746755</v>
      </c>
      <c r="D2350" s="7">
        <f t="shared" si="113"/>
        <v>0.75586047434167281</v>
      </c>
      <c r="E2350" s="7">
        <f t="shared" si="114"/>
        <v>-0.27989847758459119</v>
      </c>
    </row>
    <row r="2351" spans="1:5" x14ac:dyDescent="0.15">
      <c r="A2351" s="7">
        <v>2344</v>
      </c>
      <c r="B2351" s="7">
        <v>0</v>
      </c>
      <c r="C2351" s="7">
        <f t="shared" si="112"/>
        <v>0.75583605794746755</v>
      </c>
      <c r="D2351" s="7">
        <f t="shared" si="113"/>
        <v>0.75586047434167281</v>
      </c>
      <c r="E2351" s="7">
        <f t="shared" si="114"/>
        <v>-0.27989847758459119</v>
      </c>
    </row>
    <row r="2352" spans="1:5" x14ac:dyDescent="0.15">
      <c r="A2352" s="7">
        <v>2345</v>
      </c>
      <c r="B2352" s="7">
        <v>9</v>
      </c>
      <c r="C2352" s="7">
        <f t="shared" si="112"/>
        <v>4.8729771313975011E-3</v>
      </c>
      <c r="D2352" s="7">
        <f t="shared" si="113"/>
        <v>4.8724898336843618E-3</v>
      </c>
      <c r="E2352" s="7">
        <f t="shared" si="114"/>
        <v>-5.324150213052798</v>
      </c>
    </row>
    <row r="2353" spans="1:5" x14ac:dyDescent="0.15">
      <c r="A2353" s="7">
        <v>2346</v>
      </c>
      <c r="B2353" s="7">
        <v>0</v>
      </c>
      <c r="C2353" s="7">
        <f t="shared" si="112"/>
        <v>0.75583605794746755</v>
      </c>
      <c r="D2353" s="7">
        <f t="shared" si="113"/>
        <v>0.75586047434167281</v>
      </c>
      <c r="E2353" s="7">
        <f t="shared" si="114"/>
        <v>-0.27989847758459119</v>
      </c>
    </row>
    <row r="2354" spans="1:5" x14ac:dyDescent="0.15">
      <c r="A2354" s="7">
        <v>2347</v>
      </c>
      <c r="B2354" s="7">
        <v>0</v>
      </c>
      <c r="C2354" s="7">
        <f t="shared" si="112"/>
        <v>0.75583605794746755</v>
      </c>
      <c r="D2354" s="7">
        <f t="shared" si="113"/>
        <v>0.75586047434167281</v>
      </c>
      <c r="E2354" s="7">
        <f t="shared" si="114"/>
        <v>-0.27989847758459119</v>
      </c>
    </row>
    <row r="2355" spans="1:5" x14ac:dyDescent="0.15">
      <c r="A2355" s="7">
        <v>2348</v>
      </c>
      <c r="B2355" s="7">
        <v>0</v>
      </c>
      <c r="C2355" s="7">
        <f t="shared" si="112"/>
        <v>0.75583605794746755</v>
      </c>
      <c r="D2355" s="7">
        <f t="shared" si="113"/>
        <v>0.75586047434167281</v>
      </c>
      <c r="E2355" s="7">
        <f t="shared" si="114"/>
        <v>-0.27989847758459119</v>
      </c>
    </row>
    <row r="2356" spans="1:5" x14ac:dyDescent="0.15">
      <c r="A2356" s="7">
        <v>2349</v>
      </c>
      <c r="B2356" s="7">
        <v>1</v>
      </c>
      <c r="C2356" s="7">
        <f t="shared" si="112"/>
        <v>8.8686757970141181E-2</v>
      </c>
      <c r="D2356" s="7">
        <f t="shared" si="113"/>
        <v>8.867788929434417E-2</v>
      </c>
      <c r="E2356" s="7">
        <f t="shared" si="114"/>
        <v>-2.4227446958891354</v>
      </c>
    </row>
    <row r="2357" spans="1:5" x14ac:dyDescent="0.15">
      <c r="A2357" s="7">
        <v>2350</v>
      </c>
      <c r="B2357" s="7">
        <v>0</v>
      </c>
      <c r="C2357" s="7">
        <f t="shared" si="112"/>
        <v>0.75583605794746755</v>
      </c>
      <c r="D2357" s="7">
        <f t="shared" si="113"/>
        <v>0.75586047434167281</v>
      </c>
      <c r="E2357" s="7">
        <f t="shared" si="114"/>
        <v>-0.27989847758459119</v>
      </c>
    </row>
    <row r="2358" spans="1:5" x14ac:dyDescent="0.15">
      <c r="A2358" s="7">
        <v>2351</v>
      </c>
      <c r="B2358" s="7">
        <v>1</v>
      </c>
      <c r="C2358" s="7">
        <f t="shared" si="112"/>
        <v>8.8686757970141181E-2</v>
      </c>
      <c r="D2358" s="7">
        <f t="shared" si="113"/>
        <v>8.867788929434417E-2</v>
      </c>
      <c r="E2358" s="7">
        <f t="shared" si="114"/>
        <v>-2.4227446958891354</v>
      </c>
    </row>
    <row r="2359" spans="1:5" x14ac:dyDescent="0.15">
      <c r="A2359" s="7">
        <v>2352</v>
      </c>
      <c r="B2359" s="7">
        <v>1</v>
      </c>
      <c r="C2359" s="7">
        <f t="shared" si="112"/>
        <v>8.8686757970141181E-2</v>
      </c>
      <c r="D2359" s="7">
        <f t="shared" si="113"/>
        <v>8.867788929434417E-2</v>
      </c>
      <c r="E2359" s="7">
        <f t="shared" si="114"/>
        <v>-2.4227446958891354</v>
      </c>
    </row>
    <row r="2360" spans="1:5" x14ac:dyDescent="0.15">
      <c r="A2360" s="7">
        <v>2353</v>
      </c>
      <c r="B2360" s="7">
        <v>1</v>
      </c>
      <c r="C2360" s="7">
        <f t="shared" si="112"/>
        <v>8.8686757970141181E-2</v>
      </c>
      <c r="D2360" s="7">
        <f t="shared" si="113"/>
        <v>8.867788929434417E-2</v>
      </c>
      <c r="E2360" s="7">
        <f t="shared" si="114"/>
        <v>-2.4227446958891354</v>
      </c>
    </row>
    <row r="2361" spans="1:5" x14ac:dyDescent="0.15">
      <c r="A2361" s="7">
        <v>2354</v>
      </c>
      <c r="B2361" s="7">
        <v>0</v>
      </c>
      <c r="C2361" s="7">
        <f t="shared" si="112"/>
        <v>0.75583605794746755</v>
      </c>
      <c r="D2361" s="7">
        <f t="shared" si="113"/>
        <v>0.75586047434167281</v>
      </c>
      <c r="E2361" s="7">
        <f t="shared" si="114"/>
        <v>-0.27989847758459119</v>
      </c>
    </row>
    <row r="2362" spans="1:5" x14ac:dyDescent="0.15">
      <c r="A2362" s="7">
        <v>2355</v>
      </c>
      <c r="B2362" s="7">
        <v>0</v>
      </c>
      <c r="C2362" s="7">
        <f t="shared" si="112"/>
        <v>0.75583605794746755</v>
      </c>
      <c r="D2362" s="7">
        <f t="shared" si="113"/>
        <v>0.75586047434167281</v>
      </c>
      <c r="E2362" s="7">
        <f t="shared" si="114"/>
        <v>-0.27989847758459119</v>
      </c>
    </row>
    <row r="2363" spans="1:5" x14ac:dyDescent="0.15">
      <c r="A2363" s="7">
        <v>2356</v>
      </c>
      <c r="B2363" s="7">
        <v>0</v>
      </c>
      <c r="C2363" s="7">
        <f t="shared" si="112"/>
        <v>0.75583605794746755</v>
      </c>
      <c r="D2363" s="7">
        <f t="shared" si="113"/>
        <v>0.75586047434167281</v>
      </c>
      <c r="E2363" s="7">
        <f t="shared" si="114"/>
        <v>-0.27989847758459119</v>
      </c>
    </row>
    <row r="2364" spans="1:5" x14ac:dyDescent="0.15">
      <c r="A2364" s="7">
        <v>2357</v>
      </c>
      <c r="B2364" s="7">
        <v>0</v>
      </c>
      <c r="C2364" s="7">
        <f t="shared" si="112"/>
        <v>0.75583605794746755</v>
      </c>
      <c r="D2364" s="7">
        <f t="shared" si="113"/>
        <v>0.75586047434167281</v>
      </c>
      <c r="E2364" s="7">
        <f t="shared" si="114"/>
        <v>-0.27989847758459119</v>
      </c>
    </row>
    <row r="2365" spans="1:5" x14ac:dyDescent="0.15">
      <c r="A2365" s="7">
        <v>2358</v>
      </c>
      <c r="B2365" s="7">
        <v>0</v>
      </c>
      <c r="C2365" s="7">
        <f t="shared" si="112"/>
        <v>0.75583605794746755</v>
      </c>
      <c r="D2365" s="7">
        <f t="shared" si="113"/>
        <v>0.75586047434167281</v>
      </c>
      <c r="E2365" s="7">
        <f t="shared" si="114"/>
        <v>-0.27989847758459119</v>
      </c>
    </row>
    <row r="2366" spans="1:5" x14ac:dyDescent="0.15">
      <c r="A2366" s="7">
        <v>2359</v>
      </c>
      <c r="B2366" s="7">
        <v>0</v>
      </c>
      <c r="C2366" s="7">
        <f t="shared" si="112"/>
        <v>0.75583605794746755</v>
      </c>
      <c r="D2366" s="7">
        <f t="shared" si="113"/>
        <v>0.75586047434167281</v>
      </c>
      <c r="E2366" s="7">
        <f t="shared" si="114"/>
        <v>-0.27989847758459119</v>
      </c>
    </row>
    <row r="2367" spans="1:5" x14ac:dyDescent="0.15">
      <c r="A2367" s="7">
        <v>2360</v>
      </c>
      <c r="B2367" s="7">
        <v>0</v>
      </c>
      <c r="C2367" s="7">
        <f t="shared" si="112"/>
        <v>0.75583605794746755</v>
      </c>
      <c r="D2367" s="7">
        <f t="shared" si="113"/>
        <v>0.75586047434167281</v>
      </c>
      <c r="E2367" s="7">
        <f t="shared" si="114"/>
        <v>-0.27989847758459119</v>
      </c>
    </row>
    <row r="2368" spans="1:5" x14ac:dyDescent="0.15">
      <c r="A2368" s="7">
        <v>2361</v>
      </c>
      <c r="B2368" s="7">
        <v>0</v>
      </c>
      <c r="C2368" s="7">
        <f t="shared" si="112"/>
        <v>0.75583605794746755</v>
      </c>
      <c r="D2368" s="7">
        <f t="shared" si="113"/>
        <v>0.75586047434167281</v>
      </c>
      <c r="E2368" s="7">
        <f t="shared" si="114"/>
        <v>-0.27989847758459119</v>
      </c>
    </row>
    <row r="2369" spans="1:5" x14ac:dyDescent="0.15">
      <c r="A2369" s="7">
        <v>2362</v>
      </c>
      <c r="B2369" s="7">
        <v>2</v>
      </c>
      <c r="C2369" s="7">
        <f t="shared" si="112"/>
        <v>4.4066701399555049E-2</v>
      </c>
      <c r="D2369" s="7">
        <f t="shared" si="113"/>
        <v>4.4062294729415093E-2</v>
      </c>
      <c r="E2369" s="7">
        <f t="shared" si="114"/>
        <v>-3.1221508570437044</v>
      </c>
    </row>
    <row r="2370" spans="1:5" x14ac:dyDescent="0.15">
      <c r="A2370" s="7">
        <v>2363</v>
      </c>
      <c r="B2370" s="7">
        <v>0</v>
      </c>
      <c r="C2370" s="7">
        <f t="shared" si="112"/>
        <v>0.75583605794746755</v>
      </c>
      <c r="D2370" s="7">
        <f t="shared" si="113"/>
        <v>0.75586047434167281</v>
      </c>
      <c r="E2370" s="7">
        <f t="shared" si="114"/>
        <v>-0.27989847758459119</v>
      </c>
    </row>
    <row r="2371" spans="1:5" x14ac:dyDescent="0.15">
      <c r="A2371" s="7">
        <v>2364</v>
      </c>
      <c r="B2371" s="7">
        <v>0</v>
      </c>
      <c r="C2371" s="7">
        <f t="shared" si="112"/>
        <v>0.75583605794746755</v>
      </c>
      <c r="D2371" s="7">
        <f t="shared" si="113"/>
        <v>0.75586047434167281</v>
      </c>
      <c r="E2371" s="7">
        <f t="shared" si="114"/>
        <v>-0.27989847758459119</v>
      </c>
    </row>
    <row r="2372" spans="1:5" x14ac:dyDescent="0.15">
      <c r="A2372" s="7">
        <v>2365</v>
      </c>
      <c r="B2372" s="7">
        <v>1</v>
      </c>
      <c r="C2372" s="7">
        <f t="shared" si="112"/>
        <v>8.8686757970141181E-2</v>
      </c>
      <c r="D2372" s="7">
        <f t="shared" si="113"/>
        <v>8.867788929434417E-2</v>
      </c>
      <c r="E2372" s="7">
        <f t="shared" si="114"/>
        <v>-2.4227446958891354</v>
      </c>
    </row>
    <row r="2373" spans="1:5" x14ac:dyDescent="0.15">
      <c r="A2373" s="7">
        <v>2366</v>
      </c>
      <c r="B2373" s="7">
        <v>0</v>
      </c>
      <c r="C2373" s="7">
        <f t="shared" si="112"/>
        <v>0.75583605794746755</v>
      </c>
      <c r="D2373" s="7">
        <f t="shared" si="113"/>
        <v>0.75586047434167281</v>
      </c>
      <c r="E2373" s="7">
        <f t="shared" si="114"/>
        <v>-0.27989847758459119</v>
      </c>
    </row>
    <row r="2374" spans="1:5" x14ac:dyDescent="0.15">
      <c r="A2374" s="7">
        <v>2367</v>
      </c>
      <c r="B2374" s="7">
        <v>0</v>
      </c>
      <c r="C2374" s="7">
        <f t="shared" si="112"/>
        <v>0.75583605794746755</v>
      </c>
      <c r="D2374" s="7">
        <f t="shared" si="113"/>
        <v>0.75586047434167281</v>
      </c>
      <c r="E2374" s="7">
        <f t="shared" si="114"/>
        <v>-0.27989847758459119</v>
      </c>
    </row>
    <row r="2375" spans="1:5" x14ac:dyDescent="0.15">
      <c r="A2375" s="7">
        <v>2368</v>
      </c>
      <c r="B2375" s="7">
        <v>0</v>
      </c>
      <c r="C2375" s="7">
        <f t="shared" si="112"/>
        <v>0.75583605794746755</v>
      </c>
      <c r="D2375" s="7">
        <f t="shared" si="113"/>
        <v>0.75586047434167281</v>
      </c>
      <c r="E2375" s="7">
        <f t="shared" si="114"/>
        <v>-0.27989847758459119</v>
      </c>
    </row>
    <row r="2376" spans="1:5" x14ac:dyDescent="0.15">
      <c r="A2376" s="7">
        <v>2369</v>
      </c>
      <c r="B2376" s="7">
        <v>0</v>
      </c>
      <c r="C2376" s="7">
        <f t="shared" si="112"/>
        <v>0.75583605794746755</v>
      </c>
      <c r="D2376" s="7">
        <f t="shared" si="113"/>
        <v>0.75586047434167281</v>
      </c>
      <c r="E2376" s="7">
        <f t="shared" si="114"/>
        <v>-0.27989847758459119</v>
      </c>
    </row>
    <row r="2377" spans="1:5" x14ac:dyDescent="0.15">
      <c r="A2377" s="7">
        <v>2370</v>
      </c>
      <c r="B2377" s="7">
        <v>0</v>
      </c>
      <c r="C2377" s="7">
        <f t="shared" ref="C2377:C2440" si="115">(_xlfn.GAMMA($B$1+B2377)/(_xlfn.GAMMA($B$1)*FACT(B2377))) * ($B$2/($B$2+$B$5))^$B$1 * (1/($B$2 +$B$5))^B2377</f>
        <v>0.75583605794746755</v>
      </c>
      <c r="D2377" s="7">
        <f t="shared" ref="D2377:D2440" si="116" xml:space="preserve"> IF(B2377 = 0, $B$3 + (1-$B$3) * C2377, (1-$B$3) *C2377)</f>
        <v>0.75586047434167281</v>
      </c>
      <c r="E2377" s="7">
        <f t="shared" ref="E2377:E2440" si="117">LN(D2377)</f>
        <v>-0.27989847758459119</v>
      </c>
    </row>
    <row r="2378" spans="1:5" x14ac:dyDescent="0.15">
      <c r="A2378" s="7">
        <v>2371</v>
      </c>
      <c r="B2378" s="7">
        <v>0</v>
      </c>
      <c r="C2378" s="7">
        <f t="shared" si="115"/>
        <v>0.75583605794746755</v>
      </c>
      <c r="D2378" s="7">
        <f t="shared" si="116"/>
        <v>0.75586047434167281</v>
      </c>
      <c r="E2378" s="7">
        <f t="shared" si="117"/>
        <v>-0.27989847758459119</v>
      </c>
    </row>
    <row r="2379" spans="1:5" x14ac:dyDescent="0.15">
      <c r="A2379" s="7">
        <v>2372</v>
      </c>
      <c r="B2379" s="7">
        <v>1</v>
      </c>
      <c r="C2379" s="7">
        <f t="shared" si="115"/>
        <v>8.8686757970141181E-2</v>
      </c>
      <c r="D2379" s="7">
        <f t="shared" si="116"/>
        <v>8.867788929434417E-2</v>
      </c>
      <c r="E2379" s="7">
        <f t="shared" si="117"/>
        <v>-2.4227446958891354</v>
      </c>
    </row>
    <row r="2380" spans="1:5" x14ac:dyDescent="0.15">
      <c r="A2380" s="7">
        <v>2373</v>
      </c>
      <c r="B2380" s="7">
        <v>0</v>
      </c>
      <c r="C2380" s="7">
        <f t="shared" si="115"/>
        <v>0.75583605794746755</v>
      </c>
      <c r="D2380" s="7">
        <f t="shared" si="116"/>
        <v>0.75586047434167281</v>
      </c>
      <c r="E2380" s="7">
        <f t="shared" si="117"/>
        <v>-0.27989847758459119</v>
      </c>
    </row>
    <row r="2381" spans="1:5" x14ac:dyDescent="0.15">
      <c r="A2381" s="7">
        <v>2374</v>
      </c>
      <c r="B2381" s="7">
        <v>0</v>
      </c>
      <c r="C2381" s="7">
        <f t="shared" si="115"/>
        <v>0.75583605794746755</v>
      </c>
      <c r="D2381" s="7">
        <f t="shared" si="116"/>
        <v>0.75586047434167281</v>
      </c>
      <c r="E2381" s="7">
        <f t="shared" si="117"/>
        <v>-0.27989847758459119</v>
      </c>
    </row>
    <row r="2382" spans="1:5" x14ac:dyDescent="0.15">
      <c r="A2382" s="7">
        <v>2375</v>
      </c>
      <c r="B2382" s="7">
        <v>0</v>
      </c>
      <c r="C2382" s="7">
        <f t="shared" si="115"/>
        <v>0.75583605794746755</v>
      </c>
      <c r="D2382" s="7">
        <f t="shared" si="116"/>
        <v>0.75586047434167281</v>
      </c>
      <c r="E2382" s="7">
        <f t="shared" si="117"/>
        <v>-0.27989847758459119</v>
      </c>
    </row>
    <row r="2383" spans="1:5" x14ac:dyDescent="0.15">
      <c r="A2383" s="7">
        <v>2376</v>
      </c>
      <c r="B2383" s="7">
        <v>0</v>
      </c>
      <c r="C2383" s="7">
        <f t="shared" si="115"/>
        <v>0.75583605794746755</v>
      </c>
      <c r="D2383" s="7">
        <f t="shared" si="116"/>
        <v>0.75586047434167281</v>
      </c>
      <c r="E2383" s="7">
        <f t="shared" si="117"/>
        <v>-0.27989847758459119</v>
      </c>
    </row>
    <row r="2384" spans="1:5" x14ac:dyDescent="0.15">
      <c r="A2384" s="7">
        <v>2377</v>
      </c>
      <c r="B2384" s="7">
        <v>0</v>
      </c>
      <c r="C2384" s="7">
        <f t="shared" si="115"/>
        <v>0.75583605794746755</v>
      </c>
      <c r="D2384" s="7">
        <f t="shared" si="116"/>
        <v>0.75586047434167281</v>
      </c>
      <c r="E2384" s="7">
        <f t="shared" si="117"/>
        <v>-0.27989847758459119</v>
      </c>
    </row>
    <row r="2385" spans="1:5" x14ac:dyDescent="0.15">
      <c r="A2385" s="7">
        <v>2378</v>
      </c>
      <c r="B2385" s="7">
        <v>3</v>
      </c>
      <c r="C2385" s="7">
        <f t="shared" si="115"/>
        <v>2.7470963680778882E-2</v>
      </c>
      <c r="D2385" s="7">
        <f t="shared" si="116"/>
        <v>2.7468216584410805E-2</v>
      </c>
      <c r="E2385" s="7">
        <f t="shared" si="117"/>
        <v>-3.5947257032827968</v>
      </c>
    </row>
    <row r="2386" spans="1:5" x14ac:dyDescent="0.15">
      <c r="A2386" s="7">
        <v>2379</v>
      </c>
      <c r="B2386" s="7">
        <v>2</v>
      </c>
      <c r="C2386" s="7">
        <f t="shared" si="115"/>
        <v>4.4066701399555049E-2</v>
      </c>
      <c r="D2386" s="7">
        <f t="shared" si="116"/>
        <v>4.4062294729415093E-2</v>
      </c>
      <c r="E2386" s="7">
        <f t="shared" si="117"/>
        <v>-3.1221508570437044</v>
      </c>
    </row>
    <row r="2387" spans="1:5" x14ac:dyDescent="0.15">
      <c r="A2387" s="7">
        <v>2380</v>
      </c>
      <c r="B2387" s="7">
        <v>0</v>
      </c>
      <c r="C2387" s="7">
        <f t="shared" si="115"/>
        <v>0.75583605794746755</v>
      </c>
      <c r="D2387" s="7">
        <f t="shared" si="116"/>
        <v>0.75586047434167281</v>
      </c>
      <c r="E2387" s="7">
        <f t="shared" si="117"/>
        <v>-0.27989847758459119</v>
      </c>
    </row>
    <row r="2388" spans="1:5" x14ac:dyDescent="0.15">
      <c r="A2388" s="7">
        <v>2381</v>
      </c>
      <c r="B2388" s="7">
        <v>0</v>
      </c>
      <c r="C2388" s="7">
        <f t="shared" si="115"/>
        <v>0.75583605794746755</v>
      </c>
      <c r="D2388" s="7">
        <f t="shared" si="116"/>
        <v>0.75586047434167281</v>
      </c>
      <c r="E2388" s="7">
        <f t="shared" si="117"/>
        <v>-0.27989847758459119</v>
      </c>
    </row>
    <row r="2389" spans="1:5" x14ac:dyDescent="0.15">
      <c r="A2389" s="7">
        <v>2382</v>
      </c>
      <c r="B2389" s="7">
        <v>0</v>
      </c>
      <c r="C2389" s="7">
        <f t="shared" si="115"/>
        <v>0.75583605794746755</v>
      </c>
      <c r="D2389" s="7">
        <f t="shared" si="116"/>
        <v>0.75586047434167281</v>
      </c>
      <c r="E2389" s="7">
        <f t="shared" si="117"/>
        <v>-0.27989847758459119</v>
      </c>
    </row>
    <row r="2390" spans="1:5" x14ac:dyDescent="0.15">
      <c r="A2390" s="7">
        <v>2383</v>
      </c>
      <c r="B2390" s="7">
        <v>0</v>
      </c>
      <c r="C2390" s="7">
        <f t="shared" si="115"/>
        <v>0.75583605794746755</v>
      </c>
      <c r="D2390" s="7">
        <f t="shared" si="116"/>
        <v>0.75586047434167281</v>
      </c>
      <c r="E2390" s="7">
        <f t="shared" si="117"/>
        <v>-0.27989847758459119</v>
      </c>
    </row>
    <row r="2391" spans="1:5" x14ac:dyDescent="0.15">
      <c r="A2391" s="7">
        <v>2384</v>
      </c>
      <c r="B2391" s="7">
        <v>0</v>
      </c>
      <c r="C2391" s="7">
        <f t="shared" si="115"/>
        <v>0.75583605794746755</v>
      </c>
      <c r="D2391" s="7">
        <f t="shared" si="116"/>
        <v>0.75586047434167281</v>
      </c>
      <c r="E2391" s="7">
        <f t="shared" si="117"/>
        <v>-0.27989847758459119</v>
      </c>
    </row>
    <row r="2392" spans="1:5" x14ac:dyDescent="0.15">
      <c r="A2392" s="7">
        <v>2385</v>
      </c>
      <c r="B2392" s="7">
        <v>1</v>
      </c>
      <c r="C2392" s="7">
        <f t="shared" si="115"/>
        <v>8.8686757970141181E-2</v>
      </c>
      <c r="D2392" s="7">
        <f t="shared" si="116"/>
        <v>8.867788929434417E-2</v>
      </c>
      <c r="E2392" s="7">
        <f t="shared" si="117"/>
        <v>-2.4227446958891354</v>
      </c>
    </row>
    <row r="2393" spans="1:5" x14ac:dyDescent="0.15">
      <c r="A2393" s="7">
        <v>2386</v>
      </c>
      <c r="B2393" s="7">
        <v>0</v>
      </c>
      <c r="C2393" s="7">
        <f t="shared" si="115"/>
        <v>0.75583605794746755</v>
      </c>
      <c r="D2393" s="7">
        <f t="shared" si="116"/>
        <v>0.75586047434167281</v>
      </c>
      <c r="E2393" s="7">
        <f t="shared" si="117"/>
        <v>-0.27989847758459119</v>
      </c>
    </row>
    <row r="2394" spans="1:5" x14ac:dyDescent="0.15">
      <c r="A2394" s="7">
        <v>2387</v>
      </c>
      <c r="B2394" s="7">
        <v>0</v>
      </c>
      <c r="C2394" s="7">
        <f t="shared" si="115"/>
        <v>0.75583605794746755</v>
      </c>
      <c r="D2394" s="7">
        <f t="shared" si="116"/>
        <v>0.75586047434167281</v>
      </c>
      <c r="E2394" s="7">
        <f t="shared" si="117"/>
        <v>-0.27989847758459119</v>
      </c>
    </row>
    <row r="2395" spans="1:5" x14ac:dyDescent="0.15">
      <c r="A2395" s="7">
        <v>2388</v>
      </c>
      <c r="B2395" s="7">
        <v>0</v>
      </c>
      <c r="C2395" s="7">
        <f t="shared" si="115"/>
        <v>0.75583605794746755</v>
      </c>
      <c r="D2395" s="7">
        <f t="shared" si="116"/>
        <v>0.75586047434167281</v>
      </c>
      <c r="E2395" s="7">
        <f t="shared" si="117"/>
        <v>-0.27989847758459119</v>
      </c>
    </row>
    <row r="2396" spans="1:5" x14ac:dyDescent="0.15">
      <c r="A2396" s="7">
        <v>2389</v>
      </c>
      <c r="B2396" s="7">
        <v>0</v>
      </c>
      <c r="C2396" s="7">
        <f t="shared" si="115"/>
        <v>0.75583605794746755</v>
      </c>
      <c r="D2396" s="7">
        <f t="shared" si="116"/>
        <v>0.75586047434167281</v>
      </c>
      <c r="E2396" s="7">
        <f t="shared" si="117"/>
        <v>-0.27989847758459119</v>
      </c>
    </row>
    <row r="2397" spans="1:5" x14ac:dyDescent="0.15">
      <c r="A2397" s="7">
        <v>2390</v>
      </c>
      <c r="B2397" s="7">
        <v>0</v>
      </c>
      <c r="C2397" s="7">
        <f t="shared" si="115"/>
        <v>0.75583605794746755</v>
      </c>
      <c r="D2397" s="7">
        <f t="shared" si="116"/>
        <v>0.75586047434167281</v>
      </c>
      <c r="E2397" s="7">
        <f t="shared" si="117"/>
        <v>-0.27989847758459119</v>
      </c>
    </row>
    <row r="2398" spans="1:5" x14ac:dyDescent="0.15">
      <c r="A2398" s="7">
        <v>2391</v>
      </c>
      <c r="B2398" s="7">
        <v>0</v>
      </c>
      <c r="C2398" s="7">
        <f t="shared" si="115"/>
        <v>0.75583605794746755</v>
      </c>
      <c r="D2398" s="7">
        <f t="shared" si="116"/>
        <v>0.75586047434167281</v>
      </c>
      <c r="E2398" s="7">
        <f t="shared" si="117"/>
        <v>-0.27989847758459119</v>
      </c>
    </row>
    <row r="2399" spans="1:5" x14ac:dyDescent="0.15">
      <c r="A2399" s="7">
        <v>2392</v>
      </c>
      <c r="B2399" s="7">
        <v>0</v>
      </c>
      <c r="C2399" s="7">
        <f t="shared" si="115"/>
        <v>0.75583605794746755</v>
      </c>
      <c r="D2399" s="7">
        <f t="shared" si="116"/>
        <v>0.75586047434167281</v>
      </c>
      <c r="E2399" s="7">
        <f t="shared" si="117"/>
        <v>-0.27989847758459119</v>
      </c>
    </row>
    <row r="2400" spans="1:5" x14ac:dyDescent="0.15">
      <c r="A2400" s="7">
        <v>2393</v>
      </c>
      <c r="B2400" s="7">
        <v>0</v>
      </c>
      <c r="C2400" s="7">
        <f t="shared" si="115"/>
        <v>0.75583605794746755</v>
      </c>
      <c r="D2400" s="7">
        <f t="shared" si="116"/>
        <v>0.75586047434167281</v>
      </c>
      <c r="E2400" s="7">
        <f t="shared" si="117"/>
        <v>-0.27989847758459119</v>
      </c>
    </row>
    <row r="2401" spans="1:5" x14ac:dyDescent="0.15">
      <c r="A2401" s="7">
        <v>2394</v>
      </c>
      <c r="B2401" s="7">
        <v>0</v>
      </c>
      <c r="C2401" s="7">
        <f t="shared" si="115"/>
        <v>0.75583605794746755</v>
      </c>
      <c r="D2401" s="7">
        <f t="shared" si="116"/>
        <v>0.75586047434167281</v>
      </c>
      <c r="E2401" s="7">
        <f t="shared" si="117"/>
        <v>-0.27989847758459119</v>
      </c>
    </row>
    <row r="2402" spans="1:5" x14ac:dyDescent="0.15">
      <c r="A2402" s="7">
        <v>2395</v>
      </c>
      <c r="B2402" s="7">
        <v>8</v>
      </c>
      <c r="C2402" s="7">
        <f t="shared" si="115"/>
        <v>6.1521164907488192E-3</v>
      </c>
      <c r="D2402" s="7">
        <f t="shared" si="116"/>
        <v>6.1515012790997444E-3</v>
      </c>
      <c r="E2402" s="7">
        <f t="shared" si="117"/>
        <v>-5.0910591165310892</v>
      </c>
    </row>
    <row r="2403" spans="1:5" x14ac:dyDescent="0.15">
      <c r="A2403" s="7">
        <v>2396</v>
      </c>
      <c r="B2403" s="7">
        <v>1</v>
      </c>
      <c r="C2403" s="7">
        <f t="shared" si="115"/>
        <v>8.8686757970141181E-2</v>
      </c>
      <c r="D2403" s="7">
        <f t="shared" si="116"/>
        <v>8.867788929434417E-2</v>
      </c>
      <c r="E2403" s="7">
        <f t="shared" si="117"/>
        <v>-2.4227446958891354</v>
      </c>
    </row>
    <row r="2404" spans="1:5" x14ac:dyDescent="0.15">
      <c r="A2404" s="7">
        <v>2397</v>
      </c>
      <c r="B2404" s="7">
        <v>0</v>
      </c>
      <c r="C2404" s="7">
        <f t="shared" si="115"/>
        <v>0.75583605794746755</v>
      </c>
      <c r="D2404" s="7">
        <f t="shared" si="116"/>
        <v>0.75586047434167281</v>
      </c>
      <c r="E2404" s="7">
        <f t="shared" si="117"/>
        <v>-0.27989847758459119</v>
      </c>
    </row>
    <row r="2405" spans="1:5" x14ac:dyDescent="0.15">
      <c r="A2405" s="7">
        <v>2398</v>
      </c>
      <c r="B2405" s="7">
        <v>0</v>
      </c>
      <c r="C2405" s="7">
        <f t="shared" si="115"/>
        <v>0.75583605794746755</v>
      </c>
      <c r="D2405" s="7">
        <f t="shared" si="116"/>
        <v>0.75586047434167281</v>
      </c>
      <c r="E2405" s="7">
        <f t="shared" si="117"/>
        <v>-0.27989847758459119</v>
      </c>
    </row>
    <row r="2406" spans="1:5" x14ac:dyDescent="0.15">
      <c r="A2406" s="7">
        <v>2399</v>
      </c>
      <c r="B2406" s="7">
        <v>0</v>
      </c>
      <c r="C2406" s="7">
        <f t="shared" si="115"/>
        <v>0.75583605794746755</v>
      </c>
      <c r="D2406" s="7">
        <f t="shared" si="116"/>
        <v>0.75586047434167281</v>
      </c>
      <c r="E2406" s="7">
        <f t="shared" si="117"/>
        <v>-0.27989847758459119</v>
      </c>
    </row>
    <row r="2407" spans="1:5" x14ac:dyDescent="0.15">
      <c r="A2407" s="7">
        <v>2400</v>
      </c>
      <c r="B2407" s="7">
        <v>0</v>
      </c>
      <c r="C2407" s="7">
        <f t="shared" si="115"/>
        <v>0.75583605794746755</v>
      </c>
      <c r="D2407" s="7">
        <f t="shared" si="116"/>
        <v>0.75586047434167281</v>
      </c>
      <c r="E2407" s="7">
        <f t="shared" si="117"/>
        <v>-0.27989847758459119</v>
      </c>
    </row>
    <row r="2408" spans="1:5" x14ac:dyDescent="0.15">
      <c r="A2408" s="7">
        <v>2401</v>
      </c>
      <c r="B2408" s="7">
        <v>0</v>
      </c>
      <c r="C2408" s="7">
        <f t="shared" si="115"/>
        <v>0.75583605794746755</v>
      </c>
      <c r="D2408" s="7">
        <f t="shared" si="116"/>
        <v>0.75586047434167281</v>
      </c>
      <c r="E2408" s="7">
        <f t="shared" si="117"/>
        <v>-0.27989847758459119</v>
      </c>
    </row>
    <row r="2409" spans="1:5" x14ac:dyDescent="0.15">
      <c r="A2409" s="7">
        <v>2402</v>
      </c>
      <c r="B2409" s="7">
        <v>1</v>
      </c>
      <c r="C2409" s="7">
        <f t="shared" si="115"/>
        <v>8.8686757970141181E-2</v>
      </c>
      <c r="D2409" s="7">
        <f t="shared" si="116"/>
        <v>8.867788929434417E-2</v>
      </c>
      <c r="E2409" s="7">
        <f t="shared" si="117"/>
        <v>-2.4227446958891354</v>
      </c>
    </row>
    <row r="2410" spans="1:5" x14ac:dyDescent="0.15">
      <c r="A2410" s="7">
        <v>2403</v>
      </c>
      <c r="B2410" s="7">
        <v>0</v>
      </c>
      <c r="C2410" s="7">
        <f t="shared" si="115"/>
        <v>0.75583605794746755</v>
      </c>
      <c r="D2410" s="7">
        <f t="shared" si="116"/>
        <v>0.75586047434167281</v>
      </c>
      <c r="E2410" s="7">
        <f t="shared" si="117"/>
        <v>-0.27989847758459119</v>
      </c>
    </row>
    <row r="2411" spans="1:5" x14ac:dyDescent="0.15">
      <c r="A2411" s="7">
        <v>2404</v>
      </c>
      <c r="B2411" s="7">
        <v>2</v>
      </c>
      <c r="C2411" s="7">
        <f t="shared" si="115"/>
        <v>4.4066701399555049E-2</v>
      </c>
      <c r="D2411" s="7">
        <f t="shared" si="116"/>
        <v>4.4062294729415093E-2</v>
      </c>
      <c r="E2411" s="7">
        <f t="shared" si="117"/>
        <v>-3.1221508570437044</v>
      </c>
    </row>
    <row r="2412" spans="1:5" x14ac:dyDescent="0.15">
      <c r="A2412" s="7">
        <v>2405</v>
      </c>
      <c r="B2412" s="7">
        <v>0</v>
      </c>
      <c r="C2412" s="7">
        <f t="shared" si="115"/>
        <v>0.75583605794746755</v>
      </c>
      <c r="D2412" s="7">
        <f t="shared" si="116"/>
        <v>0.75586047434167281</v>
      </c>
      <c r="E2412" s="7">
        <f t="shared" si="117"/>
        <v>-0.27989847758459119</v>
      </c>
    </row>
    <row r="2413" spans="1:5" x14ac:dyDescent="0.15">
      <c r="A2413" s="7">
        <v>2406</v>
      </c>
      <c r="B2413" s="7">
        <v>0</v>
      </c>
      <c r="C2413" s="7">
        <f t="shared" si="115"/>
        <v>0.75583605794746755</v>
      </c>
      <c r="D2413" s="7">
        <f t="shared" si="116"/>
        <v>0.75586047434167281</v>
      </c>
      <c r="E2413" s="7">
        <f t="shared" si="117"/>
        <v>-0.27989847758459119</v>
      </c>
    </row>
    <row r="2414" spans="1:5" x14ac:dyDescent="0.15">
      <c r="A2414" s="7">
        <v>2407</v>
      </c>
      <c r="B2414" s="7">
        <v>5</v>
      </c>
      <c r="C2414" s="7">
        <f t="shared" si="115"/>
        <v>1.366826244062944E-2</v>
      </c>
      <c r="D2414" s="7">
        <f t="shared" si="116"/>
        <v>1.3666895614385376E-2</v>
      </c>
      <c r="E2414" s="7">
        <f t="shared" si="117"/>
        <v>-4.2927787488141558</v>
      </c>
    </row>
    <row r="2415" spans="1:5" x14ac:dyDescent="0.15">
      <c r="A2415" s="7">
        <v>2408</v>
      </c>
      <c r="B2415" s="7">
        <v>1</v>
      </c>
      <c r="C2415" s="7">
        <f t="shared" si="115"/>
        <v>8.8686757970141181E-2</v>
      </c>
      <c r="D2415" s="7">
        <f t="shared" si="116"/>
        <v>8.867788929434417E-2</v>
      </c>
      <c r="E2415" s="7">
        <f t="shared" si="117"/>
        <v>-2.4227446958891354</v>
      </c>
    </row>
    <row r="2416" spans="1:5" x14ac:dyDescent="0.15">
      <c r="A2416" s="7">
        <v>2409</v>
      </c>
      <c r="B2416" s="7">
        <v>0</v>
      </c>
      <c r="C2416" s="7">
        <f t="shared" si="115"/>
        <v>0.75583605794746755</v>
      </c>
      <c r="D2416" s="7">
        <f t="shared" si="116"/>
        <v>0.75586047434167281</v>
      </c>
      <c r="E2416" s="7">
        <f t="shared" si="117"/>
        <v>-0.27989847758459119</v>
      </c>
    </row>
    <row r="2417" spans="1:5" x14ac:dyDescent="0.15">
      <c r="A2417" s="7">
        <v>2410</v>
      </c>
      <c r="B2417" s="7">
        <v>0</v>
      </c>
      <c r="C2417" s="7">
        <f t="shared" si="115"/>
        <v>0.75583605794746755</v>
      </c>
      <c r="D2417" s="7">
        <f t="shared" si="116"/>
        <v>0.75586047434167281</v>
      </c>
      <c r="E2417" s="7">
        <f t="shared" si="117"/>
        <v>-0.27989847758459119</v>
      </c>
    </row>
    <row r="2418" spans="1:5" x14ac:dyDescent="0.15">
      <c r="A2418" s="7">
        <v>2411</v>
      </c>
      <c r="B2418" s="7">
        <v>0</v>
      </c>
      <c r="C2418" s="7">
        <f t="shared" si="115"/>
        <v>0.75583605794746755</v>
      </c>
      <c r="D2418" s="7">
        <f t="shared" si="116"/>
        <v>0.75586047434167281</v>
      </c>
      <c r="E2418" s="7">
        <f t="shared" si="117"/>
        <v>-0.27989847758459119</v>
      </c>
    </row>
    <row r="2419" spans="1:5" x14ac:dyDescent="0.15">
      <c r="A2419" s="7">
        <v>2412</v>
      </c>
      <c r="B2419" s="7">
        <v>0</v>
      </c>
      <c r="C2419" s="7">
        <f t="shared" si="115"/>
        <v>0.75583605794746755</v>
      </c>
      <c r="D2419" s="7">
        <f t="shared" si="116"/>
        <v>0.75586047434167281</v>
      </c>
      <c r="E2419" s="7">
        <f t="shared" si="117"/>
        <v>-0.27989847758459119</v>
      </c>
    </row>
    <row r="2420" spans="1:5" x14ac:dyDescent="0.15">
      <c r="A2420" s="7">
        <v>2413</v>
      </c>
      <c r="B2420" s="7">
        <v>0</v>
      </c>
      <c r="C2420" s="7">
        <f t="shared" si="115"/>
        <v>0.75583605794746755</v>
      </c>
      <c r="D2420" s="7">
        <f t="shared" si="116"/>
        <v>0.75586047434167281</v>
      </c>
      <c r="E2420" s="7">
        <f t="shared" si="117"/>
        <v>-0.27989847758459119</v>
      </c>
    </row>
    <row r="2421" spans="1:5" x14ac:dyDescent="0.15">
      <c r="A2421" s="7">
        <v>2414</v>
      </c>
      <c r="B2421" s="7">
        <v>0</v>
      </c>
      <c r="C2421" s="7">
        <f t="shared" si="115"/>
        <v>0.75583605794746755</v>
      </c>
      <c r="D2421" s="7">
        <f t="shared" si="116"/>
        <v>0.75586047434167281</v>
      </c>
      <c r="E2421" s="7">
        <f t="shared" si="117"/>
        <v>-0.27989847758459119</v>
      </c>
    </row>
    <row r="2422" spans="1:5" x14ac:dyDescent="0.15">
      <c r="A2422" s="7">
        <v>2415</v>
      </c>
      <c r="B2422" s="7">
        <v>0</v>
      </c>
      <c r="C2422" s="7">
        <f t="shared" si="115"/>
        <v>0.75583605794746755</v>
      </c>
      <c r="D2422" s="7">
        <f t="shared" si="116"/>
        <v>0.75586047434167281</v>
      </c>
      <c r="E2422" s="7">
        <f t="shared" si="117"/>
        <v>-0.27989847758459119</v>
      </c>
    </row>
    <row r="2423" spans="1:5" x14ac:dyDescent="0.15">
      <c r="A2423" s="7">
        <v>2416</v>
      </c>
      <c r="B2423" s="7">
        <v>0</v>
      </c>
      <c r="C2423" s="7">
        <f t="shared" si="115"/>
        <v>0.75583605794746755</v>
      </c>
      <c r="D2423" s="7">
        <f t="shared" si="116"/>
        <v>0.75586047434167281</v>
      </c>
      <c r="E2423" s="7">
        <f t="shared" si="117"/>
        <v>-0.27989847758459119</v>
      </c>
    </row>
    <row r="2424" spans="1:5" x14ac:dyDescent="0.15">
      <c r="A2424" s="7">
        <v>2417</v>
      </c>
      <c r="B2424" s="7">
        <v>0</v>
      </c>
      <c r="C2424" s="7">
        <f t="shared" si="115"/>
        <v>0.75583605794746755</v>
      </c>
      <c r="D2424" s="7">
        <f t="shared" si="116"/>
        <v>0.75586047434167281</v>
      </c>
      <c r="E2424" s="7">
        <f t="shared" si="117"/>
        <v>-0.27989847758459119</v>
      </c>
    </row>
    <row r="2425" spans="1:5" x14ac:dyDescent="0.15">
      <c r="A2425" s="7">
        <v>2418</v>
      </c>
      <c r="B2425" s="7">
        <v>0</v>
      </c>
      <c r="C2425" s="7">
        <f t="shared" si="115"/>
        <v>0.75583605794746755</v>
      </c>
      <c r="D2425" s="7">
        <f t="shared" si="116"/>
        <v>0.75586047434167281</v>
      </c>
      <c r="E2425" s="7">
        <f t="shared" si="117"/>
        <v>-0.27989847758459119</v>
      </c>
    </row>
    <row r="2426" spans="1:5" x14ac:dyDescent="0.15">
      <c r="A2426" s="7">
        <v>2419</v>
      </c>
      <c r="B2426" s="7">
        <v>1</v>
      </c>
      <c r="C2426" s="7">
        <f t="shared" si="115"/>
        <v>8.8686757970141181E-2</v>
      </c>
      <c r="D2426" s="7">
        <f t="shared" si="116"/>
        <v>8.867788929434417E-2</v>
      </c>
      <c r="E2426" s="7">
        <f t="shared" si="117"/>
        <v>-2.4227446958891354</v>
      </c>
    </row>
    <row r="2427" spans="1:5" x14ac:dyDescent="0.15">
      <c r="A2427" s="7">
        <v>2420</v>
      </c>
      <c r="B2427" s="7">
        <v>0</v>
      </c>
      <c r="C2427" s="7">
        <f t="shared" si="115"/>
        <v>0.75583605794746755</v>
      </c>
      <c r="D2427" s="7">
        <f t="shared" si="116"/>
        <v>0.75586047434167281</v>
      </c>
      <c r="E2427" s="7">
        <f t="shared" si="117"/>
        <v>-0.27989847758459119</v>
      </c>
    </row>
    <row r="2428" spans="1:5" x14ac:dyDescent="0.15">
      <c r="A2428" s="7">
        <v>2421</v>
      </c>
      <c r="B2428" s="7">
        <v>0</v>
      </c>
      <c r="C2428" s="7">
        <f t="shared" si="115"/>
        <v>0.75583605794746755</v>
      </c>
      <c r="D2428" s="7">
        <f t="shared" si="116"/>
        <v>0.75586047434167281</v>
      </c>
      <c r="E2428" s="7">
        <f t="shared" si="117"/>
        <v>-0.27989847758459119</v>
      </c>
    </row>
    <row r="2429" spans="1:5" x14ac:dyDescent="0.15">
      <c r="A2429" s="7">
        <v>2422</v>
      </c>
      <c r="B2429" s="7">
        <v>0</v>
      </c>
      <c r="C2429" s="7">
        <f t="shared" si="115"/>
        <v>0.75583605794746755</v>
      </c>
      <c r="D2429" s="7">
        <f t="shared" si="116"/>
        <v>0.75586047434167281</v>
      </c>
      <c r="E2429" s="7">
        <f t="shared" si="117"/>
        <v>-0.27989847758459119</v>
      </c>
    </row>
    <row r="2430" spans="1:5" x14ac:dyDescent="0.15">
      <c r="A2430" s="7">
        <v>2423</v>
      </c>
      <c r="B2430" s="7">
        <v>0</v>
      </c>
      <c r="C2430" s="7">
        <f t="shared" si="115"/>
        <v>0.75583605794746755</v>
      </c>
      <c r="D2430" s="7">
        <f t="shared" si="116"/>
        <v>0.75586047434167281</v>
      </c>
      <c r="E2430" s="7">
        <f t="shared" si="117"/>
        <v>-0.27989847758459119</v>
      </c>
    </row>
    <row r="2431" spans="1:5" x14ac:dyDescent="0.15">
      <c r="A2431" s="7">
        <v>2424</v>
      </c>
      <c r="B2431" s="7">
        <v>0</v>
      </c>
      <c r="C2431" s="7">
        <f t="shared" si="115"/>
        <v>0.75583605794746755</v>
      </c>
      <c r="D2431" s="7">
        <f t="shared" si="116"/>
        <v>0.75586047434167281</v>
      </c>
      <c r="E2431" s="7">
        <f t="shared" si="117"/>
        <v>-0.27989847758459119</v>
      </c>
    </row>
    <row r="2432" spans="1:5" x14ac:dyDescent="0.15">
      <c r="A2432" s="7">
        <v>2425</v>
      </c>
      <c r="B2432" s="7">
        <v>0</v>
      </c>
      <c r="C2432" s="7">
        <f t="shared" si="115"/>
        <v>0.75583605794746755</v>
      </c>
      <c r="D2432" s="7">
        <f t="shared" si="116"/>
        <v>0.75586047434167281</v>
      </c>
      <c r="E2432" s="7">
        <f t="shared" si="117"/>
        <v>-0.27989847758459119</v>
      </c>
    </row>
    <row r="2433" spans="1:5" x14ac:dyDescent="0.15">
      <c r="A2433" s="7">
        <v>2426</v>
      </c>
      <c r="B2433" s="7">
        <v>0</v>
      </c>
      <c r="C2433" s="7">
        <f t="shared" si="115"/>
        <v>0.75583605794746755</v>
      </c>
      <c r="D2433" s="7">
        <f t="shared" si="116"/>
        <v>0.75586047434167281</v>
      </c>
      <c r="E2433" s="7">
        <f t="shared" si="117"/>
        <v>-0.27989847758459119</v>
      </c>
    </row>
    <row r="2434" spans="1:5" x14ac:dyDescent="0.15">
      <c r="A2434" s="7">
        <v>2427</v>
      </c>
      <c r="B2434" s="7">
        <v>0</v>
      </c>
      <c r="C2434" s="7">
        <f t="shared" si="115"/>
        <v>0.75583605794746755</v>
      </c>
      <c r="D2434" s="7">
        <f t="shared" si="116"/>
        <v>0.75586047434167281</v>
      </c>
      <c r="E2434" s="7">
        <f t="shared" si="117"/>
        <v>-0.27989847758459119</v>
      </c>
    </row>
    <row r="2435" spans="1:5" x14ac:dyDescent="0.15">
      <c r="A2435" s="7">
        <v>2428</v>
      </c>
      <c r="B2435" s="7">
        <v>2</v>
      </c>
      <c r="C2435" s="7">
        <f t="shared" si="115"/>
        <v>4.4066701399555049E-2</v>
      </c>
      <c r="D2435" s="7">
        <f t="shared" si="116"/>
        <v>4.4062294729415093E-2</v>
      </c>
      <c r="E2435" s="7">
        <f t="shared" si="117"/>
        <v>-3.1221508570437044</v>
      </c>
    </row>
    <row r="2436" spans="1:5" x14ac:dyDescent="0.15">
      <c r="A2436" s="7">
        <v>2429</v>
      </c>
      <c r="B2436" s="7">
        <v>12</v>
      </c>
      <c r="C2436" s="7">
        <f t="shared" si="115"/>
        <v>2.5611896790335791E-3</v>
      </c>
      <c r="D2436" s="7">
        <f t="shared" si="116"/>
        <v>2.5609335600656757E-3</v>
      </c>
      <c r="E2436" s="7">
        <f t="shared" si="117"/>
        <v>-5.9673834150666476</v>
      </c>
    </row>
    <row r="2437" spans="1:5" x14ac:dyDescent="0.15">
      <c r="A2437" s="7">
        <v>2430</v>
      </c>
      <c r="B2437" s="7">
        <v>0</v>
      </c>
      <c r="C2437" s="7">
        <f t="shared" si="115"/>
        <v>0.75583605794746755</v>
      </c>
      <c r="D2437" s="7">
        <f t="shared" si="116"/>
        <v>0.75586047434167281</v>
      </c>
      <c r="E2437" s="7">
        <f t="shared" si="117"/>
        <v>-0.27989847758459119</v>
      </c>
    </row>
    <row r="2438" spans="1:5" x14ac:dyDescent="0.15">
      <c r="A2438" s="7">
        <v>2431</v>
      </c>
      <c r="B2438" s="7">
        <v>1</v>
      </c>
      <c r="C2438" s="7">
        <f t="shared" si="115"/>
        <v>8.8686757970141181E-2</v>
      </c>
      <c r="D2438" s="7">
        <f t="shared" si="116"/>
        <v>8.867788929434417E-2</v>
      </c>
      <c r="E2438" s="7">
        <f t="shared" si="117"/>
        <v>-2.4227446958891354</v>
      </c>
    </row>
    <row r="2439" spans="1:5" x14ac:dyDescent="0.15">
      <c r="A2439" s="7">
        <v>2432</v>
      </c>
      <c r="B2439" s="7">
        <v>0</v>
      </c>
      <c r="C2439" s="7">
        <f t="shared" si="115"/>
        <v>0.75583605794746755</v>
      </c>
      <c r="D2439" s="7">
        <f t="shared" si="116"/>
        <v>0.75586047434167281</v>
      </c>
      <c r="E2439" s="7">
        <f t="shared" si="117"/>
        <v>-0.27989847758459119</v>
      </c>
    </row>
    <row r="2440" spans="1:5" x14ac:dyDescent="0.15">
      <c r="A2440" s="7">
        <v>2433</v>
      </c>
      <c r="B2440" s="7">
        <v>0</v>
      </c>
      <c r="C2440" s="7">
        <f t="shared" si="115"/>
        <v>0.75583605794746755</v>
      </c>
      <c r="D2440" s="7">
        <f t="shared" si="116"/>
        <v>0.75586047434167281</v>
      </c>
      <c r="E2440" s="7">
        <f t="shared" si="117"/>
        <v>-0.27989847758459119</v>
      </c>
    </row>
    <row r="2441" spans="1:5" x14ac:dyDescent="0.15">
      <c r="A2441" s="7">
        <v>2434</v>
      </c>
      <c r="B2441" s="7">
        <v>0</v>
      </c>
      <c r="C2441" s="7">
        <f t="shared" ref="C2441:C2504" si="118">(_xlfn.GAMMA($B$1+B2441)/(_xlfn.GAMMA($B$1)*FACT(B2441))) * ($B$2/($B$2+$B$5))^$B$1 * (1/($B$2 +$B$5))^B2441</f>
        <v>0.75583605794746755</v>
      </c>
      <c r="D2441" s="7">
        <f t="shared" ref="D2441:D2504" si="119" xml:space="preserve"> IF(B2441 = 0, $B$3 + (1-$B$3) * C2441, (1-$B$3) *C2441)</f>
        <v>0.75586047434167281</v>
      </c>
      <c r="E2441" s="7">
        <f t="shared" ref="E2441:E2504" si="120">LN(D2441)</f>
        <v>-0.27989847758459119</v>
      </c>
    </row>
    <row r="2442" spans="1:5" x14ac:dyDescent="0.15">
      <c r="A2442" s="7">
        <v>2435</v>
      </c>
      <c r="B2442" s="7">
        <v>0</v>
      </c>
      <c r="C2442" s="7">
        <f t="shared" si="118"/>
        <v>0.75583605794746755</v>
      </c>
      <c r="D2442" s="7">
        <f t="shared" si="119"/>
        <v>0.75586047434167281</v>
      </c>
      <c r="E2442" s="7">
        <f t="shared" si="120"/>
        <v>-0.27989847758459119</v>
      </c>
    </row>
    <row r="2443" spans="1:5" x14ac:dyDescent="0.15">
      <c r="A2443" s="7">
        <v>2436</v>
      </c>
      <c r="B2443" s="7">
        <v>0</v>
      </c>
      <c r="C2443" s="7">
        <f t="shared" si="118"/>
        <v>0.75583605794746755</v>
      </c>
      <c r="D2443" s="7">
        <f t="shared" si="119"/>
        <v>0.75586047434167281</v>
      </c>
      <c r="E2443" s="7">
        <f t="shared" si="120"/>
        <v>-0.27989847758459119</v>
      </c>
    </row>
    <row r="2444" spans="1:5" x14ac:dyDescent="0.15">
      <c r="A2444" s="7">
        <v>2437</v>
      </c>
      <c r="B2444" s="7">
        <v>0</v>
      </c>
      <c r="C2444" s="7">
        <f t="shared" si="118"/>
        <v>0.75583605794746755</v>
      </c>
      <c r="D2444" s="7">
        <f t="shared" si="119"/>
        <v>0.75586047434167281</v>
      </c>
      <c r="E2444" s="7">
        <f t="shared" si="120"/>
        <v>-0.27989847758459119</v>
      </c>
    </row>
    <row r="2445" spans="1:5" x14ac:dyDescent="0.15">
      <c r="A2445" s="7">
        <v>2438</v>
      </c>
      <c r="B2445" s="7">
        <v>0</v>
      </c>
      <c r="C2445" s="7">
        <f t="shared" si="118"/>
        <v>0.75583605794746755</v>
      </c>
      <c r="D2445" s="7">
        <f t="shared" si="119"/>
        <v>0.75586047434167281</v>
      </c>
      <c r="E2445" s="7">
        <f t="shared" si="120"/>
        <v>-0.27989847758459119</v>
      </c>
    </row>
    <row r="2446" spans="1:5" x14ac:dyDescent="0.15">
      <c r="A2446" s="7">
        <v>2439</v>
      </c>
      <c r="B2446" s="7">
        <v>0</v>
      </c>
      <c r="C2446" s="7">
        <f t="shared" si="118"/>
        <v>0.75583605794746755</v>
      </c>
      <c r="D2446" s="7">
        <f t="shared" si="119"/>
        <v>0.75586047434167281</v>
      </c>
      <c r="E2446" s="7">
        <f t="shared" si="120"/>
        <v>-0.27989847758459119</v>
      </c>
    </row>
    <row r="2447" spans="1:5" x14ac:dyDescent="0.15">
      <c r="A2447" s="7">
        <v>2440</v>
      </c>
      <c r="B2447" s="7">
        <v>0</v>
      </c>
      <c r="C2447" s="7">
        <f t="shared" si="118"/>
        <v>0.75583605794746755</v>
      </c>
      <c r="D2447" s="7">
        <f t="shared" si="119"/>
        <v>0.75586047434167281</v>
      </c>
      <c r="E2447" s="7">
        <f t="shared" si="120"/>
        <v>-0.27989847758459119</v>
      </c>
    </row>
    <row r="2448" spans="1:5" x14ac:dyDescent="0.15">
      <c r="A2448" s="7">
        <v>2441</v>
      </c>
      <c r="B2448" s="7">
        <v>0</v>
      </c>
      <c r="C2448" s="7">
        <f t="shared" si="118"/>
        <v>0.75583605794746755</v>
      </c>
      <c r="D2448" s="7">
        <f t="shared" si="119"/>
        <v>0.75586047434167281</v>
      </c>
      <c r="E2448" s="7">
        <f t="shared" si="120"/>
        <v>-0.27989847758459119</v>
      </c>
    </row>
    <row r="2449" spans="1:5" x14ac:dyDescent="0.15">
      <c r="A2449" s="7">
        <v>2442</v>
      </c>
      <c r="B2449" s="7">
        <v>0</v>
      </c>
      <c r="C2449" s="7">
        <f t="shared" si="118"/>
        <v>0.75583605794746755</v>
      </c>
      <c r="D2449" s="7">
        <f t="shared" si="119"/>
        <v>0.75586047434167281</v>
      </c>
      <c r="E2449" s="7">
        <f t="shared" si="120"/>
        <v>-0.27989847758459119</v>
      </c>
    </row>
    <row r="2450" spans="1:5" x14ac:dyDescent="0.15">
      <c r="A2450" s="7">
        <v>2443</v>
      </c>
      <c r="B2450" s="7">
        <v>0</v>
      </c>
      <c r="C2450" s="7">
        <f t="shared" si="118"/>
        <v>0.75583605794746755</v>
      </c>
      <c r="D2450" s="7">
        <f t="shared" si="119"/>
        <v>0.75586047434167281</v>
      </c>
      <c r="E2450" s="7">
        <f t="shared" si="120"/>
        <v>-0.27989847758459119</v>
      </c>
    </row>
    <row r="2451" spans="1:5" x14ac:dyDescent="0.15">
      <c r="A2451" s="7">
        <v>2444</v>
      </c>
      <c r="B2451" s="7">
        <v>0</v>
      </c>
      <c r="C2451" s="7">
        <f t="shared" si="118"/>
        <v>0.75583605794746755</v>
      </c>
      <c r="D2451" s="7">
        <f t="shared" si="119"/>
        <v>0.75586047434167281</v>
      </c>
      <c r="E2451" s="7">
        <f t="shared" si="120"/>
        <v>-0.27989847758459119</v>
      </c>
    </row>
    <row r="2452" spans="1:5" x14ac:dyDescent="0.15">
      <c r="A2452" s="7">
        <v>2445</v>
      </c>
      <c r="B2452" s="7">
        <v>0</v>
      </c>
      <c r="C2452" s="7">
        <f t="shared" si="118"/>
        <v>0.75583605794746755</v>
      </c>
      <c r="D2452" s="7">
        <f t="shared" si="119"/>
        <v>0.75586047434167281</v>
      </c>
      <c r="E2452" s="7">
        <f t="shared" si="120"/>
        <v>-0.27989847758459119</v>
      </c>
    </row>
    <row r="2453" spans="1:5" x14ac:dyDescent="0.15">
      <c r="A2453" s="7">
        <v>2446</v>
      </c>
      <c r="B2453" s="7">
        <v>1</v>
      </c>
      <c r="C2453" s="7">
        <f t="shared" si="118"/>
        <v>8.8686757970141181E-2</v>
      </c>
      <c r="D2453" s="7">
        <f t="shared" si="119"/>
        <v>8.867788929434417E-2</v>
      </c>
      <c r="E2453" s="7">
        <f t="shared" si="120"/>
        <v>-2.4227446958891354</v>
      </c>
    </row>
    <row r="2454" spans="1:5" x14ac:dyDescent="0.15">
      <c r="A2454" s="7">
        <v>2447</v>
      </c>
      <c r="B2454" s="7">
        <v>0</v>
      </c>
      <c r="C2454" s="7">
        <f t="shared" si="118"/>
        <v>0.75583605794746755</v>
      </c>
      <c r="D2454" s="7">
        <f t="shared" si="119"/>
        <v>0.75586047434167281</v>
      </c>
      <c r="E2454" s="7">
        <f t="shared" si="120"/>
        <v>-0.27989847758459119</v>
      </c>
    </row>
    <row r="2455" spans="1:5" x14ac:dyDescent="0.15">
      <c r="A2455" s="7">
        <v>2448</v>
      </c>
      <c r="B2455" s="7">
        <v>0</v>
      </c>
      <c r="C2455" s="7">
        <f t="shared" si="118"/>
        <v>0.75583605794746755</v>
      </c>
      <c r="D2455" s="7">
        <f t="shared" si="119"/>
        <v>0.75586047434167281</v>
      </c>
      <c r="E2455" s="7">
        <f t="shared" si="120"/>
        <v>-0.27989847758459119</v>
      </c>
    </row>
    <row r="2456" spans="1:5" x14ac:dyDescent="0.15">
      <c r="A2456" s="7">
        <v>2449</v>
      </c>
      <c r="B2456" s="7">
        <v>1</v>
      </c>
      <c r="C2456" s="7">
        <f t="shared" si="118"/>
        <v>8.8686757970141181E-2</v>
      </c>
      <c r="D2456" s="7">
        <f t="shared" si="119"/>
        <v>8.867788929434417E-2</v>
      </c>
      <c r="E2456" s="7">
        <f t="shared" si="120"/>
        <v>-2.4227446958891354</v>
      </c>
    </row>
    <row r="2457" spans="1:5" x14ac:dyDescent="0.15">
      <c r="A2457" s="7">
        <v>2450</v>
      </c>
      <c r="B2457" s="7">
        <v>0</v>
      </c>
      <c r="C2457" s="7">
        <f t="shared" si="118"/>
        <v>0.75583605794746755</v>
      </c>
      <c r="D2457" s="7">
        <f t="shared" si="119"/>
        <v>0.75586047434167281</v>
      </c>
      <c r="E2457" s="7">
        <f t="shared" si="120"/>
        <v>-0.27989847758459119</v>
      </c>
    </row>
    <row r="2458" spans="1:5" x14ac:dyDescent="0.15">
      <c r="A2458" s="7">
        <v>2451</v>
      </c>
      <c r="B2458" s="7">
        <v>0</v>
      </c>
      <c r="C2458" s="7">
        <f t="shared" si="118"/>
        <v>0.75583605794746755</v>
      </c>
      <c r="D2458" s="7">
        <f t="shared" si="119"/>
        <v>0.75586047434167281</v>
      </c>
      <c r="E2458" s="7">
        <f t="shared" si="120"/>
        <v>-0.27989847758459119</v>
      </c>
    </row>
    <row r="2459" spans="1:5" x14ac:dyDescent="0.15">
      <c r="A2459" s="7">
        <v>2452</v>
      </c>
      <c r="B2459" s="7">
        <v>0</v>
      </c>
      <c r="C2459" s="7">
        <f t="shared" si="118"/>
        <v>0.75583605794746755</v>
      </c>
      <c r="D2459" s="7">
        <f t="shared" si="119"/>
        <v>0.75586047434167281</v>
      </c>
      <c r="E2459" s="7">
        <f t="shared" si="120"/>
        <v>-0.27989847758459119</v>
      </c>
    </row>
    <row r="2460" spans="1:5" x14ac:dyDescent="0.15">
      <c r="A2460" s="7">
        <v>2453</v>
      </c>
      <c r="B2460" s="7">
        <v>2</v>
      </c>
      <c r="C2460" s="7">
        <f t="shared" si="118"/>
        <v>4.4066701399555049E-2</v>
      </c>
      <c r="D2460" s="7">
        <f t="shared" si="119"/>
        <v>4.4062294729415093E-2</v>
      </c>
      <c r="E2460" s="7">
        <f t="shared" si="120"/>
        <v>-3.1221508570437044</v>
      </c>
    </row>
    <row r="2461" spans="1:5" x14ac:dyDescent="0.15">
      <c r="A2461" s="7">
        <v>2454</v>
      </c>
      <c r="B2461" s="7">
        <v>0</v>
      </c>
      <c r="C2461" s="7">
        <f t="shared" si="118"/>
        <v>0.75583605794746755</v>
      </c>
      <c r="D2461" s="7">
        <f t="shared" si="119"/>
        <v>0.75586047434167281</v>
      </c>
      <c r="E2461" s="7">
        <f t="shared" si="120"/>
        <v>-0.27989847758459119</v>
      </c>
    </row>
    <row r="2462" spans="1:5" x14ac:dyDescent="0.15">
      <c r="A2462" s="7">
        <v>2455</v>
      </c>
      <c r="B2462" s="7">
        <v>0</v>
      </c>
      <c r="C2462" s="7">
        <f t="shared" si="118"/>
        <v>0.75583605794746755</v>
      </c>
      <c r="D2462" s="7">
        <f t="shared" si="119"/>
        <v>0.75586047434167281</v>
      </c>
      <c r="E2462" s="7">
        <f t="shared" si="120"/>
        <v>-0.27989847758459119</v>
      </c>
    </row>
    <row r="2463" spans="1:5" x14ac:dyDescent="0.15">
      <c r="A2463" s="7">
        <v>2456</v>
      </c>
      <c r="B2463" s="7">
        <v>0</v>
      </c>
      <c r="C2463" s="7">
        <f t="shared" si="118"/>
        <v>0.75583605794746755</v>
      </c>
      <c r="D2463" s="7">
        <f t="shared" si="119"/>
        <v>0.75586047434167281</v>
      </c>
      <c r="E2463" s="7">
        <f t="shared" si="120"/>
        <v>-0.27989847758459119</v>
      </c>
    </row>
    <row r="2464" spans="1:5" x14ac:dyDescent="0.15">
      <c r="A2464" s="7">
        <v>2457</v>
      </c>
      <c r="B2464" s="7">
        <v>0</v>
      </c>
      <c r="C2464" s="7">
        <f t="shared" si="118"/>
        <v>0.75583605794746755</v>
      </c>
      <c r="D2464" s="7">
        <f t="shared" si="119"/>
        <v>0.75586047434167281</v>
      </c>
      <c r="E2464" s="7">
        <f t="shared" si="120"/>
        <v>-0.27989847758459119</v>
      </c>
    </row>
    <row r="2465" spans="1:5" x14ac:dyDescent="0.15">
      <c r="A2465" s="7">
        <v>2458</v>
      </c>
      <c r="B2465" s="7">
        <v>1</v>
      </c>
      <c r="C2465" s="7">
        <f t="shared" si="118"/>
        <v>8.8686757970141181E-2</v>
      </c>
      <c r="D2465" s="7">
        <f t="shared" si="119"/>
        <v>8.867788929434417E-2</v>
      </c>
      <c r="E2465" s="7">
        <f t="shared" si="120"/>
        <v>-2.4227446958891354</v>
      </c>
    </row>
    <row r="2466" spans="1:5" x14ac:dyDescent="0.15">
      <c r="A2466" s="7">
        <v>2459</v>
      </c>
      <c r="B2466" s="7">
        <v>0</v>
      </c>
      <c r="C2466" s="7">
        <f t="shared" si="118"/>
        <v>0.75583605794746755</v>
      </c>
      <c r="D2466" s="7">
        <f t="shared" si="119"/>
        <v>0.75586047434167281</v>
      </c>
      <c r="E2466" s="7">
        <f t="shared" si="120"/>
        <v>-0.27989847758459119</v>
      </c>
    </row>
    <row r="2467" spans="1:5" x14ac:dyDescent="0.15">
      <c r="A2467" s="7">
        <v>2460</v>
      </c>
      <c r="B2467" s="7">
        <v>0</v>
      </c>
      <c r="C2467" s="7">
        <f t="shared" si="118"/>
        <v>0.75583605794746755</v>
      </c>
      <c r="D2467" s="7">
        <f t="shared" si="119"/>
        <v>0.75586047434167281</v>
      </c>
      <c r="E2467" s="7">
        <f t="shared" si="120"/>
        <v>-0.27989847758459119</v>
      </c>
    </row>
    <row r="2468" spans="1:5" x14ac:dyDescent="0.15">
      <c r="A2468" s="7">
        <v>2461</v>
      </c>
      <c r="B2468" s="7">
        <v>0</v>
      </c>
      <c r="C2468" s="7">
        <f t="shared" si="118"/>
        <v>0.75583605794746755</v>
      </c>
      <c r="D2468" s="7">
        <f t="shared" si="119"/>
        <v>0.75586047434167281</v>
      </c>
      <c r="E2468" s="7">
        <f t="shared" si="120"/>
        <v>-0.27989847758459119</v>
      </c>
    </row>
    <row r="2469" spans="1:5" x14ac:dyDescent="0.15">
      <c r="A2469" s="7">
        <v>2462</v>
      </c>
      <c r="B2469" s="7">
        <v>2</v>
      </c>
      <c r="C2469" s="7">
        <f t="shared" si="118"/>
        <v>4.4066701399555049E-2</v>
      </c>
      <c r="D2469" s="7">
        <f t="shared" si="119"/>
        <v>4.4062294729415093E-2</v>
      </c>
      <c r="E2469" s="7">
        <f t="shared" si="120"/>
        <v>-3.1221508570437044</v>
      </c>
    </row>
    <row r="2470" spans="1:5" x14ac:dyDescent="0.15">
      <c r="A2470" s="7">
        <v>2463</v>
      </c>
      <c r="B2470" s="7">
        <v>0</v>
      </c>
      <c r="C2470" s="7">
        <f t="shared" si="118"/>
        <v>0.75583605794746755</v>
      </c>
      <c r="D2470" s="7">
        <f t="shared" si="119"/>
        <v>0.75586047434167281</v>
      </c>
      <c r="E2470" s="7">
        <f t="shared" si="120"/>
        <v>-0.27989847758459119</v>
      </c>
    </row>
    <row r="2471" spans="1:5" x14ac:dyDescent="0.15">
      <c r="A2471" s="7">
        <v>2464</v>
      </c>
      <c r="B2471" s="7">
        <v>3</v>
      </c>
      <c r="C2471" s="7">
        <f t="shared" si="118"/>
        <v>2.7470963680778882E-2</v>
      </c>
      <c r="D2471" s="7">
        <f t="shared" si="119"/>
        <v>2.7468216584410805E-2</v>
      </c>
      <c r="E2471" s="7">
        <f t="shared" si="120"/>
        <v>-3.5947257032827968</v>
      </c>
    </row>
    <row r="2472" spans="1:5" x14ac:dyDescent="0.15">
      <c r="A2472" s="7">
        <v>2465</v>
      </c>
      <c r="B2472" s="7">
        <v>1</v>
      </c>
      <c r="C2472" s="7">
        <f t="shared" si="118"/>
        <v>8.8686757970141181E-2</v>
      </c>
      <c r="D2472" s="7">
        <f t="shared" si="119"/>
        <v>8.867788929434417E-2</v>
      </c>
      <c r="E2472" s="7">
        <f t="shared" si="120"/>
        <v>-2.4227446958891354</v>
      </c>
    </row>
    <row r="2473" spans="1:5" x14ac:dyDescent="0.15">
      <c r="A2473" s="7">
        <v>2466</v>
      </c>
      <c r="B2473" s="7">
        <v>0</v>
      </c>
      <c r="C2473" s="7">
        <f t="shared" si="118"/>
        <v>0.75583605794746755</v>
      </c>
      <c r="D2473" s="7">
        <f t="shared" si="119"/>
        <v>0.75586047434167281</v>
      </c>
      <c r="E2473" s="7">
        <f t="shared" si="120"/>
        <v>-0.27989847758459119</v>
      </c>
    </row>
    <row r="2474" spans="1:5" x14ac:dyDescent="0.15">
      <c r="A2474" s="7">
        <v>2467</v>
      </c>
      <c r="B2474" s="7">
        <v>11</v>
      </c>
      <c r="C2474" s="7">
        <f t="shared" si="118"/>
        <v>3.1496470211733337E-3</v>
      </c>
      <c r="D2474" s="7">
        <f t="shared" si="119"/>
        <v>3.1493320564712165E-3</v>
      </c>
      <c r="E2474" s="7">
        <f t="shared" si="120"/>
        <v>-5.7605648941941281</v>
      </c>
    </row>
    <row r="2475" spans="1:5" x14ac:dyDescent="0.15">
      <c r="A2475" s="7">
        <v>2468</v>
      </c>
      <c r="B2475" s="7">
        <v>1</v>
      </c>
      <c r="C2475" s="7">
        <f t="shared" si="118"/>
        <v>8.8686757970141181E-2</v>
      </c>
      <c r="D2475" s="7">
        <f t="shared" si="119"/>
        <v>8.867788929434417E-2</v>
      </c>
      <c r="E2475" s="7">
        <f t="shared" si="120"/>
        <v>-2.4227446958891354</v>
      </c>
    </row>
    <row r="2476" spans="1:5" x14ac:dyDescent="0.15">
      <c r="A2476" s="7">
        <v>2469</v>
      </c>
      <c r="B2476" s="7">
        <v>0</v>
      </c>
      <c r="C2476" s="7">
        <f t="shared" si="118"/>
        <v>0.75583605794746755</v>
      </c>
      <c r="D2476" s="7">
        <f t="shared" si="119"/>
        <v>0.75586047434167281</v>
      </c>
      <c r="E2476" s="7">
        <f t="shared" si="120"/>
        <v>-0.27989847758459119</v>
      </c>
    </row>
    <row r="2477" spans="1:5" x14ac:dyDescent="0.15">
      <c r="A2477" s="7">
        <v>2470</v>
      </c>
      <c r="B2477" s="7">
        <v>2</v>
      </c>
      <c r="C2477" s="7">
        <f t="shared" si="118"/>
        <v>4.4066701399555049E-2</v>
      </c>
      <c r="D2477" s="7">
        <f t="shared" si="119"/>
        <v>4.4062294729415093E-2</v>
      </c>
      <c r="E2477" s="7">
        <f t="shared" si="120"/>
        <v>-3.1221508570437044</v>
      </c>
    </row>
    <row r="2478" spans="1:5" x14ac:dyDescent="0.15">
      <c r="A2478" s="7">
        <v>2471</v>
      </c>
      <c r="B2478" s="7">
        <v>0</v>
      </c>
      <c r="C2478" s="7">
        <f t="shared" si="118"/>
        <v>0.75583605794746755</v>
      </c>
      <c r="D2478" s="7">
        <f t="shared" si="119"/>
        <v>0.75586047434167281</v>
      </c>
      <c r="E2478" s="7">
        <f t="shared" si="120"/>
        <v>-0.27989847758459119</v>
      </c>
    </row>
    <row r="2479" spans="1:5" x14ac:dyDescent="0.15">
      <c r="A2479" s="7">
        <v>2472</v>
      </c>
      <c r="B2479" s="7">
        <v>0</v>
      </c>
      <c r="C2479" s="7">
        <f t="shared" si="118"/>
        <v>0.75583605794746755</v>
      </c>
      <c r="D2479" s="7">
        <f t="shared" si="119"/>
        <v>0.75586047434167281</v>
      </c>
      <c r="E2479" s="7">
        <f t="shared" si="120"/>
        <v>-0.27989847758459119</v>
      </c>
    </row>
    <row r="2480" spans="1:5" x14ac:dyDescent="0.15">
      <c r="A2480" s="7">
        <v>2473</v>
      </c>
      <c r="B2480" s="7">
        <v>1</v>
      </c>
      <c r="C2480" s="7">
        <f t="shared" si="118"/>
        <v>8.8686757970141181E-2</v>
      </c>
      <c r="D2480" s="7">
        <f t="shared" si="119"/>
        <v>8.867788929434417E-2</v>
      </c>
      <c r="E2480" s="7">
        <f t="shared" si="120"/>
        <v>-2.4227446958891354</v>
      </c>
    </row>
    <row r="2481" spans="1:5" x14ac:dyDescent="0.15">
      <c r="A2481" s="7">
        <v>2474</v>
      </c>
      <c r="B2481" s="7">
        <v>0</v>
      </c>
      <c r="C2481" s="7">
        <f t="shared" si="118"/>
        <v>0.75583605794746755</v>
      </c>
      <c r="D2481" s="7">
        <f t="shared" si="119"/>
        <v>0.75586047434167281</v>
      </c>
      <c r="E2481" s="7">
        <f t="shared" si="120"/>
        <v>-0.27989847758459119</v>
      </c>
    </row>
    <row r="2482" spans="1:5" x14ac:dyDescent="0.15">
      <c r="A2482" s="7">
        <v>2475</v>
      </c>
      <c r="B2482" s="7">
        <v>0</v>
      </c>
      <c r="C2482" s="7">
        <f t="shared" si="118"/>
        <v>0.75583605794746755</v>
      </c>
      <c r="D2482" s="7">
        <f t="shared" si="119"/>
        <v>0.75586047434167281</v>
      </c>
      <c r="E2482" s="7">
        <f t="shared" si="120"/>
        <v>-0.27989847758459119</v>
      </c>
    </row>
    <row r="2483" spans="1:5" x14ac:dyDescent="0.15">
      <c r="A2483" s="7">
        <v>2476</v>
      </c>
      <c r="B2483" s="7">
        <v>0</v>
      </c>
      <c r="C2483" s="7">
        <f t="shared" si="118"/>
        <v>0.75583605794746755</v>
      </c>
      <c r="D2483" s="7">
        <f t="shared" si="119"/>
        <v>0.75586047434167281</v>
      </c>
      <c r="E2483" s="7">
        <f t="shared" si="120"/>
        <v>-0.27989847758459119</v>
      </c>
    </row>
    <row r="2484" spans="1:5" x14ac:dyDescent="0.15">
      <c r="A2484" s="7">
        <v>2477</v>
      </c>
      <c r="B2484" s="7">
        <v>3</v>
      </c>
      <c r="C2484" s="7">
        <f t="shared" si="118"/>
        <v>2.7470963680778882E-2</v>
      </c>
      <c r="D2484" s="7">
        <f t="shared" si="119"/>
        <v>2.7468216584410805E-2</v>
      </c>
      <c r="E2484" s="7">
        <f t="shared" si="120"/>
        <v>-3.5947257032827968</v>
      </c>
    </row>
    <row r="2485" spans="1:5" x14ac:dyDescent="0.15">
      <c r="A2485" s="7">
        <v>2478</v>
      </c>
      <c r="B2485" s="7">
        <v>0</v>
      </c>
      <c r="C2485" s="7">
        <f t="shared" si="118"/>
        <v>0.75583605794746755</v>
      </c>
      <c r="D2485" s="7">
        <f t="shared" si="119"/>
        <v>0.75586047434167281</v>
      </c>
      <c r="E2485" s="7">
        <f t="shared" si="120"/>
        <v>-0.27989847758459119</v>
      </c>
    </row>
    <row r="2486" spans="1:5" x14ac:dyDescent="0.15">
      <c r="A2486" s="7">
        <v>2479</v>
      </c>
      <c r="B2486" s="7">
        <v>0</v>
      </c>
      <c r="C2486" s="7">
        <f t="shared" si="118"/>
        <v>0.75583605794746755</v>
      </c>
      <c r="D2486" s="7">
        <f t="shared" si="119"/>
        <v>0.75586047434167281</v>
      </c>
      <c r="E2486" s="7">
        <f t="shared" si="120"/>
        <v>-0.27989847758459119</v>
      </c>
    </row>
    <row r="2487" spans="1:5" x14ac:dyDescent="0.15">
      <c r="A2487" s="7">
        <v>2480</v>
      </c>
      <c r="B2487" s="7">
        <v>0</v>
      </c>
      <c r="C2487" s="7">
        <f t="shared" si="118"/>
        <v>0.75583605794746755</v>
      </c>
      <c r="D2487" s="7">
        <f t="shared" si="119"/>
        <v>0.75586047434167281</v>
      </c>
      <c r="E2487" s="7">
        <f t="shared" si="120"/>
        <v>-0.27989847758459119</v>
      </c>
    </row>
    <row r="2488" spans="1:5" x14ac:dyDescent="0.15">
      <c r="A2488" s="7">
        <v>2481</v>
      </c>
      <c r="B2488" s="7">
        <v>0</v>
      </c>
      <c r="C2488" s="7">
        <f t="shared" si="118"/>
        <v>0.75583605794746755</v>
      </c>
      <c r="D2488" s="7">
        <f t="shared" si="119"/>
        <v>0.75586047434167281</v>
      </c>
      <c r="E2488" s="7">
        <f t="shared" si="120"/>
        <v>-0.27989847758459119</v>
      </c>
    </row>
    <row r="2489" spans="1:5" x14ac:dyDescent="0.15">
      <c r="A2489" s="7">
        <v>2482</v>
      </c>
      <c r="B2489" s="7">
        <v>0</v>
      </c>
      <c r="C2489" s="7">
        <f t="shared" si="118"/>
        <v>0.75583605794746755</v>
      </c>
      <c r="D2489" s="7">
        <f t="shared" si="119"/>
        <v>0.75586047434167281</v>
      </c>
      <c r="E2489" s="7">
        <f t="shared" si="120"/>
        <v>-0.27989847758459119</v>
      </c>
    </row>
    <row r="2490" spans="1:5" x14ac:dyDescent="0.15">
      <c r="A2490" s="7">
        <v>2483</v>
      </c>
      <c r="B2490" s="7">
        <v>4</v>
      </c>
      <c r="C2490" s="7">
        <f t="shared" si="118"/>
        <v>1.8863004210024691E-2</v>
      </c>
      <c r="D2490" s="7">
        <f t="shared" si="119"/>
        <v>1.8861117909603688E-2</v>
      </c>
      <c r="E2490" s="7">
        <f t="shared" si="120"/>
        <v>-3.9706527294293466</v>
      </c>
    </row>
    <row r="2491" spans="1:5" x14ac:dyDescent="0.15">
      <c r="A2491" s="7">
        <v>2484</v>
      </c>
      <c r="B2491" s="7">
        <v>0</v>
      </c>
      <c r="C2491" s="7">
        <f t="shared" si="118"/>
        <v>0.75583605794746755</v>
      </c>
      <c r="D2491" s="7">
        <f t="shared" si="119"/>
        <v>0.75586047434167281</v>
      </c>
      <c r="E2491" s="7">
        <f t="shared" si="120"/>
        <v>-0.27989847758459119</v>
      </c>
    </row>
    <row r="2492" spans="1:5" x14ac:dyDescent="0.15">
      <c r="A2492" s="7">
        <v>2485</v>
      </c>
      <c r="B2492" s="7">
        <v>0</v>
      </c>
      <c r="C2492" s="7">
        <f t="shared" si="118"/>
        <v>0.75583605794746755</v>
      </c>
      <c r="D2492" s="7">
        <f t="shared" si="119"/>
        <v>0.75586047434167281</v>
      </c>
      <c r="E2492" s="7">
        <f t="shared" si="120"/>
        <v>-0.27989847758459119</v>
      </c>
    </row>
    <row r="2493" spans="1:5" x14ac:dyDescent="0.15">
      <c r="A2493" s="7">
        <v>2486</v>
      </c>
      <c r="B2493" s="7">
        <v>1</v>
      </c>
      <c r="C2493" s="7">
        <f t="shared" si="118"/>
        <v>8.8686757970141181E-2</v>
      </c>
      <c r="D2493" s="7">
        <f t="shared" si="119"/>
        <v>8.867788929434417E-2</v>
      </c>
      <c r="E2493" s="7">
        <f t="shared" si="120"/>
        <v>-2.4227446958891354</v>
      </c>
    </row>
    <row r="2494" spans="1:5" x14ac:dyDescent="0.15">
      <c r="A2494" s="7">
        <v>2487</v>
      </c>
      <c r="B2494" s="7">
        <v>2</v>
      </c>
      <c r="C2494" s="7">
        <f t="shared" si="118"/>
        <v>4.4066701399555049E-2</v>
      </c>
      <c r="D2494" s="7">
        <f t="shared" si="119"/>
        <v>4.4062294729415093E-2</v>
      </c>
      <c r="E2494" s="7">
        <f t="shared" si="120"/>
        <v>-3.1221508570437044</v>
      </c>
    </row>
    <row r="2495" spans="1:5" x14ac:dyDescent="0.15">
      <c r="A2495" s="7">
        <v>2488</v>
      </c>
      <c r="B2495" s="7">
        <v>1</v>
      </c>
      <c r="C2495" s="7">
        <f t="shared" si="118"/>
        <v>8.8686757970141181E-2</v>
      </c>
      <c r="D2495" s="7">
        <f t="shared" si="119"/>
        <v>8.867788929434417E-2</v>
      </c>
      <c r="E2495" s="7">
        <f t="shared" si="120"/>
        <v>-2.4227446958891354</v>
      </c>
    </row>
    <row r="2496" spans="1:5" x14ac:dyDescent="0.15">
      <c r="A2496" s="7">
        <v>2489</v>
      </c>
      <c r="B2496" s="7">
        <v>0</v>
      </c>
      <c r="C2496" s="7">
        <f t="shared" si="118"/>
        <v>0.75583605794746755</v>
      </c>
      <c r="D2496" s="7">
        <f t="shared" si="119"/>
        <v>0.75586047434167281</v>
      </c>
      <c r="E2496" s="7">
        <f t="shared" si="120"/>
        <v>-0.27989847758459119</v>
      </c>
    </row>
    <row r="2497" spans="1:5" x14ac:dyDescent="0.15">
      <c r="A2497" s="7">
        <v>2490</v>
      </c>
      <c r="B2497" s="7">
        <v>0</v>
      </c>
      <c r="C2497" s="7">
        <f t="shared" si="118"/>
        <v>0.75583605794746755</v>
      </c>
      <c r="D2497" s="7">
        <f t="shared" si="119"/>
        <v>0.75586047434167281</v>
      </c>
      <c r="E2497" s="7">
        <f t="shared" si="120"/>
        <v>-0.27989847758459119</v>
      </c>
    </row>
    <row r="2498" spans="1:5" x14ac:dyDescent="0.15">
      <c r="A2498" s="7">
        <v>2491</v>
      </c>
      <c r="B2498" s="7">
        <v>0</v>
      </c>
      <c r="C2498" s="7">
        <f t="shared" si="118"/>
        <v>0.75583605794746755</v>
      </c>
      <c r="D2498" s="7">
        <f t="shared" si="119"/>
        <v>0.75586047434167281</v>
      </c>
      <c r="E2498" s="7">
        <f t="shared" si="120"/>
        <v>-0.27989847758459119</v>
      </c>
    </row>
    <row r="2499" spans="1:5" x14ac:dyDescent="0.15">
      <c r="A2499" s="7">
        <v>2492</v>
      </c>
      <c r="B2499" s="7">
        <v>0</v>
      </c>
      <c r="C2499" s="7">
        <f t="shared" si="118"/>
        <v>0.75583605794746755</v>
      </c>
      <c r="D2499" s="7">
        <f t="shared" si="119"/>
        <v>0.75586047434167281</v>
      </c>
      <c r="E2499" s="7">
        <f t="shared" si="120"/>
        <v>-0.27989847758459119</v>
      </c>
    </row>
    <row r="2500" spans="1:5" x14ac:dyDescent="0.15">
      <c r="A2500" s="7">
        <v>2493</v>
      </c>
      <c r="B2500" s="7">
        <v>0</v>
      </c>
      <c r="C2500" s="7">
        <f t="shared" si="118"/>
        <v>0.75583605794746755</v>
      </c>
      <c r="D2500" s="7">
        <f t="shared" si="119"/>
        <v>0.75586047434167281</v>
      </c>
      <c r="E2500" s="7">
        <f t="shared" si="120"/>
        <v>-0.27989847758459119</v>
      </c>
    </row>
    <row r="2501" spans="1:5" x14ac:dyDescent="0.15">
      <c r="A2501" s="7">
        <v>2494</v>
      </c>
      <c r="B2501" s="7">
        <v>5</v>
      </c>
      <c r="C2501" s="7">
        <f t="shared" si="118"/>
        <v>1.366826244062944E-2</v>
      </c>
      <c r="D2501" s="7">
        <f t="shared" si="119"/>
        <v>1.3666895614385376E-2</v>
      </c>
      <c r="E2501" s="7">
        <f t="shared" si="120"/>
        <v>-4.2927787488141558</v>
      </c>
    </row>
    <row r="2502" spans="1:5" x14ac:dyDescent="0.15">
      <c r="A2502" s="7">
        <v>2495</v>
      </c>
      <c r="B2502" s="7">
        <v>1</v>
      </c>
      <c r="C2502" s="7">
        <f t="shared" si="118"/>
        <v>8.8686757970141181E-2</v>
      </c>
      <c r="D2502" s="7">
        <f t="shared" si="119"/>
        <v>8.867788929434417E-2</v>
      </c>
      <c r="E2502" s="7">
        <f t="shared" si="120"/>
        <v>-2.4227446958891354</v>
      </c>
    </row>
    <row r="2503" spans="1:5" x14ac:dyDescent="0.15">
      <c r="A2503" s="7">
        <v>2496</v>
      </c>
      <c r="B2503" s="7">
        <v>5</v>
      </c>
      <c r="C2503" s="7">
        <f t="shared" si="118"/>
        <v>1.366826244062944E-2</v>
      </c>
      <c r="D2503" s="7">
        <f t="shared" si="119"/>
        <v>1.3666895614385376E-2</v>
      </c>
      <c r="E2503" s="7">
        <f t="shared" si="120"/>
        <v>-4.2927787488141558</v>
      </c>
    </row>
    <row r="2504" spans="1:5" x14ac:dyDescent="0.15">
      <c r="A2504" s="7">
        <v>2497</v>
      </c>
      <c r="B2504" s="7">
        <v>0</v>
      </c>
      <c r="C2504" s="7">
        <f t="shared" si="118"/>
        <v>0.75583605794746755</v>
      </c>
      <c r="D2504" s="7">
        <f t="shared" si="119"/>
        <v>0.75586047434167281</v>
      </c>
      <c r="E2504" s="7">
        <f t="shared" si="120"/>
        <v>-0.27989847758459119</v>
      </c>
    </row>
    <row r="2505" spans="1:5" x14ac:dyDescent="0.15">
      <c r="A2505" s="7">
        <v>2498</v>
      </c>
      <c r="B2505" s="7">
        <v>0</v>
      </c>
      <c r="C2505" s="7">
        <f t="shared" ref="C2505:C2568" si="121">(_xlfn.GAMMA($B$1+B2505)/(_xlfn.GAMMA($B$1)*FACT(B2505))) * ($B$2/($B$2+$B$5))^$B$1 * (1/($B$2 +$B$5))^B2505</f>
        <v>0.75583605794746755</v>
      </c>
      <c r="D2505" s="7">
        <f t="shared" ref="D2505:D2568" si="122" xml:space="preserve"> IF(B2505 = 0, $B$3 + (1-$B$3) * C2505, (1-$B$3) *C2505)</f>
        <v>0.75586047434167281</v>
      </c>
      <c r="E2505" s="7">
        <f t="shared" ref="E2505:E2568" si="123">LN(D2505)</f>
        <v>-0.27989847758459119</v>
      </c>
    </row>
    <row r="2506" spans="1:5" x14ac:dyDescent="0.15">
      <c r="A2506" s="7">
        <v>2499</v>
      </c>
      <c r="B2506" s="7">
        <v>2</v>
      </c>
      <c r="C2506" s="7">
        <f t="shared" si="121"/>
        <v>4.4066701399555049E-2</v>
      </c>
      <c r="D2506" s="7">
        <f t="shared" si="122"/>
        <v>4.4062294729415093E-2</v>
      </c>
      <c r="E2506" s="7">
        <f t="shared" si="123"/>
        <v>-3.1221508570437044</v>
      </c>
    </row>
    <row r="2507" spans="1:5" x14ac:dyDescent="0.15">
      <c r="A2507" s="7">
        <v>2500</v>
      </c>
      <c r="B2507" s="7">
        <v>0</v>
      </c>
      <c r="C2507" s="7">
        <f t="shared" si="121"/>
        <v>0.75583605794746755</v>
      </c>
      <c r="D2507" s="7">
        <f t="shared" si="122"/>
        <v>0.75586047434167281</v>
      </c>
      <c r="E2507" s="7">
        <f t="shared" si="123"/>
        <v>-0.27989847758459119</v>
      </c>
    </row>
    <row r="2508" spans="1:5" x14ac:dyDescent="0.15">
      <c r="A2508" s="7">
        <v>2501</v>
      </c>
      <c r="B2508" s="7">
        <v>0</v>
      </c>
      <c r="C2508" s="7">
        <f t="shared" si="121"/>
        <v>0.75583605794746755</v>
      </c>
      <c r="D2508" s="7">
        <f t="shared" si="122"/>
        <v>0.75586047434167281</v>
      </c>
      <c r="E2508" s="7">
        <f t="shared" si="123"/>
        <v>-0.27989847758459119</v>
      </c>
    </row>
    <row r="2509" spans="1:5" x14ac:dyDescent="0.15">
      <c r="A2509" s="7">
        <v>2502</v>
      </c>
      <c r="B2509" s="7">
        <v>0</v>
      </c>
      <c r="C2509" s="7">
        <f t="shared" si="121"/>
        <v>0.75583605794746755</v>
      </c>
      <c r="D2509" s="7">
        <f t="shared" si="122"/>
        <v>0.75586047434167281</v>
      </c>
      <c r="E2509" s="7">
        <f t="shared" si="123"/>
        <v>-0.27989847758459119</v>
      </c>
    </row>
    <row r="2510" spans="1:5" x14ac:dyDescent="0.15">
      <c r="A2510" s="7">
        <v>2503</v>
      </c>
      <c r="B2510" s="7">
        <v>0</v>
      </c>
      <c r="C2510" s="7">
        <f t="shared" si="121"/>
        <v>0.75583605794746755</v>
      </c>
      <c r="D2510" s="7">
        <f t="shared" si="122"/>
        <v>0.75586047434167281</v>
      </c>
      <c r="E2510" s="7">
        <f t="shared" si="123"/>
        <v>-0.27989847758459119</v>
      </c>
    </row>
    <row r="2511" spans="1:5" x14ac:dyDescent="0.15">
      <c r="A2511" s="7">
        <v>2504</v>
      </c>
      <c r="B2511" s="7">
        <v>0</v>
      </c>
      <c r="C2511" s="7">
        <f t="shared" si="121"/>
        <v>0.75583605794746755</v>
      </c>
      <c r="D2511" s="7">
        <f t="shared" si="122"/>
        <v>0.75586047434167281</v>
      </c>
      <c r="E2511" s="7">
        <f t="shared" si="123"/>
        <v>-0.27989847758459119</v>
      </c>
    </row>
    <row r="2512" spans="1:5" x14ac:dyDescent="0.15">
      <c r="A2512" s="7">
        <v>2505</v>
      </c>
      <c r="B2512" s="7">
        <v>0</v>
      </c>
      <c r="C2512" s="7">
        <f t="shared" si="121"/>
        <v>0.75583605794746755</v>
      </c>
      <c r="D2512" s="7">
        <f t="shared" si="122"/>
        <v>0.75586047434167281</v>
      </c>
      <c r="E2512" s="7">
        <f t="shared" si="123"/>
        <v>-0.27989847758459119</v>
      </c>
    </row>
    <row r="2513" spans="1:5" x14ac:dyDescent="0.15">
      <c r="A2513" s="7">
        <v>2506</v>
      </c>
      <c r="B2513" s="7">
        <v>0</v>
      </c>
      <c r="C2513" s="7">
        <f t="shared" si="121"/>
        <v>0.75583605794746755</v>
      </c>
      <c r="D2513" s="7">
        <f t="shared" si="122"/>
        <v>0.75586047434167281</v>
      </c>
      <c r="E2513" s="7">
        <f t="shared" si="123"/>
        <v>-0.27989847758459119</v>
      </c>
    </row>
    <row r="2514" spans="1:5" x14ac:dyDescent="0.15">
      <c r="A2514" s="7">
        <v>2507</v>
      </c>
      <c r="B2514" s="7">
        <v>0</v>
      </c>
      <c r="C2514" s="7">
        <f t="shared" si="121"/>
        <v>0.75583605794746755</v>
      </c>
      <c r="D2514" s="7">
        <f t="shared" si="122"/>
        <v>0.75586047434167281</v>
      </c>
      <c r="E2514" s="7">
        <f t="shared" si="123"/>
        <v>-0.27989847758459119</v>
      </c>
    </row>
    <row r="2515" spans="1:5" x14ac:dyDescent="0.15">
      <c r="A2515" s="7">
        <v>2508</v>
      </c>
      <c r="B2515" s="7">
        <v>0</v>
      </c>
      <c r="C2515" s="7">
        <f t="shared" si="121"/>
        <v>0.75583605794746755</v>
      </c>
      <c r="D2515" s="7">
        <f t="shared" si="122"/>
        <v>0.75586047434167281</v>
      </c>
      <c r="E2515" s="7">
        <f t="shared" si="123"/>
        <v>-0.27989847758459119</v>
      </c>
    </row>
    <row r="2516" spans="1:5" x14ac:dyDescent="0.15">
      <c r="A2516" s="7">
        <v>2509</v>
      </c>
      <c r="B2516" s="7">
        <v>1</v>
      </c>
      <c r="C2516" s="7">
        <f t="shared" si="121"/>
        <v>8.8686757970141181E-2</v>
      </c>
      <c r="D2516" s="7">
        <f t="shared" si="122"/>
        <v>8.867788929434417E-2</v>
      </c>
      <c r="E2516" s="7">
        <f t="shared" si="123"/>
        <v>-2.4227446958891354</v>
      </c>
    </row>
    <row r="2517" spans="1:5" x14ac:dyDescent="0.15">
      <c r="A2517" s="7">
        <v>2510</v>
      </c>
      <c r="B2517" s="7">
        <v>0</v>
      </c>
      <c r="C2517" s="7">
        <f t="shared" si="121"/>
        <v>0.75583605794746755</v>
      </c>
      <c r="D2517" s="7">
        <f t="shared" si="122"/>
        <v>0.75586047434167281</v>
      </c>
      <c r="E2517" s="7">
        <f t="shared" si="123"/>
        <v>-0.27989847758459119</v>
      </c>
    </row>
    <row r="2518" spans="1:5" x14ac:dyDescent="0.15">
      <c r="A2518" s="7">
        <v>2511</v>
      </c>
      <c r="B2518" s="7">
        <v>0</v>
      </c>
      <c r="C2518" s="7">
        <f t="shared" si="121"/>
        <v>0.75583605794746755</v>
      </c>
      <c r="D2518" s="7">
        <f t="shared" si="122"/>
        <v>0.75586047434167281</v>
      </c>
      <c r="E2518" s="7">
        <f t="shared" si="123"/>
        <v>-0.27989847758459119</v>
      </c>
    </row>
    <row r="2519" spans="1:5" x14ac:dyDescent="0.15">
      <c r="A2519" s="7">
        <v>2512</v>
      </c>
      <c r="B2519" s="7">
        <v>0</v>
      </c>
      <c r="C2519" s="7">
        <f t="shared" si="121"/>
        <v>0.75583605794746755</v>
      </c>
      <c r="D2519" s="7">
        <f t="shared" si="122"/>
        <v>0.75586047434167281</v>
      </c>
      <c r="E2519" s="7">
        <f t="shared" si="123"/>
        <v>-0.27989847758459119</v>
      </c>
    </row>
    <row r="2520" spans="1:5" x14ac:dyDescent="0.15">
      <c r="A2520" s="7">
        <v>2513</v>
      </c>
      <c r="B2520" s="7">
        <v>1</v>
      </c>
      <c r="C2520" s="7">
        <f t="shared" si="121"/>
        <v>8.8686757970141181E-2</v>
      </c>
      <c r="D2520" s="7">
        <f t="shared" si="122"/>
        <v>8.867788929434417E-2</v>
      </c>
      <c r="E2520" s="7">
        <f t="shared" si="123"/>
        <v>-2.4227446958891354</v>
      </c>
    </row>
    <row r="2521" spans="1:5" x14ac:dyDescent="0.15">
      <c r="A2521" s="7">
        <v>2514</v>
      </c>
      <c r="B2521" s="7">
        <v>0</v>
      </c>
      <c r="C2521" s="7">
        <f t="shared" si="121"/>
        <v>0.75583605794746755</v>
      </c>
      <c r="D2521" s="7">
        <f t="shared" si="122"/>
        <v>0.75586047434167281</v>
      </c>
      <c r="E2521" s="7">
        <f t="shared" si="123"/>
        <v>-0.27989847758459119</v>
      </c>
    </row>
    <row r="2522" spans="1:5" x14ac:dyDescent="0.15">
      <c r="A2522" s="7">
        <v>2515</v>
      </c>
      <c r="B2522" s="7">
        <v>1</v>
      </c>
      <c r="C2522" s="7">
        <f t="shared" si="121"/>
        <v>8.8686757970141181E-2</v>
      </c>
      <c r="D2522" s="7">
        <f t="shared" si="122"/>
        <v>8.867788929434417E-2</v>
      </c>
      <c r="E2522" s="7">
        <f t="shared" si="123"/>
        <v>-2.4227446958891354</v>
      </c>
    </row>
    <row r="2523" spans="1:5" x14ac:dyDescent="0.15">
      <c r="A2523" s="7">
        <v>2516</v>
      </c>
      <c r="B2523" s="7">
        <v>1</v>
      </c>
      <c r="C2523" s="7">
        <f t="shared" si="121"/>
        <v>8.8686757970141181E-2</v>
      </c>
      <c r="D2523" s="7">
        <f t="shared" si="122"/>
        <v>8.867788929434417E-2</v>
      </c>
      <c r="E2523" s="7">
        <f t="shared" si="123"/>
        <v>-2.4227446958891354</v>
      </c>
    </row>
    <row r="2524" spans="1:5" x14ac:dyDescent="0.15">
      <c r="A2524" s="7">
        <v>2517</v>
      </c>
      <c r="B2524" s="7">
        <v>1</v>
      </c>
      <c r="C2524" s="7">
        <f t="shared" si="121"/>
        <v>8.8686757970141181E-2</v>
      </c>
      <c r="D2524" s="7">
        <f t="shared" si="122"/>
        <v>8.867788929434417E-2</v>
      </c>
      <c r="E2524" s="7">
        <f t="shared" si="123"/>
        <v>-2.4227446958891354</v>
      </c>
    </row>
    <row r="2525" spans="1:5" x14ac:dyDescent="0.15">
      <c r="A2525" s="7">
        <v>2518</v>
      </c>
      <c r="B2525" s="7">
        <v>2</v>
      </c>
      <c r="C2525" s="7">
        <f t="shared" si="121"/>
        <v>4.4066701399555049E-2</v>
      </c>
      <c r="D2525" s="7">
        <f t="shared" si="122"/>
        <v>4.4062294729415093E-2</v>
      </c>
      <c r="E2525" s="7">
        <f t="shared" si="123"/>
        <v>-3.1221508570437044</v>
      </c>
    </row>
    <row r="2526" spans="1:5" x14ac:dyDescent="0.15">
      <c r="A2526" s="7">
        <v>2519</v>
      </c>
      <c r="B2526" s="7">
        <v>0</v>
      </c>
      <c r="C2526" s="7">
        <f t="shared" si="121"/>
        <v>0.75583605794746755</v>
      </c>
      <c r="D2526" s="7">
        <f t="shared" si="122"/>
        <v>0.75586047434167281</v>
      </c>
      <c r="E2526" s="7">
        <f t="shared" si="123"/>
        <v>-0.27989847758459119</v>
      </c>
    </row>
    <row r="2527" spans="1:5" x14ac:dyDescent="0.15">
      <c r="A2527" s="7">
        <v>2520</v>
      </c>
      <c r="B2527" s="7">
        <v>0</v>
      </c>
      <c r="C2527" s="7">
        <f t="shared" si="121"/>
        <v>0.75583605794746755</v>
      </c>
      <c r="D2527" s="7">
        <f t="shared" si="122"/>
        <v>0.75586047434167281</v>
      </c>
      <c r="E2527" s="7">
        <f t="shared" si="123"/>
        <v>-0.27989847758459119</v>
      </c>
    </row>
    <row r="2528" spans="1:5" x14ac:dyDescent="0.15">
      <c r="A2528" s="7">
        <v>2521</v>
      </c>
      <c r="B2528" s="7">
        <v>0</v>
      </c>
      <c r="C2528" s="7">
        <f t="shared" si="121"/>
        <v>0.75583605794746755</v>
      </c>
      <c r="D2528" s="7">
        <f t="shared" si="122"/>
        <v>0.75586047434167281</v>
      </c>
      <c r="E2528" s="7">
        <f t="shared" si="123"/>
        <v>-0.27989847758459119</v>
      </c>
    </row>
    <row r="2529" spans="1:5" x14ac:dyDescent="0.15">
      <c r="A2529" s="7">
        <v>2522</v>
      </c>
      <c r="B2529" s="7">
        <v>0</v>
      </c>
      <c r="C2529" s="7">
        <f t="shared" si="121"/>
        <v>0.75583605794746755</v>
      </c>
      <c r="D2529" s="7">
        <f t="shared" si="122"/>
        <v>0.75586047434167281</v>
      </c>
      <c r="E2529" s="7">
        <f t="shared" si="123"/>
        <v>-0.27989847758459119</v>
      </c>
    </row>
    <row r="2530" spans="1:5" x14ac:dyDescent="0.15">
      <c r="A2530" s="7">
        <v>2523</v>
      </c>
      <c r="B2530" s="7">
        <v>0</v>
      </c>
      <c r="C2530" s="7">
        <f t="shared" si="121"/>
        <v>0.75583605794746755</v>
      </c>
      <c r="D2530" s="7">
        <f t="shared" si="122"/>
        <v>0.75586047434167281</v>
      </c>
      <c r="E2530" s="7">
        <f t="shared" si="123"/>
        <v>-0.27989847758459119</v>
      </c>
    </row>
    <row r="2531" spans="1:5" x14ac:dyDescent="0.15">
      <c r="A2531" s="7">
        <v>2524</v>
      </c>
      <c r="B2531" s="7">
        <v>0</v>
      </c>
      <c r="C2531" s="7">
        <f t="shared" si="121"/>
        <v>0.75583605794746755</v>
      </c>
      <c r="D2531" s="7">
        <f t="shared" si="122"/>
        <v>0.75586047434167281</v>
      </c>
      <c r="E2531" s="7">
        <f t="shared" si="123"/>
        <v>-0.27989847758459119</v>
      </c>
    </row>
    <row r="2532" spans="1:5" x14ac:dyDescent="0.15">
      <c r="A2532" s="7">
        <v>2525</v>
      </c>
      <c r="B2532" s="7">
        <v>0</v>
      </c>
      <c r="C2532" s="7">
        <f t="shared" si="121"/>
        <v>0.75583605794746755</v>
      </c>
      <c r="D2532" s="7">
        <f t="shared" si="122"/>
        <v>0.75586047434167281</v>
      </c>
      <c r="E2532" s="7">
        <f t="shared" si="123"/>
        <v>-0.27989847758459119</v>
      </c>
    </row>
    <row r="2533" spans="1:5" x14ac:dyDescent="0.15">
      <c r="A2533" s="7">
        <v>2526</v>
      </c>
      <c r="B2533" s="7">
        <v>0</v>
      </c>
      <c r="C2533" s="7">
        <f t="shared" si="121"/>
        <v>0.75583605794746755</v>
      </c>
      <c r="D2533" s="7">
        <f t="shared" si="122"/>
        <v>0.75586047434167281</v>
      </c>
      <c r="E2533" s="7">
        <f t="shared" si="123"/>
        <v>-0.27989847758459119</v>
      </c>
    </row>
    <row r="2534" spans="1:5" x14ac:dyDescent="0.15">
      <c r="A2534" s="7">
        <v>2527</v>
      </c>
      <c r="B2534" s="7">
        <v>0</v>
      </c>
      <c r="C2534" s="7">
        <f t="shared" si="121"/>
        <v>0.75583605794746755</v>
      </c>
      <c r="D2534" s="7">
        <f t="shared" si="122"/>
        <v>0.75586047434167281</v>
      </c>
      <c r="E2534" s="7">
        <f t="shared" si="123"/>
        <v>-0.27989847758459119</v>
      </c>
    </row>
    <row r="2535" spans="1:5" x14ac:dyDescent="0.15">
      <c r="A2535" s="7">
        <v>2528</v>
      </c>
      <c r="B2535" s="7">
        <v>0</v>
      </c>
      <c r="C2535" s="7">
        <f t="shared" si="121"/>
        <v>0.75583605794746755</v>
      </c>
      <c r="D2535" s="7">
        <f t="shared" si="122"/>
        <v>0.75586047434167281</v>
      </c>
      <c r="E2535" s="7">
        <f t="shared" si="123"/>
        <v>-0.27989847758459119</v>
      </c>
    </row>
    <row r="2536" spans="1:5" x14ac:dyDescent="0.15">
      <c r="A2536" s="7">
        <v>2529</v>
      </c>
      <c r="B2536" s="7">
        <v>0</v>
      </c>
      <c r="C2536" s="7">
        <f t="shared" si="121"/>
        <v>0.75583605794746755</v>
      </c>
      <c r="D2536" s="7">
        <f t="shared" si="122"/>
        <v>0.75586047434167281</v>
      </c>
      <c r="E2536" s="7">
        <f t="shared" si="123"/>
        <v>-0.27989847758459119</v>
      </c>
    </row>
    <row r="2537" spans="1:5" x14ac:dyDescent="0.15">
      <c r="A2537" s="7">
        <v>2530</v>
      </c>
      <c r="B2537" s="7">
        <v>0</v>
      </c>
      <c r="C2537" s="7">
        <f t="shared" si="121"/>
        <v>0.75583605794746755</v>
      </c>
      <c r="D2537" s="7">
        <f t="shared" si="122"/>
        <v>0.75586047434167281</v>
      </c>
      <c r="E2537" s="7">
        <f t="shared" si="123"/>
        <v>-0.27989847758459119</v>
      </c>
    </row>
    <row r="2538" spans="1:5" x14ac:dyDescent="0.15">
      <c r="A2538" s="7">
        <v>2531</v>
      </c>
      <c r="B2538" s="7">
        <v>0</v>
      </c>
      <c r="C2538" s="7">
        <f t="shared" si="121"/>
        <v>0.75583605794746755</v>
      </c>
      <c r="D2538" s="7">
        <f t="shared" si="122"/>
        <v>0.75586047434167281</v>
      </c>
      <c r="E2538" s="7">
        <f t="shared" si="123"/>
        <v>-0.27989847758459119</v>
      </c>
    </row>
    <row r="2539" spans="1:5" x14ac:dyDescent="0.15">
      <c r="A2539" s="7">
        <v>2532</v>
      </c>
      <c r="B2539" s="7">
        <v>0</v>
      </c>
      <c r="C2539" s="7">
        <f t="shared" si="121"/>
        <v>0.75583605794746755</v>
      </c>
      <c r="D2539" s="7">
        <f t="shared" si="122"/>
        <v>0.75586047434167281</v>
      </c>
      <c r="E2539" s="7">
        <f t="shared" si="123"/>
        <v>-0.27989847758459119</v>
      </c>
    </row>
    <row r="2540" spans="1:5" x14ac:dyDescent="0.15">
      <c r="A2540" s="7">
        <v>2533</v>
      </c>
      <c r="B2540" s="7">
        <v>1</v>
      </c>
      <c r="C2540" s="7">
        <f t="shared" si="121"/>
        <v>8.8686757970141181E-2</v>
      </c>
      <c r="D2540" s="7">
        <f t="shared" si="122"/>
        <v>8.867788929434417E-2</v>
      </c>
      <c r="E2540" s="7">
        <f t="shared" si="123"/>
        <v>-2.4227446958891354</v>
      </c>
    </row>
    <row r="2541" spans="1:5" x14ac:dyDescent="0.15">
      <c r="A2541" s="7">
        <v>2534</v>
      </c>
      <c r="B2541" s="7">
        <v>2</v>
      </c>
      <c r="C2541" s="7">
        <f t="shared" si="121"/>
        <v>4.4066701399555049E-2</v>
      </c>
      <c r="D2541" s="7">
        <f t="shared" si="122"/>
        <v>4.4062294729415093E-2</v>
      </c>
      <c r="E2541" s="7">
        <f t="shared" si="123"/>
        <v>-3.1221508570437044</v>
      </c>
    </row>
    <row r="2542" spans="1:5" x14ac:dyDescent="0.15">
      <c r="A2542" s="7">
        <v>2535</v>
      </c>
      <c r="B2542" s="7">
        <v>7</v>
      </c>
      <c r="C2542" s="7">
        <f t="shared" si="121"/>
        <v>7.8718020395525893E-3</v>
      </c>
      <c r="D2542" s="7">
        <f t="shared" si="122"/>
        <v>7.8710148593486347E-3</v>
      </c>
      <c r="E2542" s="7">
        <f t="shared" si="123"/>
        <v>-4.8445682719632792</v>
      </c>
    </row>
    <row r="2543" spans="1:5" x14ac:dyDescent="0.15">
      <c r="A2543" s="7">
        <v>2536</v>
      </c>
      <c r="B2543" s="7">
        <v>0</v>
      </c>
      <c r="C2543" s="7">
        <f t="shared" si="121"/>
        <v>0.75583605794746755</v>
      </c>
      <c r="D2543" s="7">
        <f t="shared" si="122"/>
        <v>0.75586047434167281</v>
      </c>
      <c r="E2543" s="7">
        <f t="shared" si="123"/>
        <v>-0.27989847758459119</v>
      </c>
    </row>
    <row r="2544" spans="1:5" x14ac:dyDescent="0.15">
      <c r="A2544" s="7">
        <v>2537</v>
      </c>
      <c r="B2544" s="7">
        <v>0</v>
      </c>
      <c r="C2544" s="7">
        <f t="shared" si="121"/>
        <v>0.75583605794746755</v>
      </c>
      <c r="D2544" s="7">
        <f t="shared" si="122"/>
        <v>0.75586047434167281</v>
      </c>
      <c r="E2544" s="7">
        <f t="shared" si="123"/>
        <v>-0.27989847758459119</v>
      </c>
    </row>
    <row r="2545" spans="1:5" x14ac:dyDescent="0.15">
      <c r="A2545" s="7">
        <v>2538</v>
      </c>
      <c r="B2545" s="7">
        <v>0</v>
      </c>
      <c r="C2545" s="7">
        <f t="shared" si="121"/>
        <v>0.75583605794746755</v>
      </c>
      <c r="D2545" s="7">
        <f t="shared" si="122"/>
        <v>0.75586047434167281</v>
      </c>
      <c r="E2545" s="7">
        <f t="shared" si="123"/>
        <v>-0.27989847758459119</v>
      </c>
    </row>
    <row r="2546" spans="1:5" x14ac:dyDescent="0.15">
      <c r="A2546" s="7">
        <v>2539</v>
      </c>
      <c r="B2546" s="7">
        <v>1</v>
      </c>
      <c r="C2546" s="7">
        <f t="shared" si="121"/>
        <v>8.8686757970141181E-2</v>
      </c>
      <c r="D2546" s="7">
        <f t="shared" si="122"/>
        <v>8.867788929434417E-2</v>
      </c>
      <c r="E2546" s="7">
        <f t="shared" si="123"/>
        <v>-2.4227446958891354</v>
      </c>
    </row>
    <row r="2547" spans="1:5" x14ac:dyDescent="0.15">
      <c r="A2547" s="7">
        <v>2540</v>
      </c>
      <c r="B2547" s="7">
        <v>0</v>
      </c>
      <c r="C2547" s="7">
        <f t="shared" si="121"/>
        <v>0.75583605794746755</v>
      </c>
      <c r="D2547" s="7">
        <f t="shared" si="122"/>
        <v>0.75586047434167281</v>
      </c>
      <c r="E2547" s="7">
        <f t="shared" si="123"/>
        <v>-0.27989847758459119</v>
      </c>
    </row>
    <row r="2548" spans="1:5" x14ac:dyDescent="0.15">
      <c r="A2548" s="7">
        <v>2541</v>
      </c>
      <c r="B2548" s="7">
        <v>0</v>
      </c>
      <c r="C2548" s="7">
        <f t="shared" si="121"/>
        <v>0.75583605794746755</v>
      </c>
      <c r="D2548" s="7">
        <f t="shared" si="122"/>
        <v>0.75586047434167281</v>
      </c>
      <c r="E2548" s="7">
        <f t="shared" si="123"/>
        <v>-0.27989847758459119</v>
      </c>
    </row>
    <row r="2549" spans="1:5" x14ac:dyDescent="0.15">
      <c r="A2549" s="7">
        <v>2542</v>
      </c>
      <c r="B2549" s="7">
        <v>1</v>
      </c>
      <c r="C2549" s="7">
        <f t="shared" si="121"/>
        <v>8.8686757970141181E-2</v>
      </c>
      <c r="D2549" s="7">
        <f t="shared" si="122"/>
        <v>8.867788929434417E-2</v>
      </c>
      <c r="E2549" s="7">
        <f t="shared" si="123"/>
        <v>-2.4227446958891354</v>
      </c>
    </row>
    <row r="2550" spans="1:5" x14ac:dyDescent="0.15">
      <c r="A2550" s="7">
        <v>2543</v>
      </c>
      <c r="B2550" s="7">
        <v>0</v>
      </c>
      <c r="C2550" s="7">
        <f t="shared" si="121"/>
        <v>0.75583605794746755</v>
      </c>
      <c r="D2550" s="7">
        <f t="shared" si="122"/>
        <v>0.75586047434167281</v>
      </c>
      <c r="E2550" s="7">
        <f t="shared" si="123"/>
        <v>-0.27989847758459119</v>
      </c>
    </row>
    <row r="2551" spans="1:5" x14ac:dyDescent="0.15">
      <c r="A2551" s="7">
        <v>2544</v>
      </c>
      <c r="B2551" s="7">
        <v>0</v>
      </c>
      <c r="C2551" s="7">
        <f t="shared" si="121"/>
        <v>0.75583605794746755</v>
      </c>
      <c r="D2551" s="7">
        <f t="shared" si="122"/>
        <v>0.75586047434167281</v>
      </c>
      <c r="E2551" s="7">
        <f t="shared" si="123"/>
        <v>-0.27989847758459119</v>
      </c>
    </row>
    <row r="2552" spans="1:5" x14ac:dyDescent="0.15">
      <c r="A2552" s="7">
        <v>2545</v>
      </c>
      <c r="B2552" s="7">
        <v>0</v>
      </c>
      <c r="C2552" s="7">
        <f t="shared" si="121"/>
        <v>0.75583605794746755</v>
      </c>
      <c r="D2552" s="7">
        <f t="shared" si="122"/>
        <v>0.75586047434167281</v>
      </c>
      <c r="E2552" s="7">
        <f t="shared" si="123"/>
        <v>-0.27989847758459119</v>
      </c>
    </row>
    <row r="2553" spans="1:5" x14ac:dyDescent="0.15">
      <c r="A2553" s="7">
        <v>2546</v>
      </c>
      <c r="B2553" s="7">
        <v>0</v>
      </c>
      <c r="C2553" s="7">
        <f t="shared" si="121"/>
        <v>0.75583605794746755</v>
      </c>
      <c r="D2553" s="7">
        <f t="shared" si="122"/>
        <v>0.75586047434167281</v>
      </c>
      <c r="E2553" s="7">
        <f t="shared" si="123"/>
        <v>-0.27989847758459119</v>
      </c>
    </row>
    <row r="2554" spans="1:5" x14ac:dyDescent="0.15">
      <c r="A2554" s="7">
        <v>2547</v>
      </c>
      <c r="B2554" s="7">
        <v>3</v>
      </c>
      <c r="C2554" s="7">
        <f t="shared" si="121"/>
        <v>2.7470963680778882E-2</v>
      </c>
      <c r="D2554" s="7">
        <f t="shared" si="122"/>
        <v>2.7468216584410805E-2</v>
      </c>
      <c r="E2554" s="7">
        <f t="shared" si="123"/>
        <v>-3.5947257032827968</v>
      </c>
    </row>
    <row r="2555" spans="1:5" x14ac:dyDescent="0.15">
      <c r="A2555" s="7">
        <v>2548</v>
      </c>
      <c r="B2555" s="7">
        <v>1</v>
      </c>
      <c r="C2555" s="7">
        <f t="shared" si="121"/>
        <v>8.8686757970141181E-2</v>
      </c>
      <c r="D2555" s="7">
        <f t="shared" si="122"/>
        <v>8.867788929434417E-2</v>
      </c>
      <c r="E2555" s="7">
        <f t="shared" si="123"/>
        <v>-2.4227446958891354</v>
      </c>
    </row>
    <row r="2556" spans="1:5" x14ac:dyDescent="0.15">
      <c r="A2556" s="7">
        <v>2549</v>
      </c>
      <c r="B2556" s="7">
        <v>12</v>
      </c>
      <c r="C2556" s="7">
        <f t="shared" si="121"/>
        <v>2.5611896790335791E-3</v>
      </c>
      <c r="D2556" s="7">
        <f t="shared" si="122"/>
        <v>2.5609335600656757E-3</v>
      </c>
      <c r="E2556" s="7">
        <f t="shared" si="123"/>
        <v>-5.9673834150666476</v>
      </c>
    </row>
    <row r="2557" spans="1:5" x14ac:dyDescent="0.15">
      <c r="A2557" s="7">
        <v>2550</v>
      </c>
      <c r="B2557" s="7">
        <v>2</v>
      </c>
      <c r="C2557" s="7">
        <f t="shared" si="121"/>
        <v>4.4066701399555049E-2</v>
      </c>
      <c r="D2557" s="7">
        <f t="shared" si="122"/>
        <v>4.4062294729415093E-2</v>
      </c>
      <c r="E2557" s="7">
        <f t="shared" si="123"/>
        <v>-3.1221508570437044</v>
      </c>
    </row>
    <row r="2558" spans="1:5" x14ac:dyDescent="0.15">
      <c r="A2558" s="7">
        <v>2551</v>
      </c>
      <c r="B2558" s="7">
        <v>0</v>
      </c>
      <c r="C2558" s="7">
        <f t="shared" si="121"/>
        <v>0.75583605794746755</v>
      </c>
      <c r="D2558" s="7">
        <f t="shared" si="122"/>
        <v>0.75586047434167281</v>
      </c>
      <c r="E2558" s="7">
        <f t="shared" si="123"/>
        <v>-0.27989847758459119</v>
      </c>
    </row>
    <row r="2559" spans="1:5" x14ac:dyDescent="0.15">
      <c r="A2559" s="7">
        <v>2552</v>
      </c>
      <c r="B2559" s="7">
        <v>0</v>
      </c>
      <c r="C2559" s="7">
        <f t="shared" si="121"/>
        <v>0.75583605794746755</v>
      </c>
      <c r="D2559" s="7">
        <f t="shared" si="122"/>
        <v>0.75586047434167281</v>
      </c>
      <c r="E2559" s="7">
        <f t="shared" si="123"/>
        <v>-0.27989847758459119</v>
      </c>
    </row>
    <row r="2560" spans="1:5" x14ac:dyDescent="0.15">
      <c r="A2560" s="7">
        <v>2553</v>
      </c>
      <c r="B2560" s="7">
        <v>0</v>
      </c>
      <c r="C2560" s="7">
        <f t="shared" si="121"/>
        <v>0.75583605794746755</v>
      </c>
      <c r="D2560" s="7">
        <f t="shared" si="122"/>
        <v>0.75586047434167281</v>
      </c>
      <c r="E2560" s="7">
        <f t="shared" si="123"/>
        <v>-0.27989847758459119</v>
      </c>
    </row>
    <row r="2561" spans="1:5" x14ac:dyDescent="0.15">
      <c r="A2561" s="7">
        <v>2554</v>
      </c>
      <c r="B2561" s="7">
        <v>0</v>
      </c>
      <c r="C2561" s="7">
        <f t="shared" si="121"/>
        <v>0.75583605794746755</v>
      </c>
      <c r="D2561" s="7">
        <f t="shared" si="122"/>
        <v>0.75586047434167281</v>
      </c>
      <c r="E2561" s="7">
        <f t="shared" si="123"/>
        <v>-0.27989847758459119</v>
      </c>
    </row>
    <row r="2562" spans="1:5" x14ac:dyDescent="0.15">
      <c r="A2562" s="7">
        <v>2555</v>
      </c>
      <c r="B2562" s="7">
        <v>1</v>
      </c>
      <c r="C2562" s="7">
        <f t="shared" si="121"/>
        <v>8.8686757970141181E-2</v>
      </c>
      <c r="D2562" s="7">
        <f t="shared" si="122"/>
        <v>8.867788929434417E-2</v>
      </c>
      <c r="E2562" s="7">
        <f t="shared" si="123"/>
        <v>-2.4227446958891354</v>
      </c>
    </row>
    <row r="2563" spans="1:5" x14ac:dyDescent="0.15">
      <c r="A2563" s="7">
        <v>2556</v>
      </c>
      <c r="B2563" s="7">
        <v>1</v>
      </c>
      <c r="C2563" s="7">
        <f t="shared" si="121"/>
        <v>8.8686757970141181E-2</v>
      </c>
      <c r="D2563" s="7">
        <f t="shared" si="122"/>
        <v>8.867788929434417E-2</v>
      </c>
      <c r="E2563" s="7">
        <f t="shared" si="123"/>
        <v>-2.4227446958891354</v>
      </c>
    </row>
    <row r="2564" spans="1:5" x14ac:dyDescent="0.15">
      <c r="A2564" s="7">
        <v>2557</v>
      </c>
      <c r="B2564" s="7">
        <v>0</v>
      </c>
      <c r="C2564" s="7">
        <f t="shared" si="121"/>
        <v>0.75583605794746755</v>
      </c>
      <c r="D2564" s="7">
        <f t="shared" si="122"/>
        <v>0.75586047434167281</v>
      </c>
      <c r="E2564" s="7">
        <f t="shared" si="123"/>
        <v>-0.27989847758459119</v>
      </c>
    </row>
    <row r="2565" spans="1:5" x14ac:dyDescent="0.15">
      <c r="A2565" s="7">
        <v>2558</v>
      </c>
      <c r="B2565" s="7">
        <v>0</v>
      </c>
      <c r="C2565" s="7">
        <f t="shared" si="121"/>
        <v>0.75583605794746755</v>
      </c>
      <c r="D2565" s="7">
        <f t="shared" si="122"/>
        <v>0.75586047434167281</v>
      </c>
      <c r="E2565" s="7">
        <f t="shared" si="123"/>
        <v>-0.27989847758459119</v>
      </c>
    </row>
    <row r="2566" spans="1:5" x14ac:dyDescent="0.15">
      <c r="A2566" s="7">
        <v>2559</v>
      </c>
      <c r="B2566" s="7">
        <v>0</v>
      </c>
      <c r="C2566" s="7">
        <f t="shared" si="121"/>
        <v>0.75583605794746755</v>
      </c>
      <c r="D2566" s="7">
        <f t="shared" si="122"/>
        <v>0.75586047434167281</v>
      </c>
      <c r="E2566" s="7">
        <f t="shared" si="123"/>
        <v>-0.27989847758459119</v>
      </c>
    </row>
    <row r="2567" spans="1:5" x14ac:dyDescent="0.15">
      <c r="A2567" s="7">
        <v>2560</v>
      </c>
      <c r="B2567" s="7">
        <v>0</v>
      </c>
      <c r="C2567" s="7">
        <f t="shared" si="121"/>
        <v>0.75583605794746755</v>
      </c>
      <c r="D2567" s="7">
        <f t="shared" si="122"/>
        <v>0.75586047434167281</v>
      </c>
      <c r="E2567" s="7">
        <f t="shared" si="123"/>
        <v>-0.27989847758459119</v>
      </c>
    </row>
    <row r="2568" spans="1:5" x14ac:dyDescent="0.15">
      <c r="A2568" s="7">
        <v>2561</v>
      </c>
      <c r="B2568" s="7">
        <v>0</v>
      </c>
      <c r="C2568" s="7">
        <f t="shared" si="121"/>
        <v>0.75583605794746755</v>
      </c>
      <c r="D2568" s="7">
        <f t="shared" si="122"/>
        <v>0.75586047434167281</v>
      </c>
      <c r="E2568" s="7">
        <f t="shared" si="123"/>
        <v>-0.27989847758459119</v>
      </c>
    </row>
    <row r="2569" spans="1:5" x14ac:dyDescent="0.15">
      <c r="A2569" s="7">
        <v>2562</v>
      </c>
      <c r="B2569" s="7">
        <v>0</v>
      </c>
      <c r="C2569" s="7">
        <f t="shared" ref="C2569:C2632" si="124">(_xlfn.GAMMA($B$1+B2569)/(_xlfn.GAMMA($B$1)*FACT(B2569))) * ($B$2/($B$2+$B$5))^$B$1 * (1/($B$2 +$B$5))^B2569</f>
        <v>0.75583605794746755</v>
      </c>
      <c r="D2569" s="7">
        <f t="shared" ref="D2569:D2632" si="125" xml:space="preserve"> IF(B2569 = 0, $B$3 + (1-$B$3) * C2569, (1-$B$3) *C2569)</f>
        <v>0.75586047434167281</v>
      </c>
      <c r="E2569" s="7">
        <f t="shared" ref="E2569:E2632" si="126">LN(D2569)</f>
        <v>-0.27989847758459119</v>
      </c>
    </row>
    <row r="2570" spans="1:5" x14ac:dyDescent="0.15">
      <c r="A2570" s="7">
        <v>2563</v>
      </c>
      <c r="B2570" s="7">
        <v>0</v>
      </c>
      <c r="C2570" s="7">
        <f t="shared" si="124"/>
        <v>0.75583605794746755</v>
      </c>
      <c r="D2570" s="7">
        <f t="shared" si="125"/>
        <v>0.75586047434167281</v>
      </c>
      <c r="E2570" s="7">
        <f t="shared" si="126"/>
        <v>-0.27989847758459119</v>
      </c>
    </row>
    <row r="2571" spans="1:5" x14ac:dyDescent="0.15">
      <c r="A2571" s="7">
        <v>2564</v>
      </c>
      <c r="B2571" s="7">
        <v>0</v>
      </c>
      <c r="C2571" s="7">
        <f t="shared" si="124"/>
        <v>0.75583605794746755</v>
      </c>
      <c r="D2571" s="7">
        <f t="shared" si="125"/>
        <v>0.75586047434167281</v>
      </c>
      <c r="E2571" s="7">
        <f t="shared" si="126"/>
        <v>-0.27989847758459119</v>
      </c>
    </row>
    <row r="2572" spans="1:5" x14ac:dyDescent="0.15">
      <c r="A2572" s="7">
        <v>2565</v>
      </c>
      <c r="B2572" s="7">
        <v>0</v>
      </c>
      <c r="C2572" s="7">
        <f t="shared" si="124"/>
        <v>0.75583605794746755</v>
      </c>
      <c r="D2572" s="7">
        <f t="shared" si="125"/>
        <v>0.75586047434167281</v>
      </c>
      <c r="E2572" s="7">
        <f t="shared" si="126"/>
        <v>-0.27989847758459119</v>
      </c>
    </row>
    <row r="2573" spans="1:5" x14ac:dyDescent="0.15">
      <c r="A2573" s="7">
        <v>2566</v>
      </c>
      <c r="B2573" s="7">
        <v>3</v>
      </c>
      <c r="C2573" s="7">
        <f t="shared" si="124"/>
        <v>2.7470963680778882E-2</v>
      </c>
      <c r="D2573" s="7">
        <f t="shared" si="125"/>
        <v>2.7468216584410805E-2</v>
      </c>
      <c r="E2573" s="7">
        <f t="shared" si="126"/>
        <v>-3.5947257032827968</v>
      </c>
    </row>
    <row r="2574" spans="1:5" x14ac:dyDescent="0.15">
      <c r="A2574" s="7">
        <v>2567</v>
      </c>
      <c r="B2574" s="7">
        <v>0</v>
      </c>
      <c r="C2574" s="7">
        <f t="shared" si="124"/>
        <v>0.75583605794746755</v>
      </c>
      <c r="D2574" s="7">
        <f t="shared" si="125"/>
        <v>0.75586047434167281</v>
      </c>
      <c r="E2574" s="7">
        <f t="shared" si="126"/>
        <v>-0.27989847758459119</v>
      </c>
    </row>
    <row r="2575" spans="1:5" x14ac:dyDescent="0.15">
      <c r="A2575" s="7">
        <v>2568</v>
      </c>
      <c r="B2575" s="7">
        <v>0</v>
      </c>
      <c r="C2575" s="7">
        <f t="shared" si="124"/>
        <v>0.75583605794746755</v>
      </c>
      <c r="D2575" s="7">
        <f t="shared" si="125"/>
        <v>0.75586047434167281</v>
      </c>
      <c r="E2575" s="7">
        <f t="shared" si="126"/>
        <v>-0.27989847758459119</v>
      </c>
    </row>
    <row r="2576" spans="1:5" x14ac:dyDescent="0.15">
      <c r="A2576" s="7">
        <v>2569</v>
      </c>
      <c r="B2576" s="7">
        <v>0</v>
      </c>
      <c r="C2576" s="7">
        <f t="shared" si="124"/>
        <v>0.75583605794746755</v>
      </c>
      <c r="D2576" s="7">
        <f t="shared" si="125"/>
        <v>0.75586047434167281</v>
      </c>
      <c r="E2576" s="7">
        <f t="shared" si="126"/>
        <v>-0.27989847758459119</v>
      </c>
    </row>
    <row r="2577" spans="1:5" x14ac:dyDescent="0.15">
      <c r="A2577" s="7">
        <v>2570</v>
      </c>
      <c r="B2577" s="7">
        <v>0</v>
      </c>
      <c r="C2577" s="7">
        <f t="shared" si="124"/>
        <v>0.75583605794746755</v>
      </c>
      <c r="D2577" s="7">
        <f t="shared" si="125"/>
        <v>0.75586047434167281</v>
      </c>
      <c r="E2577" s="7">
        <f t="shared" si="126"/>
        <v>-0.27989847758459119</v>
      </c>
    </row>
    <row r="2578" spans="1:5" x14ac:dyDescent="0.15">
      <c r="A2578" s="7">
        <v>2571</v>
      </c>
      <c r="B2578" s="7">
        <v>1</v>
      </c>
      <c r="C2578" s="7">
        <f t="shared" si="124"/>
        <v>8.8686757970141181E-2</v>
      </c>
      <c r="D2578" s="7">
        <f t="shared" si="125"/>
        <v>8.867788929434417E-2</v>
      </c>
      <c r="E2578" s="7">
        <f t="shared" si="126"/>
        <v>-2.4227446958891354</v>
      </c>
    </row>
    <row r="2579" spans="1:5" x14ac:dyDescent="0.15">
      <c r="A2579" s="7">
        <v>2572</v>
      </c>
      <c r="B2579" s="7">
        <v>3</v>
      </c>
      <c r="C2579" s="7">
        <f t="shared" si="124"/>
        <v>2.7470963680778882E-2</v>
      </c>
      <c r="D2579" s="7">
        <f t="shared" si="125"/>
        <v>2.7468216584410805E-2</v>
      </c>
      <c r="E2579" s="7">
        <f t="shared" si="126"/>
        <v>-3.5947257032827968</v>
      </c>
    </row>
    <row r="2580" spans="1:5" x14ac:dyDescent="0.15">
      <c r="A2580" s="7">
        <v>2573</v>
      </c>
      <c r="B2580" s="7">
        <v>0</v>
      </c>
      <c r="C2580" s="7">
        <f t="shared" si="124"/>
        <v>0.75583605794746755</v>
      </c>
      <c r="D2580" s="7">
        <f t="shared" si="125"/>
        <v>0.75586047434167281</v>
      </c>
      <c r="E2580" s="7">
        <f t="shared" si="126"/>
        <v>-0.27989847758459119</v>
      </c>
    </row>
    <row r="2581" spans="1:5" x14ac:dyDescent="0.15">
      <c r="A2581" s="7">
        <v>2574</v>
      </c>
      <c r="B2581" s="7">
        <v>0</v>
      </c>
      <c r="C2581" s="7">
        <f t="shared" si="124"/>
        <v>0.75583605794746755</v>
      </c>
      <c r="D2581" s="7">
        <f t="shared" si="125"/>
        <v>0.75586047434167281</v>
      </c>
      <c r="E2581" s="7">
        <f t="shared" si="126"/>
        <v>-0.27989847758459119</v>
      </c>
    </row>
    <row r="2582" spans="1:5" x14ac:dyDescent="0.15">
      <c r="A2582" s="7">
        <v>2575</v>
      </c>
      <c r="B2582" s="7">
        <v>0</v>
      </c>
      <c r="C2582" s="7">
        <f t="shared" si="124"/>
        <v>0.75583605794746755</v>
      </c>
      <c r="D2582" s="7">
        <f t="shared" si="125"/>
        <v>0.75586047434167281</v>
      </c>
      <c r="E2582" s="7">
        <f t="shared" si="126"/>
        <v>-0.27989847758459119</v>
      </c>
    </row>
    <row r="2583" spans="1:5" x14ac:dyDescent="0.15">
      <c r="A2583" s="7">
        <v>2576</v>
      </c>
      <c r="B2583" s="7">
        <v>0</v>
      </c>
      <c r="C2583" s="7">
        <f t="shared" si="124"/>
        <v>0.75583605794746755</v>
      </c>
      <c r="D2583" s="7">
        <f t="shared" si="125"/>
        <v>0.75586047434167281</v>
      </c>
      <c r="E2583" s="7">
        <f t="shared" si="126"/>
        <v>-0.27989847758459119</v>
      </c>
    </row>
    <row r="2584" spans="1:5" x14ac:dyDescent="0.15">
      <c r="A2584" s="7">
        <v>2577</v>
      </c>
      <c r="B2584" s="7">
        <v>1</v>
      </c>
      <c r="C2584" s="7">
        <f t="shared" si="124"/>
        <v>8.8686757970141181E-2</v>
      </c>
      <c r="D2584" s="7">
        <f t="shared" si="125"/>
        <v>8.867788929434417E-2</v>
      </c>
      <c r="E2584" s="7">
        <f t="shared" si="126"/>
        <v>-2.4227446958891354</v>
      </c>
    </row>
    <row r="2585" spans="1:5" x14ac:dyDescent="0.15">
      <c r="A2585" s="7">
        <v>2578</v>
      </c>
      <c r="B2585" s="7">
        <v>0</v>
      </c>
      <c r="C2585" s="7">
        <f t="shared" si="124"/>
        <v>0.75583605794746755</v>
      </c>
      <c r="D2585" s="7">
        <f t="shared" si="125"/>
        <v>0.75586047434167281</v>
      </c>
      <c r="E2585" s="7">
        <f t="shared" si="126"/>
        <v>-0.27989847758459119</v>
      </c>
    </row>
    <row r="2586" spans="1:5" x14ac:dyDescent="0.15">
      <c r="A2586" s="7">
        <v>2579</v>
      </c>
      <c r="B2586" s="7">
        <v>0</v>
      </c>
      <c r="C2586" s="7">
        <f t="shared" si="124"/>
        <v>0.75583605794746755</v>
      </c>
      <c r="D2586" s="7">
        <f t="shared" si="125"/>
        <v>0.75586047434167281</v>
      </c>
      <c r="E2586" s="7">
        <f t="shared" si="126"/>
        <v>-0.27989847758459119</v>
      </c>
    </row>
    <row r="2587" spans="1:5" x14ac:dyDescent="0.15">
      <c r="A2587" s="7">
        <v>2580</v>
      </c>
      <c r="B2587" s="7">
        <v>0</v>
      </c>
      <c r="C2587" s="7">
        <f t="shared" si="124"/>
        <v>0.75583605794746755</v>
      </c>
      <c r="D2587" s="7">
        <f t="shared" si="125"/>
        <v>0.75586047434167281</v>
      </c>
      <c r="E2587" s="7">
        <f t="shared" si="126"/>
        <v>-0.27989847758459119</v>
      </c>
    </row>
    <row r="2588" spans="1:5" x14ac:dyDescent="0.15">
      <c r="A2588" s="7">
        <v>2581</v>
      </c>
      <c r="B2588" s="7">
        <v>0</v>
      </c>
      <c r="C2588" s="7">
        <f t="shared" si="124"/>
        <v>0.75583605794746755</v>
      </c>
      <c r="D2588" s="7">
        <f t="shared" si="125"/>
        <v>0.75586047434167281</v>
      </c>
      <c r="E2588" s="7">
        <f t="shared" si="126"/>
        <v>-0.27989847758459119</v>
      </c>
    </row>
    <row r="2589" spans="1:5" x14ac:dyDescent="0.15">
      <c r="A2589" s="7">
        <v>2582</v>
      </c>
      <c r="B2589" s="7">
        <v>0</v>
      </c>
      <c r="C2589" s="7">
        <f t="shared" si="124"/>
        <v>0.75583605794746755</v>
      </c>
      <c r="D2589" s="7">
        <f t="shared" si="125"/>
        <v>0.75586047434167281</v>
      </c>
      <c r="E2589" s="7">
        <f t="shared" si="126"/>
        <v>-0.27989847758459119</v>
      </c>
    </row>
    <row r="2590" spans="1:5" x14ac:dyDescent="0.15">
      <c r="A2590" s="7">
        <v>2583</v>
      </c>
      <c r="B2590" s="7">
        <v>4</v>
      </c>
      <c r="C2590" s="7">
        <f t="shared" si="124"/>
        <v>1.8863004210024691E-2</v>
      </c>
      <c r="D2590" s="7">
        <f t="shared" si="125"/>
        <v>1.8861117909603688E-2</v>
      </c>
      <c r="E2590" s="7">
        <f t="shared" si="126"/>
        <v>-3.9706527294293466</v>
      </c>
    </row>
    <row r="2591" spans="1:5" x14ac:dyDescent="0.15">
      <c r="A2591" s="7">
        <v>2584</v>
      </c>
      <c r="B2591" s="7">
        <v>0</v>
      </c>
      <c r="C2591" s="7">
        <f t="shared" si="124"/>
        <v>0.75583605794746755</v>
      </c>
      <c r="D2591" s="7">
        <f t="shared" si="125"/>
        <v>0.75586047434167281</v>
      </c>
      <c r="E2591" s="7">
        <f t="shared" si="126"/>
        <v>-0.27989847758459119</v>
      </c>
    </row>
    <row r="2592" spans="1:5" x14ac:dyDescent="0.15">
      <c r="A2592" s="7">
        <v>2585</v>
      </c>
      <c r="B2592" s="7">
        <v>0</v>
      </c>
      <c r="C2592" s="7">
        <f t="shared" si="124"/>
        <v>0.75583605794746755</v>
      </c>
      <c r="D2592" s="7">
        <f t="shared" si="125"/>
        <v>0.75586047434167281</v>
      </c>
      <c r="E2592" s="7">
        <f t="shared" si="126"/>
        <v>-0.27989847758459119</v>
      </c>
    </row>
    <row r="2593" spans="1:5" x14ac:dyDescent="0.15">
      <c r="A2593" s="7">
        <v>2586</v>
      </c>
      <c r="B2593" s="7">
        <v>0</v>
      </c>
      <c r="C2593" s="7">
        <f t="shared" si="124"/>
        <v>0.75583605794746755</v>
      </c>
      <c r="D2593" s="7">
        <f t="shared" si="125"/>
        <v>0.75586047434167281</v>
      </c>
      <c r="E2593" s="7">
        <f t="shared" si="126"/>
        <v>-0.27989847758459119</v>
      </c>
    </row>
    <row r="2594" spans="1:5" x14ac:dyDescent="0.15">
      <c r="A2594" s="7">
        <v>2587</v>
      </c>
      <c r="B2594" s="7">
        <v>0</v>
      </c>
      <c r="C2594" s="7">
        <f t="shared" si="124"/>
        <v>0.75583605794746755</v>
      </c>
      <c r="D2594" s="7">
        <f t="shared" si="125"/>
        <v>0.75586047434167281</v>
      </c>
      <c r="E2594" s="7">
        <f t="shared" si="126"/>
        <v>-0.27989847758459119</v>
      </c>
    </row>
    <row r="2595" spans="1:5" x14ac:dyDescent="0.15">
      <c r="A2595" s="7">
        <v>2588</v>
      </c>
      <c r="B2595" s="7">
        <v>1</v>
      </c>
      <c r="C2595" s="7">
        <f t="shared" si="124"/>
        <v>8.8686757970141181E-2</v>
      </c>
      <c r="D2595" s="7">
        <f t="shared" si="125"/>
        <v>8.867788929434417E-2</v>
      </c>
      <c r="E2595" s="7">
        <f t="shared" si="126"/>
        <v>-2.4227446958891354</v>
      </c>
    </row>
    <row r="2596" spans="1:5" x14ac:dyDescent="0.15">
      <c r="A2596" s="7">
        <v>2589</v>
      </c>
      <c r="B2596" s="7">
        <v>0</v>
      </c>
      <c r="C2596" s="7">
        <f t="shared" si="124"/>
        <v>0.75583605794746755</v>
      </c>
      <c r="D2596" s="7">
        <f t="shared" si="125"/>
        <v>0.75586047434167281</v>
      </c>
      <c r="E2596" s="7">
        <f t="shared" si="126"/>
        <v>-0.27989847758459119</v>
      </c>
    </row>
    <row r="2597" spans="1:5" x14ac:dyDescent="0.15">
      <c r="A2597" s="7">
        <v>2590</v>
      </c>
      <c r="B2597" s="7">
        <v>0</v>
      </c>
      <c r="C2597" s="7">
        <f t="shared" si="124"/>
        <v>0.75583605794746755</v>
      </c>
      <c r="D2597" s="7">
        <f t="shared" si="125"/>
        <v>0.75586047434167281</v>
      </c>
      <c r="E2597" s="7">
        <f t="shared" si="126"/>
        <v>-0.27989847758459119</v>
      </c>
    </row>
    <row r="2598" spans="1:5" x14ac:dyDescent="0.15">
      <c r="A2598" s="7">
        <v>2591</v>
      </c>
      <c r="B2598" s="7">
        <v>0</v>
      </c>
      <c r="C2598" s="7">
        <f t="shared" si="124"/>
        <v>0.75583605794746755</v>
      </c>
      <c r="D2598" s="7">
        <f t="shared" si="125"/>
        <v>0.75586047434167281</v>
      </c>
      <c r="E2598" s="7">
        <f t="shared" si="126"/>
        <v>-0.27989847758459119</v>
      </c>
    </row>
    <row r="2599" spans="1:5" x14ac:dyDescent="0.15">
      <c r="A2599" s="7">
        <v>2592</v>
      </c>
      <c r="B2599" s="7">
        <v>0</v>
      </c>
      <c r="C2599" s="7">
        <f t="shared" si="124"/>
        <v>0.75583605794746755</v>
      </c>
      <c r="D2599" s="7">
        <f t="shared" si="125"/>
        <v>0.75586047434167281</v>
      </c>
      <c r="E2599" s="7">
        <f t="shared" si="126"/>
        <v>-0.27989847758459119</v>
      </c>
    </row>
    <row r="2600" spans="1:5" x14ac:dyDescent="0.15">
      <c r="A2600" s="7">
        <v>2593</v>
      </c>
      <c r="B2600" s="7">
        <v>0</v>
      </c>
      <c r="C2600" s="7">
        <f t="shared" si="124"/>
        <v>0.75583605794746755</v>
      </c>
      <c r="D2600" s="7">
        <f t="shared" si="125"/>
        <v>0.75586047434167281</v>
      </c>
      <c r="E2600" s="7">
        <f t="shared" si="126"/>
        <v>-0.27989847758459119</v>
      </c>
    </row>
    <row r="2601" spans="1:5" x14ac:dyDescent="0.15">
      <c r="A2601" s="7">
        <v>2594</v>
      </c>
      <c r="B2601" s="7">
        <v>0</v>
      </c>
      <c r="C2601" s="7">
        <f t="shared" si="124"/>
        <v>0.75583605794746755</v>
      </c>
      <c r="D2601" s="7">
        <f t="shared" si="125"/>
        <v>0.75586047434167281</v>
      </c>
      <c r="E2601" s="7">
        <f t="shared" si="126"/>
        <v>-0.27989847758459119</v>
      </c>
    </row>
    <row r="2602" spans="1:5" x14ac:dyDescent="0.15">
      <c r="A2602" s="7">
        <v>2595</v>
      </c>
      <c r="B2602" s="7">
        <v>0</v>
      </c>
      <c r="C2602" s="7">
        <f t="shared" si="124"/>
        <v>0.75583605794746755</v>
      </c>
      <c r="D2602" s="7">
        <f t="shared" si="125"/>
        <v>0.75586047434167281</v>
      </c>
      <c r="E2602" s="7">
        <f t="shared" si="126"/>
        <v>-0.27989847758459119</v>
      </c>
    </row>
    <row r="2603" spans="1:5" x14ac:dyDescent="0.15">
      <c r="A2603" s="7">
        <v>2596</v>
      </c>
      <c r="B2603" s="7">
        <v>1</v>
      </c>
      <c r="C2603" s="7">
        <f t="shared" si="124"/>
        <v>8.8686757970141181E-2</v>
      </c>
      <c r="D2603" s="7">
        <f t="shared" si="125"/>
        <v>8.867788929434417E-2</v>
      </c>
      <c r="E2603" s="7">
        <f t="shared" si="126"/>
        <v>-2.4227446958891354</v>
      </c>
    </row>
    <row r="2604" spans="1:5" x14ac:dyDescent="0.15">
      <c r="A2604" s="7">
        <v>2597</v>
      </c>
      <c r="B2604" s="7">
        <v>0</v>
      </c>
      <c r="C2604" s="7">
        <f t="shared" si="124"/>
        <v>0.75583605794746755</v>
      </c>
      <c r="D2604" s="7">
        <f t="shared" si="125"/>
        <v>0.75586047434167281</v>
      </c>
      <c r="E2604" s="7">
        <f t="shared" si="126"/>
        <v>-0.27989847758459119</v>
      </c>
    </row>
    <row r="2605" spans="1:5" x14ac:dyDescent="0.15">
      <c r="A2605" s="7">
        <v>2598</v>
      </c>
      <c r="B2605" s="7">
        <v>0</v>
      </c>
      <c r="C2605" s="7">
        <f t="shared" si="124"/>
        <v>0.75583605794746755</v>
      </c>
      <c r="D2605" s="7">
        <f t="shared" si="125"/>
        <v>0.75586047434167281</v>
      </c>
      <c r="E2605" s="7">
        <f t="shared" si="126"/>
        <v>-0.27989847758459119</v>
      </c>
    </row>
    <row r="2606" spans="1:5" x14ac:dyDescent="0.15">
      <c r="A2606" s="7">
        <v>2599</v>
      </c>
      <c r="B2606" s="7">
        <v>0</v>
      </c>
      <c r="C2606" s="7">
        <f t="shared" si="124"/>
        <v>0.75583605794746755</v>
      </c>
      <c r="D2606" s="7">
        <f t="shared" si="125"/>
        <v>0.75586047434167281</v>
      </c>
      <c r="E2606" s="7">
        <f t="shared" si="126"/>
        <v>-0.27989847758459119</v>
      </c>
    </row>
    <row r="2607" spans="1:5" x14ac:dyDescent="0.15">
      <c r="A2607" s="7">
        <v>2600</v>
      </c>
      <c r="B2607" s="7">
        <v>0</v>
      </c>
      <c r="C2607" s="7">
        <f t="shared" si="124"/>
        <v>0.75583605794746755</v>
      </c>
      <c r="D2607" s="7">
        <f t="shared" si="125"/>
        <v>0.75586047434167281</v>
      </c>
      <c r="E2607" s="7">
        <f t="shared" si="126"/>
        <v>-0.27989847758459119</v>
      </c>
    </row>
    <row r="2608" spans="1:5" x14ac:dyDescent="0.15">
      <c r="A2608" s="7">
        <v>2601</v>
      </c>
      <c r="B2608" s="7">
        <v>0</v>
      </c>
      <c r="C2608" s="7">
        <f t="shared" si="124"/>
        <v>0.75583605794746755</v>
      </c>
      <c r="D2608" s="7">
        <f t="shared" si="125"/>
        <v>0.75586047434167281</v>
      </c>
      <c r="E2608" s="7">
        <f t="shared" si="126"/>
        <v>-0.27989847758459119</v>
      </c>
    </row>
    <row r="2609" spans="1:5" x14ac:dyDescent="0.15">
      <c r="A2609" s="7">
        <v>2602</v>
      </c>
      <c r="B2609" s="7">
        <v>0</v>
      </c>
      <c r="C2609" s="7">
        <f t="shared" si="124"/>
        <v>0.75583605794746755</v>
      </c>
      <c r="D2609" s="7">
        <f t="shared" si="125"/>
        <v>0.75586047434167281</v>
      </c>
      <c r="E2609" s="7">
        <f t="shared" si="126"/>
        <v>-0.27989847758459119</v>
      </c>
    </row>
    <row r="2610" spans="1:5" x14ac:dyDescent="0.15">
      <c r="A2610" s="7">
        <v>2603</v>
      </c>
      <c r="B2610" s="7">
        <v>0</v>
      </c>
      <c r="C2610" s="7">
        <f t="shared" si="124"/>
        <v>0.75583605794746755</v>
      </c>
      <c r="D2610" s="7">
        <f t="shared" si="125"/>
        <v>0.75586047434167281</v>
      </c>
      <c r="E2610" s="7">
        <f t="shared" si="126"/>
        <v>-0.27989847758459119</v>
      </c>
    </row>
    <row r="2611" spans="1:5" x14ac:dyDescent="0.15">
      <c r="A2611" s="7">
        <v>2604</v>
      </c>
      <c r="B2611" s="7">
        <v>1</v>
      </c>
      <c r="C2611" s="7">
        <f t="shared" si="124"/>
        <v>8.8686757970141181E-2</v>
      </c>
      <c r="D2611" s="7">
        <f t="shared" si="125"/>
        <v>8.867788929434417E-2</v>
      </c>
      <c r="E2611" s="7">
        <f t="shared" si="126"/>
        <v>-2.4227446958891354</v>
      </c>
    </row>
    <row r="2612" spans="1:5" x14ac:dyDescent="0.15">
      <c r="A2612" s="7">
        <v>2605</v>
      </c>
      <c r="B2612" s="7">
        <v>0</v>
      </c>
      <c r="C2612" s="7">
        <f t="shared" si="124"/>
        <v>0.75583605794746755</v>
      </c>
      <c r="D2612" s="7">
        <f t="shared" si="125"/>
        <v>0.75586047434167281</v>
      </c>
      <c r="E2612" s="7">
        <f t="shared" si="126"/>
        <v>-0.27989847758459119</v>
      </c>
    </row>
    <row r="2613" spans="1:5" x14ac:dyDescent="0.15">
      <c r="A2613" s="7">
        <v>2606</v>
      </c>
      <c r="B2613" s="7">
        <v>0</v>
      </c>
      <c r="C2613" s="7">
        <f t="shared" si="124"/>
        <v>0.75583605794746755</v>
      </c>
      <c r="D2613" s="7">
        <f t="shared" si="125"/>
        <v>0.75586047434167281</v>
      </c>
      <c r="E2613" s="7">
        <f t="shared" si="126"/>
        <v>-0.27989847758459119</v>
      </c>
    </row>
    <row r="2614" spans="1:5" x14ac:dyDescent="0.15">
      <c r="A2614" s="7">
        <v>2607</v>
      </c>
      <c r="B2614" s="7">
        <v>0</v>
      </c>
      <c r="C2614" s="7">
        <f t="shared" si="124"/>
        <v>0.75583605794746755</v>
      </c>
      <c r="D2614" s="7">
        <f t="shared" si="125"/>
        <v>0.75586047434167281</v>
      </c>
      <c r="E2614" s="7">
        <f t="shared" si="126"/>
        <v>-0.27989847758459119</v>
      </c>
    </row>
    <row r="2615" spans="1:5" x14ac:dyDescent="0.15">
      <c r="A2615" s="7">
        <v>2608</v>
      </c>
      <c r="B2615" s="7">
        <v>0</v>
      </c>
      <c r="C2615" s="7">
        <f t="shared" si="124"/>
        <v>0.75583605794746755</v>
      </c>
      <c r="D2615" s="7">
        <f t="shared" si="125"/>
        <v>0.75586047434167281</v>
      </c>
      <c r="E2615" s="7">
        <f t="shared" si="126"/>
        <v>-0.27989847758459119</v>
      </c>
    </row>
    <row r="2616" spans="1:5" x14ac:dyDescent="0.15">
      <c r="A2616" s="7">
        <v>2609</v>
      </c>
      <c r="B2616" s="7">
        <v>0</v>
      </c>
      <c r="C2616" s="7">
        <f t="shared" si="124"/>
        <v>0.75583605794746755</v>
      </c>
      <c r="D2616" s="7">
        <f t="shared" si="125"/>
        <v>0.75586047434167281</v>
      </c>
      <c r="E2616" s="7">
        <f t="shared" si="126"/>
        <v>-0.27989847758459119</v>
      </c>
    </row>
    <row r="2617" spans="1:5" x14ac:dyDescent="0.15">
      <c r="A2617" s="7">
        <v>2610</v>
      </c>
      <c r="B2617" s="7">
        <v>0</v>
      </c>
      <c r="C2617" s="7">
        <f t="shared" si="124"/>
        <v>0.75583605794746755</v>
      </c>
      <c r="D2617" s="7">
        <f t="shared" si="125"/>
        <v>0.75586047434167281</v>
      </c>
      <c r="E2617" s="7">
        <f t="shared" si="126"/>
        <v>-0.27989847758459119</v>
      </c>
    </row>
    <row r="2618" spans="1:5" x14ac:dyDescent="0.15">
      <c r="A2618" s="7">
        <v>2611</v>
      </c>
      <c r="B2618" s="7">
        <v>0</v>
      </c>
      <c r="C2618" s="7">
        <f t="shared" si="124"/>
        <v>0.75583605794746755</v>
      </c>
      <c r="D2618" s="7">
        <f t="shared" si="125"/>
        <v>0.75586047434167281</v>
      </c>
      <c r="E2618" s="7">
        <f t="shared" si="126"/>
        <v>-0.27989847758459119</v>
      </c>
    </row>
    <row r="2619" spans="1:5" x14ac:dyDescent="0.15">
      <c r="A2619" s="7">
        <v>2612</v>
      </c>
      <c r="B2619" s="7">
        <v>0</v>
      </c>
      <c r="C2619" s="7">
        <f t="shared" si="124"/>
        <v>0.75583605794746755</v>
      </c>
      <c r="D2619" s="7">
        <f t="shared" si="125"/>
        <v>0.75586047434167281</v>
      </c>
      <c r="E2619" s="7">
        <f t="shared" si="126"/>
        <v>-0.27989847758459119</v>
      </c>
    </row>
    <row r="2620" spans="1:5" x14ac:dyDescent="0.15">
      <c r="A2620" s="7">
        <v>2613</v>
      </c>
      <c r="B2620" s="7">
        <v>0</v>
      </c>
      <c r="C2620" s="7">
        <f t="shared" si="124"/>
        <v>0.75583605794746755</v>
      </c>
      <c r="D2620" s="7">
        <f t="shared" si="125"/>
        <v>0.75586047434167281</v>
      </c>
      <c r="E2620" s="7">
        <f t="shared" si="126"/>
        <v>-0.27989847758459119</v>
      </c>
    </row>
    <row r="2621" spans="1:5" x14ac:dyDescent="0.15">
      <c r="A2621" s="7">
        <v>2614</v>
      </c>
      <c r="B2621" s="7">
        <v>0</v>
      </c>
      <c r="C2621" s="7">
        <f t="shared" si="124"/>
        <v>0.75583605794746755</v>
      </c>
      <c r="D2621" s="7">
        <f t="shared" si="125"/>
        <v>0.75586047434167281</v>
      </c>
      <c r="E2621" s="7">
        <f t="shared" si="126"/>
        <v>-0.27989847758459119</v>
      </c>
    </row>
    <row r="2622" spans="1:5" x14ac:dyDescent="0.15">
      <c r="A2622" s="7">
        <v>2615</v>
      </c>
      <c r="B2622" s="7">
        <v>0</v>
      </c>
      <c r="C2622" s="7">
        <f t="shared" si="124"/>
        <v>0.75583605794746755</v>
      </c>
      <c r="D2622" s="7">
        <f t="shared" si="125"/>
        <v>0.75586047434167281</v>
      </c>
      <c r="E2622" s="7">
        <f t="shared" si="126"/>
        <v>-0.27989847758459119</v>
      </c>
    </row>
    <row r="2623" spans="1:5" x14ac:dyDescent="0.15">
      <c r="A2623" s="7">
        <v>2616</v>
      </c>
      <c r="B2623" s="7">
        <v>1</v>
      </c>
      <c r="C2623" s="7">
        <f t="shared" si="124"/>
        <v>8.8686757970141181E-2</v>
      </c>
      <c r="D2623" s="7">
        <f t="shared" si="125"/>
        <v>8.867788929434417E-2</v>
      </c>
      <c r="E2623" s="7">
        <f t="shared" si="126"/>
        <v>-2.4227446958891354</v>
      </c>
    </row>
    <row r="2624" spans="1:5" x14ac:dyDescent="0.15">
      <c r="A2624" s="7">
        <v>2617</v>
      </c>
      <c r="B2624" s="7">
        <v>0</v>
      </c>
      <c r="C2624" s="7">
        <f t="shared" si="124"/>
        <v>0.75583605794746755</v>
      </c>
      <c r="D2624" s="7">
        <f t="shared" si="125"/>
        <v>0.75586047434167281</v>
      </c>
      <c r="E2624" s="7">
        <f t="shared" si="126"/>
        <v>-0.27989847758459119</v>
      </c>
    </row>
    <row r="2625" spans="1:5" x14ac:dyDescent="0.15">
      <c r="A2625" s="7">
        <v>2618</v>
      </c>
      <c r="B2625" s="7">
        <v>0</v>
      </c>
      <c r="C2625" s="7">
        <f t="shared" si="124"/>
        <v>0.75583605794746755</v>
      </c>
      <c r="D2625" s="7">
        <f t="shared" si="125"/>
        <v>0.75586047434167281</v>
      </c>
      <c r="E2625" s="7">
        <f t="shared" si="126"/>
        <v>-0.27989847758459119</v>
      </c>
    </row>
    <row r="2626" spans="1:5" x14ac:dyDescent="0.15">
      <c r="A2626" s="7">
        <v>2619</v>
      </c>
      <c r="B2626" s="7">
        <v>0</v>
      </c>
      <c r="C2626" s="7">
        <f t="shared" si="124"/>
        <v>0.75583605794746755</v>
      </c>
      <c r="D2626" s="7">
        <f t="shared" si="125"/>
        <v>0.75586047434167281</v>
      </c>
      <c r="E2626" s="7">
        <f t="shared" si="126"/>
        <v>-0.27989847758459119</v>
      </c>
    </row>
    <row r="2627" spans="1:5" x14ac:dyDescent="0.15">
      <c r="A2627" s="7">
        <v>2620</v>
      </c>
      <c r="B2627" s="7">
        <v>0</v>
      </c>
      <c r="C2627" s="7">
        <f t="shared" si="124"/>
        <v>0.75583605794746755</v>
      </c>
      <c r="D2627" s="7">
        <f t="shared" si="125"/>
        <v>0.75586047434167281</v>
      </c>
      <c r="E2627" s="7">
        <f t="shared" si="126"/>
        <v>-0.27989847758459119</v>
      </c>
    </row>
    <row r="2628" spans="1:5" x14ac:dyDescent="0.15">
      <c r="A2628" s="7">
        <v>2621</v>
      </c>
      <c r="B2628" s="7">
        <v>0</v>
      </c>
      <c r="C2628" s="7">
        <f t="shared" si="124"/>
        <v>0.75583605794746755</v>
      </c>
      <c r="D2628" s="7">
        <f t="shared" si="125"/>
        <v>0.75586047434167281</v>
      </c>
      <c r="E2628" s="7">
        <f t="shared" si="126"/>
        <v>-0.27989847758459119</v>
      </c>
    </row>
    <row r="2629" spans="1:5" x14ac:dyDescent="0.15">
      <c r="A2629" s="7">
        <v>2622</v>
      </c>
      <c r="B2629" s="7">
        <v>0</v>
      </c>
      <c r="C2629" s="7">
        <f t="shared" si="124"/>
        <v>0.75583605794746755</v>
      </c>
      <c r="D2629" s="7">
        <f t="shared" si="125"/>
        <v>0.75586047434167281</v>
      </c>
      <c r="E2629" s="7">
        <f t="shared" si="126"/>
        <v>-0.27989847758459119</v>
      </c>
    </row>
    <row r="2630" spans="1:5" x14ac:dyDescent="0.15">
      <c r="A2630" s="7">
        <v>2623</v>
      </c>
      <c r="B2630" s="7">
        <v>0</v>
      </c>
      <c r="C2630" s="7">
        <f t="shared" si="124"/>
        <v>0.75583605794746755</v>
      </c>
      <c r="D2630" s="7">
        <f t="shared" si="125"/>
        <v>0.75586047434167281</v>
      </c>
      <c r="E2630" s="7">
        <f t="shared" si="126"/>
        <v>-0.27989847758459119</v>
      </c>
    </row>
    <row r="2631" spans="1:5" x14ac:dyDescent="0.15">
      <c r="A2631" s="7">
        <v>2624</v>
      </c>
      <c r="B2631" s="7">
        <v>4</v>
      </c>
      <c r="C2631" s="7">
        <f t="shared" si="124"/>
        <v>1.8863004210024691E-2</v>
      </c>
      <c r="D2631" s="7">
        <f t="shared" si="125"/>
        <v>1.8861117909603688E-2</v>
      </c>
      <c r="E2631" s="7">
        <f t="shared" si="126"/>
        <v>-3.9706527294293466</v>
      </c>
    </row>
    <row r="2632" spans="1:5" x14ac:dyDescent="0.15">
      <c r="A2632" s="7">
        <v>2625</v>
      </c>
      <c r="B2632" s="7">
        <v>0</v>
      </c>
      <c r="C2632" s="7">
        <f t="shared" si="124"/>
        <v>0.75583605794746755</v>
      </c>
      <c r="D2632" s="7">
        <f t="shared" si="125"/>
        <v>0.75586047434167281</v>
      </c>
      <c r="E2632" s="7">
        <f t="shared" si="126"/>
        <v>-0.27989847758459119</v>
      </c>
    </row>
    <row r="2633" spans="1:5" x14ac:dyDescent="0.15">
      <c r="A2633" s="7">
        <v>2626</v>
      </c>
      <c r="B2633" s="7">
        <v>0</v>
      </c>
      <c r="C2633" s="7">
        <f t="shared" ref="C2633:C2696" si="127">(_xlfn.GAMMA($B$1+B2633)/(_xlfn.GAMMA($B$1)*FACT(B2633))) * ($B$2/($B$2+$B$5))^$B$1 * (1/($B$2 +$B$5))^B2633</f>
        <v>0.75583605794746755</v>
      </c>
      <c r="D2633" s="7">
        <f t="shared" ref="D2633:D2696" si="128" xml:space="preserve"> IF(B2633 = 0, $B$3 + (1-$B$3) * C2633, (1-$B$3) *C2633)</f>
        <v>0.75586047434167281</v>
      </c>
      <c r="E2633" s="7">
        <f t="shared" ref="E2633:E2696" si="129">LN(D2633)</f>
        <v>-0.27989847758459119</v>
      </c>
    </row>
    <row r="2634" spans="1:5" x14ac:dyDescent="0.15">
      <c r="A2634" s="7">
        <v>2627</v>
      </c>
      <c r="B2634" s="7">
        <v>0</v>
      </c>
      <c r="C2634" s="7">
        <f t="shared" si="127"/>
        <v>0.75583605794746755</v>
      </c>
      <c r="D2634" s="7">
        <f t="shared" si="128"/>
        <v>0.75586047434167281</v>
      </c>
      <c r="E2634" s="7">
        <f t="shared" si="129"/>
        <v>-0.27989847758459119</v>
      </c>
    </row>
    <row r="2635" spans="1:5" x14ac:dyDescent="0.15">
      <c r="A2635" s="7">
        <v>2628</v>
      </c>
      <c r="B2635" s="7">
        <v>0</v>
      </c>
      <c r="C2635" s="7">
        <f t="shared" si="127"/>
        <v>0.75583605794746755</v>
      </c>
      <c r="D2635" s="7">
        <f t="shared" si="128"/>
        <v>0.75586047434167281</v>
      </c>
      <c r="E2635" s="7">
        <f t="shared" si="129"/>
        <v>-0.27989847758459119</v>
      </c>
    </row>
    <row r="2636" spans="1:5" x14ac:dyDescent="0.15">
      <c r="A2636" s="7">
        <v>2629</v>
      </c>
      <c r="B2636" s="7">
        <v>0</v>
      </c>
      <c r="C2636" s="7">
        <f t="shared" si="127"/>
        <v>0.75583605794746755</v>
      </c>
      <c r="D2636" s="7">
        <f t="shared" si="128"/>
        <v>0.75586047434167281</v>
      </c>
      <c r="E2636" s="7">
        <f t="shared" si="129"/>
        <v>-0.27989847758459119</v>
      </c>
    </row>
    <row r="2637" spans="1:5" x14ac:dyDescent="0.15">
      <c r="A2637" s="7">
        <v>2630</v>
      </c>
      <c r="B2637" s="7">
        <v>3</v>
      </c>
      <c r="C2637" s="7">
        <f t="shared" si="127"/>
        <v>2.7470963680778882E-2</v>
      </c>
      <c r="D2637" s="7">
        <f t="shared" si="128"/>
        <v>2.7468216584410805E-2</v>
      </c>
      <c r="E2637" s="7">
        <f t="shared" si="129"/>
        <v>-3.5947257032827968</v>
      </c>
    </row>
    <row r="2638" spans="1:5" x14ac:dyDescent="0.15">
      <c r="A2638" s="7">
        <v>2631</v>
      </c>
      <c r="B2638" s="7">
        <v>0</v>
      </c>
      <c r="C2638" s="7">
        <f t="shared" si="127"/>
        <v>0.75583605794746755</v>
      </c>
      <c r="D2638" s="7">
        <f t="shared" si="128"/>
        <v>0.75586047434167281</v>
      </c>
      <c r="E2638" s="7">
        <f t="shared" si="129"/>
        <v>-0.27989847758459119</v>
      </c>
    </row>
    <row r="2639" spans="1:5" x14ac:dyDescent="0.15">
      <c r="A2639" s="7">
        <v>2632</v>
      </c>
      <c r="B2639" s="7">
        <v>1</v>
      </c>
      <c r="C2639" s="7">
        <f t="shared" si="127"/>
        <v>8.8686757970141181E-2</v>
      </c>
      <c r="D2639" s="7">
        <f t="shared" si="128"/>
        <v>8.867788929434417E-2</v>
      </c>
      <c r="E2639" s="7">
        <f t="shared" si="129"/>
        <v>-2.4227446958891354</v>
      </c>
    </row>
    <row r="2640" spans="1:5" x14ac:dyDescent="0.15">
      <c r="A2640" s="7">
        <v>2633</v>
      </c>
      <c r="B2640" s="7">
        <v>1</v>
      </c>
      <c r="C2640" s="7">
        <f t="shared" si="127"/>
        <v>8.8686757970141181E-2</v>
      </c>
      <c r="D2640" s="7">
        <f t="shared" si="128"/>
        <v>8.867788929434417E-2</v>
      </c>
      <c r="E2640" s="7">
        <f t="shared" si="129"/>
        <v>-2.4227446958891354</v>
      </c>
    </row>
    <row r="2641" spans="1:5" x14ac:dyDescent="0.15">
      <c r="A2641" s="7">
        <v>2634</v>
      </c>
      <c r="B2641" s="7">
        <v>0</v>
      </c>
      <c r="C2641" s="7">
        <f t="shared" si="127"/>
        <v>0.75583605794746755</v>
      </c>
      <c r="D2641" s="7">
        <f t="shared" si="128"/>
        <v>0.75586047434167281</v>
      </c>
      <c r="E2641" s="7">
        <f t="shared" si="129"/>
        <v>-0.27989847758459119</v>
      </c>
    </row>
    <row r="2642" spans="1:5" x14ac:dyDescent="0.15">
      <c r="A2642" s="7">
        <v>2635</v>
      </c>
      <c r="B2642" s="7">
        <v>0</v>
      </c>
      <c r="C2642" s="7">
        <f t="shared" si="127"/>
        <v>0.75583605794746755</v>
      </c>
      <c r="D2642" s="7">
        <f t="shared" si="128"/>
        <v>0.75586047434167281</v>
      </c>
      <c r="E2642" s="7">
        <f t="shared" si="129"/>
        <v>-0.27989847758459119</v>
      </c>
    </row>
    <row r="2643" spans="1:5" x14ac:dyDescent="0.15">
      <c r="A2643" s="7">
        <v>2636</v>
      </c>
      <c r="B2643" s="7">
        <v>0</v>
      </c>
      <c r="C2643" s="7">
        <f t="shared" si="127"/>
        <v>0.75583605794746755</v>
      </c>
      <c r="D2643" s="7">
        <f t="shared" si="128"/>
        <v>0.75586047434167281</v>
      </c>
      <c r="E2643" s="7">
        <f t="shared" si="129"/>
        <v>-0.27989847758459119</v>
      </c>
    </row>
    <row r="2644" spans="1:5" x14ac:dyDescent="0.15">
      <c r="A2644" s="7">
        <v>2637</v>
      </c>
      <c r="B2644" s="7">
        <v>0</v>
      </c>
      <c r="C2644" s="7">
        <f t="shared" si="127"/>
        <v>0.75583605794746755</v>
      </c>
      <c r="D2644" s="7">
        <f t="shared" si="128"/>
        <v>0.75586047434167281</v>
      </c>
      <c r="E2644" s="7">
        <f t="shared" si="129"/>
        <v>-0.27989847758459119</v>
      </c>
    </row>
    <row r="2645" spans="1:5" x14ac:dyDescent="0.15">
      <c r="A2645" s="7">
        <v>2638</v>
      </c>
      <c r="B2645" s="7">
        <v>0</v>
      </c>
      <c r="C2645" s="7">
        <f t="shared" si="127"/>
        <v>0.75583605794746755</v>
      </c>
      <c r="D2645" s="7">
        <f t="shared" si="128"/>
        <v>0.75586047434167281</v>
      </c>
      <c r="E2645" s="7">
        <f t="shared" si="129"/>
        <v>-0.27989847758459119</v>
      </c>
    </row>
    <row r="2646" spans="1:5" x14ac:dyDescent="0.15">
      <c r="A2646" s="7">
        <v>2639</v>
      </c>
      <c r="B2646" s="7">
        <v>0</v>
      </c>
      <c r="C2646" s="7">
        <f t="shared" si="127"/>
        <v>0.75583605794746755</v>
      </c>
      <c r="D2646" s="7">
        <f t="shared" si="128"/>
        <v>0.75586047434167281</v>
      </c>
      <c r="E2646" s="7">
        <f t="shared" si="129"/>
        <v>-0.27989847758459119</v>
      </c>
    </row>
    <row r="2647" spans="1:5" x14ac:dyDescent="0.15">
      <c r="A2647" s="7">
        <v>2640</v>
      </c>
      <c r="B2647" s="7">
        <v>0</v>
      </c>
      <c r="C2647" s="7">
        <f t="shared" si="127"/>
        <v>0.75583605794746755</v>
      </c>
      <c r="D2647" s="7">
        <f t="shared" si="128"/>
        <v>0.75586047434167281</v>
      </c>
      <c r="E2647" s="7">
        <f t="shared" si="129"/>
        <v>-0.27989847758459119</v>
      </c>
    </row>
    <row r="2648" spans="1:5" x14ac:dyDescent="0.15">
      <c r="A2648" s="7">
        <v>2641</v>
      </c>
      <c r="B2648" s="7">
        <v>0</v>
      </c>
      <c r="C2648" s="7">
        <f t="shared" si="127"/>
        <v>0.75583605794746755</v>
      </c>
      <c r="D2648" s="7">
        <f t="shared" si="128"/>
        <v>0.75586047434167281</v>
      </c>
      <c r="E2648" s="7">
        <f t="shared" si="129"/>
        <v>-0.27989847758459119</v>
      </c>
    </row>
    <row r="2649" spans="1:5" x14ac:dyDescent="0.15">
      <c r="A2649" s="7">
        <v>2642</v>
      </c>
      <c r="B2649" s="7">
        <v>1</v>
      </c>
      <c r="C2649" s="7">
        <f t="shared" si="127"/>
        <v>8.8686757970141181E-2</v>
      </c>
      <c r="D2649" s="7">
        <f t="shared" si="128"/>
        <v>8.867788929434417E-2</v>
      </c>
      <c r="E2649" s="7">
        <f t="shared" si="129"/>
        <v>-2.4227446958891354</v>
      </c>
    </row>
    <row r="2650" spans="1:5" x14ac:dyDescent="0.15">
      <c r="A2650" s="7">
        <v>2643</v>
      </c>
      <c r="B2650" s="7">
        <v>0</v>
      </c>
      <c r="C2650" s="7">
        <f t="shared" si="127"/>
        <v>0.75583605794746755</v>
      </c>
      <c r="D2650" s="7">
        <f t="shared" si="128"/>
        <v>0.75586047434167281</v>
      </c>
      <c r="E2650" s="7">
        <f t="shared" si="129"/>
        <v>-0.27989847758459119</v>
      </c>
    </row>
    <row r="2651" spans="1:5" x14ac:dyDescent="0.15">
      <c r="A2651" s="7">
        <v>2644</v>
      </c>
      <c r="B2651" s="7">
        <v>0</v>
      </c>
      <c r="C2651" s="7">
        <f t="shared" si="127"/>
        <v>0.75583605794746755</v>
      </c>
      <c r="D2651" s="7">
        <f t="shared" si="128"/>
        <v>0.75586047434167281</v>
      </c>
      <c r="E2651" s="7">
        <f t="shared" si="129"/>
        <v>-0.27989847758459119</v>
      </c>
    </row>
    <row r="2652" spans="1:5" x14ac:dyDescent="0.15">
      <c r="A2652" s="7">
        <v>2645</v>
      </c>
      <c r="B2652" s="7">
        <v>2</v>
      </c>
      <c r="C2652" s="7">
        <f t="shared" si="127"/>
        <v>4.4066701399555049E-2</v>
      </c>
      <c r="D2652" s="7">
        <f t="shared" si="128"/>
        <v>4.4062294729415093E-2</v>
      </c>
      <c r="E2652" s="7">
        <f t="shared" si="129"/>
        <v>-3.1221508570437044</v>
      </c>
    </row>
    <row r="2653" spans="1:5" x14ac:dyDescent="0.15">
      <c r="A2653" s="7">
        <v>2646</v>
      </c>
      <c r="B2653" s="7">
        <v>0</v>
      </c>
      <c r="C2653" s="7">
        <f t="shared" si="127"/>
        <v>0.75583605794746755</v>
      </c>
      <c r="D2653" s="7">
        <f t="shared" si="128"/>
        <v>0.75586047434167281</v>
      </c>
      <c r="E2653" s="7">
        <f t="shared" si="129"/>
        <v>-0.27989847758459119</v>
      </c>
    </row>
    <row r="2654" spans="1:5" x14ac:dyDescent="0.15">
      <c r="A2654" s="7">
        <v>2647</v>
      </c>
      <c r="B2654" s="7">
        <v>0</v>
      </c>
      <c r="C2654" s="7">
        <f t="shared" si="127"/>
        <v>0.75583605794746755</v>
      </c>
      <c r="D2654" s="7">
        <f t="shared" si="128"/>
        <v>0.75586047434167281</v>
      </c>
      <c r="E2654" s="7">
        <f t="shared" si="129"/>
        <v>-0.27989847758459119</v>
      </c>
    </row>
    <row r="2655" spans="1:5" x14ac:dyDescent="0.15">
      <c r="A2655" s="7">
        <v>2648</v>
      </c>
      <c r="B2655" s="7">
        <v>0</v>
      </c>
      <c r="C2655" s="7">
        <f t="shared" si="127"/>
        <v>0.75583605794746755</v>
      </c>
      <c r="D2655" s="7">
        <f t="shared" si="128"/>
        <v>0.75586047434167281</v>
      </c>
      <c r="E2655" s="7">
        <f t="shared" si="129"/>
        <v>-0.27989847758459119</v>
      </c>
    </row>
    <row r="2656" spans="1:5" x14ac:dyDescent="0.15">
      <c r="A2656" s="7">
        <v>2649</v>
      </c>
      <c r="B2656" s="7">
        <v>0</v>
      </c>
      <c r="C2656" s="7">
        <f t="shared" si="127"/>
        <v>0.75583605794746755</v>
      </c>
      <c r="D2656" s="7">
        <f t="shared" si="128"/>
        <v>0.75586047434167281</v>
      </c>
      <c r="E2656" s="7">
        <f t="shared" si="129"/>
        <v>-0.27989847758459119</v>
      </c>
    </row>
    <row r="2657" spans="1:5" x14ac:dyDescent="0.15">
      <c r="A2657" s="7">
        <v>2650</v>
      </c>
      <c r="B2657" s="7">
        <v>0</v>
      </c>
      <c r="C2657" s="7">
        <f t="shared" si="127"/>
        <v>0.75583605794746755</v>
      </c>
      <c r="D2657" s="7">
        <f t="shared" si="128"/>
        <v>0.75586047434167281</v>
      </c>
      <c r="E2657" s="7">
        <f t="shared" si="129"/>
        <v>-0.27989847758459119</v>
      </c>
    </row>
    <row r="2658" spans="1:5" x14ac:dyDescent="0.15">
      <c r="A2658" s="7">
        <v>2651</v>
      </c>
      <c r="B2658" s="7">
        <v>0</v>
      </c>
      <c r="C2658" s="7">
        <f t="shared" si="127"/>
        <v>0.75583605794746755</v>
      </c>
      <c r="D2658" s="7">
        <f t="shared" si="128"/>
        <v>0.75586047434167281</v>
      </c>
      <c r="E2658" s="7">
        <f t="shared" si="129"/>
        <v>-0.27989847758459119</v>
      </c>
    </row>
    <row r="2659" spans="1:5" x14ac:dyDescent="0.15">
      <c r="A2659" s="7">
        <v>2652</v>
      </c>
      <c r="B2659" s="7">
        <v>4</v>
      </c>
      <c r="C2659" s="7">
        <f t="shared" si="127"/>
        <v>1.8863004210024691E-2</v>
      </c>
      <c r="D2659" s="7">
        <f t="shared" si="128"/>
        <v>1.8861117909603688E-2</v>
      </c>
      <c r="E2659" s="7">
        <f t="shared" si="129"/>
        <v>-3.9706527294293466</v>
      </c>
    </row>
    <row r="2660" spans="1:5" x14ac:dyDescent="0.15">
      <c r="A2660" s="7">
        <v>2653</v>
      </c>
      <c r="B2660" s="7">
        <v>0</v>
      </c>
      <c r="C2660" s="7">
        <f t="shared" si="127"/>
        <v>0.75583605794746755</v>
      </c>
      <c r="D2660" s="7">
        <f t="shared" si="128"/>
        <v>0.75586047434167281</v>
      </c>
      <c r="E2660" s="7">
        <f t="shared" si="129"/>
        <v>-0.27989847758459119</v>
      </c>
    </row>
    <row r="2661" spans="1:5" x14ac:dyDescent="0.15">
      <c r="A2661" s="7">
        <v>2654</v>
      </c>
      <c r="B2661" s="7">
        <v>4</v>
      </c>
      <c r="C2661" s="7">
        <f t="shared" si="127"/>
        <v>1.8863004210024691E-2</v>
      </c>
      <c r="D2661" s="7">
        <f t="shared" si="128"/>
        <v>1.8861117909603688E-2</v>
      </c>
      <c r="E2661" s="7">
        <f t="shared" si="129"/>
        <v>-3.9706527294293466</v>
      </c>
    </row>
    <row r="2662" spans="1:5" x14ac:dyDescent="0.15">
      <c r="A2662" s="7">
        <v>2655</v>
      </c>
      <c r="B2662" s="7">
        <v>0</v>
      </c>
      <c r="C2662" s="7">
        <f t="shared" si="127"/>
        <v>0.75583605794746755</v>
      </c>
      <c r="D2662" s="7">
        <f t="shared" si="128"/>
        <v>0.75586047434167281</v>
      </c>
      <c r="E2662" s="7">
        <f t="shared" si="129"/>
        <v>-0.27989847758459119</v>
      </c>
    </row>
    <row r="2663" spans="1:5" x14ac:dyDescent="0.15">
      <c r="A2663" s="7">
        <v>2656</v>
      </c>
      <c r="B2663" s="7">
        <v>0</v>
      </c>
      <c r="C2663" s="7">
        <f t="shared" si="127"/>
        <v>0.75583605794746755</v>
      </c>
      <c r="D2663" s="7">
        <f t="shared" si="128"/>
        <v>0.75586047434167281</v>
      </c>
      <c r="E2663" s="7">
        <f t="shared" si="129"/>
        <v>-0.27989847758459119</v>
      </c>
    </row>
    <row r="2664" spans="1:5" x14ac:dyDescent="0.15">
      <c r="A2664" s="7">
        <v>2657</v>
      </c>
      <c r="B2664" s="7">
        <v>1</v>
      </c>
      <c r="C2664" s="7">
        <f t="shared" si="127"/>
        <v>8.8686757970141181E-2</v>
      </c>
      <c r="D2664" s="7">
        <f t="shared" si="128"/>
        <v>8.867788929434417E-2</v>
      </c>
      <c r="E2664" s="7">
        <f t="shared" si="129"/>
        <v>-2.4227446958891354</v>
      </c>
    </row>
    <row r="2665" spans="1:5" x14ac:dyDescent="0.15">
      <c r="A2665" s="7">
        <v>2658</v>
      </c>
      <c r="B2665" s="7">
        <v>10</v>
      </c>
      <c r="C2665" s="7">
        <f t="shared" si="127"/>
        <v>3.9008948573815809E-3</v>
      </c>
      <c r="D2665" s="7">
        <f t="shared" si="128"/>
        <v>3.9005047678958428E-3</v>
      </c>
      <c r="E2665" s="7">
        <f t="shared" si="129"/>
        <v>-5.546649306555973</v>
      </c>
    </row>
    <row r="2666" spans="1:5" x14ac:dyDescent="0.15">
      <c r="A2666" s="7">
        <v>2659</v>
      </c>
      <c r="B2666" s="7">
        <v>0</v>
      </c>
      <c r="C2666" s="7">
        <f t="shared" si="127"/>
        <v>0.75583605794746755</v>
      </c>
      <c r="D2666" s="7">
        <f t="shared" si="128"/>
        <v>0.75586047434167281</v>
      </c>
      <c r="E2666" s="7">
        <f t="shared" si="129"/>
        <v>-0.27989847758459119</v>
      </c>
    </row>
    <row r="2667" spans="1:5" x14ac:dyDescent="0.15">
      <c r="A2667" s="7">
        <v>2660</v>
      </c>
      <c r="B2667" s="7">
        <v>4</v>
      </c>
      <c r="C2667" s="7">
        <f t="shared" si="127"/>
        <v>1.8863004210024691E-2</v>
      </c>
      <c r="D2667" s="7">
        <f t="shared" si="128"/>
        <v>1.8861117909603688E-2</v>
      </c>
      <c r="E2667" s="7">
        <f t="shared" si="129"/>
        <v>-3.9706527294293466</v>
      </c>
    </row>
    <row r="2668" spans="1:5" x14ac:dyDescent="0.15">
      <c r="A2668" s="7">
        <v>2661</v>
      </c>
      <c r="B2668" s="7">
        <v>1</v>
      </c>
      <c r="C2668" s="7">
        <f t="shared" si="127"/>
        <v>8.8686757970141181E-2</v>
      </c>
      <c r="D2668" s="7">
        <f t="shared" si="128"/>
        <v>8.867788929434417E-2</v>
      </c>
      <c r="E2668" s="7">
        <f t="shared" si="129"/>
        <v>-2.4227446958891354</v>
      </c>
    </row>
    <row r="2669" spans="1:5" x14ac:dyDescent="0.15">
      <c r="A2669" s="7">
        <v>2662</v>
      </c>
      <c r="B2669" s="7">
        <v>0</v>
      </c>
      <c r="C2669" s="7">
        <f t="shared" si="127"/>
        <v>0.75583605794746755</v>
      </c>
      <c r="D2669" s="7">
        <f t="shared" si="128"/>
        <v>0.75586047434167281</v>
      </c>
      <c r="E2669" s="7">
        <f t="shared" si="129"/>
        <v>-0.27989847758459119</v>
      </c>
    </row>
    <row r="2670" spans="1:5" x14ac:dyDescent="0.15">
      <c r="A2670" s="7">
        <v>2663</v>
      </c>
      <c r="B2670" s="7">
        <v>0</v>
      </c>
      <c r="C2670" s="7">
        <f t="shared" si="127"/>
        <v>0.75583605794746755</v>
      </c>
      <c r="D2670" s="7">
        <f t="shared" si="128"/>
        <v>0.75586047434167281</v>
      </c>
      <c r="E2670" s="7">
        <f t="shared" si="129"/>
        <v>-0.27989847758459119</v>
      </c>
    </row>
    <row r="2671" spans="1:5" x14ac:dyDescent="0.15">
      <c r="A2671" s="7">
        <v>2664</v>
      </c>
      <c r="B2671" s="7">
        <v>0</v>
      </c>
      <c r="C2671" s="7">
        <f t="shared" si="127"/>
        <v>0.75583605794746755</v>
      </c>
      <c r="D2671" s="7">
        <f t="shared" si="128"/>
        <v>0.75586047434167281</v>
      </c>
      <c r="E2671" s="7">
        <f t="shared" si="129"/>
        <v>-0.27989847758459119</v>
      </c>
    </row>
    <row r="2672" spans="1:5" x14ac:dyDescent="0.15">
      <c r="A2672" s="7">
        <v>2665</v>
      </c>
      <c r="B2672" s="7">
        <v>0</v>
      </c>
      <c r="C2672" s="7">
        <f t="shared" si="127"/>
        <v>0.75583605794746755</v>
      </c>
      <c r="D2672" s="7">
        <f t="shared" si="128"/>
        <v>0.75586047434167281</v>
      </c>
      <c r="E2672" s="7">
        <f t="shared" si="129"/>
        <v>-0.27989847758459119</v>
      </c>
    </row>
    <row r="2673" spans="1:5" x14ac:dyDescent="0.15">
      <c r="A2673" s="7">
        <v>2666</v>
      </c>
      <c r="B2673" s="7">
        <v>17</v>
      </c>
      <c r="C2673" s="7">
        <f t="shared" si="127"/>
        <v>9.8090345872342056E-4</v>
      </c>
      <c r="D2673" s="7">
        <f t="shared" si="128"/>
        <v>9.8080536837754826E-4</v>
      </c>
      <c r="E2673" s="7">
        <f t="shared" si="129"/>
        <v>-6.9271365193291699</v>
      </c>
    </row>
    <row r="2674" spans="1:5" x14ac:dyDescent="0.15">
      <c r="A2674" s="7">
        <v>2667</v>
      </c>
      <c r="B2674" s="7">
        <v>1</v>
      </c>
      <c r="C2674" s="7">
        <f t="shared" si="127"/>
        <v>8.8686757970141181E-2</v>
      </c>
      <c r="D2674" s="7">
        <f t="shared" si="128"/>
        <v>8.867788929434417E-2</v>
      </c>
      <c r="E2674" s="7">
        <f t="shared" si="129"/>
        <v>-2.4227446958891354</v>
      </c>
    </row>
    <row r="2675" spans="1:5" x14ac:dyDescent="0.15">
      <c r="A2675" s="7">
        <v>2668</v>
      </c>
      <c r="B2675" s="7">
        <v>0</v>
      </c>
      <c r="C2675" s="7">
        <f t="shared" si="127"/>
        <v>0.75583605794746755</v>
      </c>
      <c r="D2675" s="7">
        <f t="shared" si="128"/>
        <v>0.75586047434167281</v>
      </c>
      <c r="E2675" s="7">
        <f t="shared" si="129"/>
        <v>-0.27989847758459119</v>
      </c>
    </row>
    <row r="2676" spans="1:5" x14ac:dyDescent="0.15">
      <c r="A2676" s="7">
        <v>2669</v>
      </c>
      <c r="B2676" s="7">
        <v>0</v>
      </c>
      <c r="C2676" s="7">
        <f t="shared" si="127"/>
        <v>0.75583605794746755</v>
      </c>
      <c r="D2676" s="7">
        <f t="shared" si="128"/>
        <v>0.75586047434167281</v>
      </c>
      <c r="E2676" s="7">
        <f t="shared" si="129"/>
        <v>-0.27989847758459119</v>
      </c>
    </row>
    <row r="2677" spans="1:5" x14ac:dyDescent="0.15">
      <c r="A2677" s="7">
        <v>2670</v>
      </c>
      <c r="B2677" s="7">
        <v>0</v>
      </c>
      <c r="C2677" s="7">
        <f t="shared" si="127"/>
        <v>0.75583605794746755</v>
      </c>
      <c r="D2677" s="7">
        <f t="shared" si="128"/>
        <v>0.75586047434167281</v>
      </c>
      <c r="E2677" s="7">
        <f t="shared" si="129"/>
        <v>-0.27989847758459119</v>
      </c>
    </row>
    <row r="2678" spans="1:5" x14ac:dyDescent="0.15">
      <c r="A2678" s="7">
        <v>2671</v>
      </c>
      <c r="B2678" s="7">
        <v>1</v>
      </c>
      <c r="C2678" s="7">
        <f t="shared" si="127"/>
        <v>8.8686757970141181E-2</v>
      </c>
      <c r="D2678" s="7">
        <f t="shared" si="128"/>
        <v>8.867788929434417E-2</v>
      </c>
      <c r="E2678" s="7">
        <f t="shared" si="129"/>
        <v>-2.4227446958891354</v>
      </c>
    </row>
    <row r="2679" spans="1:5" x14ac:dyDescent="0.15">
      <c r="A2679" s="7">
        <v>2672</v>
      </c>
      <c r="B2679" s="7">
        <v>0</v>
      </c>
      <c r="C2679" s="7">
        <f t="shared" si="127"/>
        <v>0.75583605794746755</v>
      </c>
      <c r="D2679" s="7">
        <f t="shared" si="128"/>
        <v>0.75586047434167281</v>
      </c>
      <c r="E2679" s="7">
        <f t="shared" si="129"/>
        <v>-0.27989847758459119</v>
      </c>
    </row>
    <row r="2680" spans="1:5" x14ac:dyDescent="0.15">
      <c r="A2680" s="7">
        <v>2673</v>
      </c>
      <c r="B2680" s="7">
        <v>0</v>
      </c>
      <c r="C2680" s="7">
        <f t="shared" si="127"/>
        <v>0.75583605794746755</v>
      </c>
      <c r="D2680" s="7">
        <f t="shared" si="128"/>
        <v>0.75586047434167281</v>
      </c>
      <c r="E2680" s="7">
        <f t="shared" si="129"/>
        <v>-0.27989847758459119</v>
      </c>
    </row>
    <row r="2681" spans="1:5" x14ac:dyDescent="0.15">
      <c r="A2681" s="7">
        <v>2674</v>
      </c>
      <c r="B2681" s="7">
        <v>0</v>
      </c>
      <c r="C2681" s="7">
        <f t="shared" si="127"/>
        <v>0.75583605794746755</v>
      </c>
      <c r="D2681" s="7">
        <f t="shared" si="128"/>
        <v>0.75586047434167281</v>
      </c>
      <c r="E2681" s="7">
        <f t="shared" si="129"/>
        <v>-0.27989847758459119</v>
      </c>
    </row>
    <row r="2682" spans="1:5" x14ac:dyDescent="0.15">
      <c r="A2682" s="7">
        <v>2675</v>
      </c>
      <c r="B2682" s="7">
        <v>0</v>
      </c>
      <c r="C2682" s="7">
        <f t="shared" si="127"/>
        <v>0.75583605794746755</v>
      </c>
      <c r="D2682" s="7">
        <f t="shared" si="128"/>
        <v>0.75586047434167281</v>
      </c>
      <c r="E2682" s="7">
        <f t="shared" si="129"/>
        <v>-0.27989847758459119</v>
      </c>
    </row>
    <row r="2683" spans="1:5" x14ac:dyDescent="0.15">
      <c r="A2683" s="7">
        <v>2676</v>
      </c>
      <c r="B2683" s="7">
        <v>0</v>
      </c>
      <c r="C2683" s="7">
        <f t="shared" si="127"/>
        <v>0.75583605794746755</v>
      </c>
      <c r="D2683" s="7">
        <f t="shared" si="128"/>
        <v>0.75586047434167281</v>
      </c>
      <c r="E2683" s="7">
        <f t="shared" si="129"/>
        <v>-0.27989847758459119</v>
      </c>
    </row>
    <row r="2684" spans="1:5" x14ac:dyDescent="0.15">
      <c r="A2684" s="7">
        <v>2677</v>
      </c>
      <c r="B2684" s="7">
        <v>0</v>
      </c>
      <c r="C2684" s="7">
        <f t="shared" si="127"/>
        <v>0.75583605794746755</v>
      </c>
      <c r="D2684" s="7">
        <f t="shared" si="128"/>
        <v>0.75586047434167281</v>
      </c>
      <c r="E2684" s="7">
        <f t="shared" si="129"/>
        <v>-0.27989847758459119</v>
      </c>
    </row>
    <row r="2685" spans="1:5" x14ac:dyDescent="0.15">
      <c r="A2685" s="7">
        <v>2678</v>
      </c>
      <c r="B2685" s="7">
        <v>0</v>
      </c>
      <c r="C2685" s="7">
        <f t="shared" si="127"/>
        <v>0.75583605794746755</v>
      </c>
      <c r="D2685" s="7">
        <f t="shared" si="128"/>
        <v>0.75586047434167281</v>
      </c>
      <c r="E2685" s="7">
        <f t="shared" si="129"/>
        <v>-0.27989847758459119</v>
      </c>
    </row>
    <row r="2686" spans="1:5" x14ac:dyDescent="0.15">
      <c r="A2686" s="7">
        <v>2679</v>
      </c>
      <c r="B2686" s="7">
        <v>0</v>
      </c>
      <c r="C2686" s="7">
        <f t="shared" si="127"/>
        <v>0.75583605794746755</v>
      </c>
      <c r="D2686" s="7">
        <f t="shared" si="128"/>
        <v>0.75586047434167281</v>
      </c>
      <c r="E2686" s="7">
        <f t="shared" si="129"/>
        <v>-0.27989847758459119</v>
      </c>
    </row>
    <row r="2687" spans="1:5" x14ac:dyDescent="0.15">
      <c r="A2687" s="7">
        <v>2680</v>
      </c>
      <c r="B2687" s="7">
        <v>0</v>
      </c>
      <c r="C2687" s="7">
        <f t="shared" si="127"/>
        <v>0.75583605794746755</v>
      </c>
      <c r="D2687" s="7">
        <f t="shared" si="128"/>
        <v>0.75586047434167281</v>
      </c>
      <c r="E2687" s="7">
        <f t="shared" si="129"/>
        <v>-0.27989847758459119</v>
      </c>
    </row>
    <row r="2688" spans="1:5" x14ac:dyDescent="0.15">
      <c r="A2688" s="7">
        <v>2681</v>
      </c>
      <c r="B2688" s="7">
        <v>0</v>
      </c>
      <c r="C2688" s="7">
        <f t="shared" si="127"/>
        <v>0.75583605794746755</v>
      </c>
      <c r="D2688" s="7">
        <f t="shared" si="128"/>
        <v>0.75586047434167281</v>
      </c>
      <c r="E2688" s="7">
        <f t="shared" si="129"/>
        <v>-0.27989847758459119</v>
      </c>
    </row>
    <row r="2689" spans="1:5" x14ac:dyDescent="0.15">
      <c r="A2689" s="7">
        <v>2682</v>
      </c>
      <c r="B2689" s="7">
        <v>0</v>
      </c>
      <c r="C2689" s="7">
        <f t="shared" si="127"/>
        <v>0.75583605794746755</v>
      </c>
      <c r="D2689" s="7">
        <f t="shared" si="128"/>
        <v>0.75586047434167281</v>
      </c>
      <c r="E2689" s="7">
        <f t="shared" si="129"/>
        <v>-0.27989847758459119</v>
      </c>
    </row>
    <row r="2690" spans="1:5" x14ac:dyDescent="0.15">
      <c r="A2690" s="7">
        <v>2683</v>
      </c>
      <c r="B2690" s="7">
        <v>0</v>
      </c>
      <c r="C2690" s="7">
        <f t="shared" si="127"/>
        <v>0.75583605794746755</v>
      </c>
      <c r="D2690" s="7">
        <f t="shared" si="128"/>
        <v>0.75586047434167281</v>
      </c>
      <c r="E2690" s="7">
        <f t="shared" si="129"/>
        <v>-0.27989847758459119</v>
      </c>
    </row>
    <row r="2691" spans="1:5" x14ac:dyDescent="0.15">
      <c r="A2691" s="7">
        <v>2684</v>
      </c>
      <c r="B2691" s="7">
        <v>0</v>
      </c>
      <c r="C2691" s="7">
        <f t="shared" si="127"/>
        <v>0.75583605794746755</v>
      </c>
      <c r="D2691" s="7">
        <f t="shared" si="128"/>
        <v>0.75586047434167281</v>
      </c>
      <c r="E2691" s="7">
        <f t="shared" si="129"/>
        <v>-0.27989847758459119</v>
      </c>
    </row>
    <row r="2692" spans="1:5" x14ac:dyDescent="0.15">
      <c r="A2692" s="7">
        <v>2685</v>
      </c>
      <c r="B2692" s="7">
        <v>0</v>
      </c>
      <c r="C2692" s="7">
        <f t="shared" si="127"/>
        <v>0.75583605794746755</v>
      </c>
      <c r="D2692" s="7">
        <f t="shared" si="128"/>
        <v>0.75586047434167281</v>
      </c>
      <c r="E2692" s="7">
        <f t="shared" si="129"/>
        <v>-0.27989847758459119</v>
      </c>
    </row>
    <row r="2693" spans="1:5" x14ac:dyDescent="0.15">
      <c r="A2693" s="7">
        <v>2686</v>
      </c>
      <c r="B2693" s="7">
        <v>0</v>
      </c>
      <c r="C2693" s="7">
        <f t="shared" si="127"/>
        <v>0.75583605794746755</v>
      </c>
      <c r="D2693" s="7">
        <f t="shared" si="128"/>
        <v>0.75586047434167281</v>
      </c>
      <c r="E2693" s="7">
        <f t="shared" si="129"/>
        <v>-0.27989847758459119</v>
      </c>
    </row>
    <row r="2694" spans="1:5" x14ac:dyDescent="0.15">
      <c r="A2694" s="7">
        <v>2687</v>
      </c>
      <c r="B2694" s="7">
        <v>0</v>
      </c>
      <c r="C2694" s="7">
        <f t="shared" si="127"/>
        <v>0.75583605794746755</v>
      </c>
      <c r="D2694" s="7">
        <f t="shared" si="128"/>
        <v>0.75586047434167281</v>
      </c>
      <c r="E2694" s="7">
        <f t="shared" si="129"/>
        <v>-0.27989847758459119</v>
      </c>
    </row>
    <row r="2695" spans="1:5" x14ac:dyDescent="0.15">
      <c r="A2695" s="7">
        <v>2688</v>
      </c>
      <c r="B2695" s="7">
        <v>0</v>
      </c>
      <c r="C2695" s="7">
        <f t="shared" si="127"/>
        <v>0.75583605794746755</v>
      </c>
      <c r="D2695" s="7">
        <f t="shared" si="128"/>
        <v>0.75586047434167281</v>
      </c>
      <c r="E2695" s="7">
        <f t="shared" si="129"/>
        <v>-0.27989847758459119</v>
      </c>
    </row>
    <row r="2696" spans="1:5" x14ac:dyDescent="0.15">
      <c r="A2696" s="7">
        <v>2689</v>
      </c>
      <c r="B2696" s="7">
        <v>0</v>
      </c>
      <c r="C2696" s="7">
        <f t="shared" si="127"/>
        <v>0.75583605794746755</v>
      </c>
      <c r="D2696" s="7">
        <f t="shared" si="128"/>
        <v>0.75586047434167281</v>
      </c>
      <c r="E2696" s="7">
        <f t="shared" si="129"/>
        <v>-0.27989847758459119</v>
      </c>
    </row>
    <row r="2697" spans="1:5" x14ac:dyDescent="0.15">
      <c r="A2697" s="7">
        <v>2690</v>
      </c>
      <c r="B2697" s="7">
        <v>0</v>
      </c>
      <c r="C2697" s="7">
        <f t="shared" ref="C2697:C2735" si="130">(_xlfn.GAMMA($B$1+B2697)/(_xlfn.GAMMA($B$1)*FACT(B2697))) * ($B$2/($B$2+$B$5))^$B$1 * (1/($B$2 +$B$5))^B2697</f>
        <v>0.75583605794746755</v>
      </c>
      <c r="D2697" s="7">
        <f t="shared" ref="D2697:D2735" si="131" xml:space="preserve"> IF(B2697 = 0, $B$3 + (1-$B$3) * C2697, (1-$B$3) *C2697)</f>
        <v>0.75586047434167281</v>
      </c>
      <c r="E2697" s="7">
        <f t="shared" ref="E2697:E2735" si="132">LN(D2697)</f>
        <v>-0.27989847758459119</v>
      </c>
    </row>
    <row r="2698" spans="1:5" x14ac:dyDescent="0.15">
      <c r="A2698" s="7">
        <v>2691</v>
      </c>
      <c r="B2698" s="7">
        <v>0</v>
      </c>
      <c r="C2698" s="7">
        <f t="shared" si="130"/>
        <v>0.75583605794746755</v>
      </c>
      <c r="D2698" s="7">
        <f t="shared" si="131"/>
        <v>0.75586047434167281</v>
      </c>
      <c r="E2698" s="7">
        <f t="shared" si="132"/>
        <v>-0.27989847758459119</v>
      </c>
    </row>
    <row r="2699" spans="1:5" x14ac:dyDescent="0.15">
      <c r="A2699" s="7">
        <v>2692</v>
      </c>
      <c r="B2699" s="7">
        <v>0</v>
      </c>
      <c r="C2699" s="7">
        <f t="shared" si="130"/>
        <v>0.75583605794746755</v>
      </c>
      <c r="D2699" s="7">
        <f t="shared" si="131"/>
        <v>0.75586047434167281</v>
      </c>
      <c r="E2699" s="7">
        <f t="shared" si="132"/>
        <v>-0.27989847758459119</v>
      </c>
    </row>
    <row r="2700" spans="1:5" x14ac:dyDescent="0.15">
      <c r="A2700" s="7">
        <v>2693</v>
      </c>
      <c r="B2700" s="7">
        <v>0</v>
      </c>
      <c r="C2700" s="7">
        <f t="shared" si="130"/>
        <v>0.75583605794746755</v>
      </c>
      <c r="D2700" s="7">
        <f t="shared" si="131"/>
        <v>0.75586047434167281</v>
      </c>
      <c r="E2700" s="7">
        <f t="shared" si="132"/>
        <v>-0.27989847758459119</v>
      </c>
    </row>
    <row r="2701" spans="1:5" x14ac:dyDescent="0.15">
      <c r="A2701" s="7">
        <v>2694</v>
      </c>
      <c r="B2701" s="7">
        <v>0</v>
      </c>
      <c r="C2701" s="7">
        <f t="shared" si="130"/>
        <v>0.75583605794746755</v>
      </c>
      <c r="D2701" s="7">
        <f t="shared" si="131"/>
        <v>0.75586047434167281</v>
      </c>
      <c r="E2701" s="7">
        <f t="shared" si="132"/>
        <v>-0.27989847758459119</v>
      </c>
    </row>
    <row r="2702" spans="1:5" x14ac:dyDescent="0.15">
      <c r="A2702" s="7">
        <v>2695</v>
      </c>
      <c r="B2702" s="7">
        <v>0</v>
      </c>
      <c r="C2702" s="7">
        <f t="shared" si="130"/>
        <v>0.75583605794746755</v>
      </c>
      <c r="D2702" s="7">
        <f t="shared" si="131"/>
        <v>0.75586047434167281</v>
      </c>
      <c r="E2702" s="7">
        <f t="shared" si="132"/>
        <v>-0.27989847758459119</v>
      </c>
    </row>
    <row r="2703" spans="1:5" x14ac:dyDescent="0.15">
      <c r="A2703" s="7">
        <v>2696</v>
      </c>
      <c r="B2703" s="7">
        <v>0</v>
      </c>
      <c r="C2703" s="7">
        <f t="shared" si="130"/>
        <v>0.75583605794746755</v>
      </c>
      <c r="D2703" s="7">
        <f t="shared" si="131"/>
        <v>0.75586047434167281</v>
      </c>
      <c r="E2703" s="7">
        <f t="shared" si="132"/>
        <v>-0.27989847758459119</v>
      </c>
    </row>
    <row r="2704" spans="1:5" x14ac:dyDescent="0.15">
      <c r="A2704" s="7">
        <v>2697</v>
      </c>
      <c r="B2704" s="7">
        <v>49</v>
      </c>
      <c r="C2704" s="7">
        <f t="shared" si="130"/>
        <v>5.7712851294639359E-6</v>
      </c>
      <c r="D2704" s="7">
        <f t="shared" si="131"/>
        <v>5.7707080009509892E-6</v>
      </c>
      <c r="E2704" s="7">
        <f t="shared" si="132"/>
        <v>-12.062715781167432</v>
      </c>
    </row>
    <row r="2705" spans="1:5" x14ac:dyDescent="0.15">
      <c r="A2705" s="7">
        <v>2698</v>
      </c>
      <c r="B2705" s="7">
        <v>0</v>
      </c>
      <c r="C2705" s="7">
        <f t="shared" si="130"/>
        <v>0.75583605794746755</v>
      </c>
      <c r="D2705" s="7">
        <f t="shared" si="131"/>
        <v>0.75586047434167281</v>
      </c>
      <c r="E2705" s="7">
        <f t="shared" si="132"/>
        <v>-0.27989847758459119</v>
      </c>
    </row>
    <row r="2706" spans="1:5" x14ac:dyDescent="0.15">
      <c r="A2706" s="7">
        <v>2699</v>
      </c>
      <c r="B2706" s="7">
        <v>0</v>
      </c>
      <c r="C2706" s="7">
        <f t="shared" si="130"/>
        <v>0.75583605794746755</v>
      </c>
      <c r="D2706" s="7">
        <f t="shared" si="131"/>
        <v>0.75586047434167281</v>
      </c>
      <c r="E2706" s="7">
        <f t="shared" si="132"/>
        <v>-0.27989847758459119</v>
      </c>
    </row>
    <row r="2707" spans="1:5" x14ac:dyDescent="0.15">
      <c r="A2707" s="7">
        <v>2700</v>
      </c>
      <c r="B2707" s="7">
        <v>0</v>
      </c>
      <c r="C2707" s="7">
        <f t="shared" si="130"/>
        <v>0.75583605794746755</v>
      </c>
      <c r="D2707" s="7">
        <f t="shared" si="131"/>
        <v>0.75586047434167281</v>
      </c>
      <c r="E2707" s="7">
        <f t="shared" si="132"/>
        <v>-0.27989847758459119</v>
      </c>
    </row>
    <row r="2708" spans="1:5" x14ac:dyDescent="0.15">
      <c r="A2708" s="7">
        <v>2701</v>
      </c>
      <c r="B2708" s="7">
        <v>0</v>
      </c>
      <c r="C2708" s="7">
        <f t="shared" si="130"/>
        <v>0.75583605794746755</v>
      </c>
      <c r="D2708" s="7">
        <f t="shared" si="131"/>
        <v>0.75586047434167281</v>
      </c>
      <c r="E2708" s="7">
        <f t="shared" si="132"/>
        <v>-0.27989847758459119</v>
      </c>
    </row>
    <row r="2709" spans="1:5" x14ac:dyDescent="0.15">
      <c r="A2709" s="7">
        <v>2702</v>
      </c>
      <c r="B2709" s="7">
        <v>0</v>
      </c>
      <c r="C2709" s="7">
        <f t="shared" si="130"/>
        <v>0.75583605794746755</v>
      </c>
      <c r="D2709" s="7">
        <f t="shared" si="131"/>
        <v>0.75586047434167281</v>
      </c>
      <c r="E2709" s="7">
        <f t="shared" si="132"/>
        <v>-0.27989847758459119</v>
      </c>
    </row>
    <row r="2710" spans="1:5" x14ac:dyDescent="0.15">
      <c r="A2710" s="7">
        <v>2703</v>
      </c>
      <c r="B2710" s="7">
        <v>0</v>
      </c>
      <c r="C2710" s="7">
        <f t="shared" si="130"/>
        <v>0.75583605794746755</v>
      </c>
      <c r="D2710" s="7">
        <f t="shared" si="131"/>
        <v>0.75586047434167281</v>
      </c>
      <c r="E2710" s="7">
        <f t="shared" si="132"/>
        <v>-0.27989847758459119</v>
      </c>
    </row>
    <row r="2711" spans="1:5" x14ac:dyDescent="0.15">
      <c r="A2711" s="7">
        <v>2704</v>
      </c>
      <c r="B2711" s="7">
        <v>0</v>
      </c>
      <c r="C2711" s="7">
        <f t="shared" si="130"/>
        <v>0.75583605794746755</v>
      </c>
      <c r="D2711" s="7">
        <f t="shared" si="131"/>
        <v>0.75586047434167281</v>
      </c>
      <c r="E2711" s="7">
        <f t="shared" si="132"/>
        <v>-0.27989847758459119</v>
      </c>
    </row>
    <row r="2712" spans="1:5" x14ac:dyDescent="0.15">
      <c r="A2712" s="7">
        <v>2705</v>
      </c>
      <c r="B2712" s="7">
        <v>6</v>
      </c>
      <c r="C2712" s="7">
        <f t="shared" si="130"/>
        <v>1.0249964283711298E-2</v>
      </c>
      <c r="D2712" s="7">
        <f t="shared" si="131"/>
        <v>1.0248939287282927E-2</v>
      </c>
      <c r="E2712" s="7">
        <f t="shared" si="132"/>
        <v>-4.5805810629200954</v>
      </c>
    </row>
    <row r="2713" spans="1:5" x14ac:dyDescent="0.15">
      <c r="A2713" s="7">
        <v>2706</v>
      </c>
      <c r="B2713" s="7">
        <v>0</v>
      </c>
      <c r="C2713" s="7">
        <f t="shared" si="130"/>
        <v>0.75583605794746755</v>
      </c>
      <c r="D2713" s="7">
        <f t="shared" si="131"/>
        <v>0.75586047434167281</v>
      </c>
      <c r="E2713" s="7">
        <f t="shared" si="132"/>
        <v>-0.27989847758459119</v>
      </c>
    </row>
    <row r="2714" spans="1:5" x14ac:dyDescent="0.15">
      <c r="A2714" s="7">
        <v>2707</v>
      </c>
      <c r="B2714" s="7">
        <v>1</v>
      </c>
      <c r="C2714" s="7">
        <f t="shared" si="130"/>
        <v>8.8686757970141181E-2</v>
      </c>
      <c r="D2714" s="7">
        <f t="shared" si="131"/>
        <v>8.867788929434417E-2</v>
      </c>
      <c r="E2714" s="7">
        <f t="shared" si="132"/>
        <v>-2.4227446958891354</v>
      </c>
    </row>
    <row r="2715" spans="1:5" x14ac:dyDescent="0.15">
      <c r="A2715" s="7">
        <v>2708</v>
      </c>
      <c r="B2715" s="7">
        <v>4</v>
      </c>
      <c r="C2715" s="7">
        <f t="shared" si="130"/>
        <v>1.8863004210024691E-2</v>
      </c>
      <c r="D2715" s="7">
        <f t="shared" si="131"/>
        <v>1.8861117909603688E-2</v>
      </c>
      <c r="E2715" s="7">
        <f t="shared" si="132"/>
        <v>-3.9706527294293466</v>
      </c>
    </row>
    <row r="2716" spans="1:5" x14ac:dyDescent="0.15">
      <c r="A2716" s="7">
        <v>2709</v>
      </c>
      <c r="B2716" s="7">
        <v>0</v>
      </c>
      <c r="C2716" s="7">
        <f t="shared" si="130"/>
        <v>0.75583605794746755</v>
      </c>
      <c r="D2716" s="7">
        <f t="shared" si="131"/>
        <v>0.75586047434167281</v>
      </c>
      <c r="E2716" s="7">
        <f t="shared" si="132"/>
        <v>-0.27989847758459119</v>
      </c>
    </row>
    <row r="2717" spans="1:5" x14ac:dyDescent="0.15">
      <c r="A2717" s="7">
        <v>2710</v>
      </c>
      <c r="B2717" s="7">
        <v>0</v>
      </c>
      <c r="C2717" s="7">
        <f t="shared" si="130"/>
        <v>0.75583605794746755</v>
      </c>
      <c r="D2717" s="7">
        <f t="shared" si="131"/>
        <v>0.75586047434167281</v>
      </c>
      <c r="E2717" s="7">
        <f t="shared" si="132"/>
        <v>-0.27989847758459119</v>
      </c>
    </row>
    <row r="2718" spans="1:5" x14ac:dyDescent="0.15">
      <c r="A2718" s="7">
        <v>2711</v>
      </c>
      <c r="B2718" s="7">
        <v>0</v>
      </c>
      <c r="C2718" s="7">
        <f t="shared" si="130"/>
        <v>0.75583605794746755</v>
      </c>
      <c r="D2718" s="7">
        <f t="shared" si="131"/>
        <v>0.75586047434167281</v>
      </c>
      <c r="E2718" s="7">
        <f t="shared" si="132"/>
        <v>-0.27989847758459119</v>
      </c>
    </row>
    <row r="2719" spans="1:5" x14ac:dyDescent="0.15">
      <c r="A2719" s="7">
        <v>2712</v>
      </c>
      <c r="B2719" s="7">
        <v>0</v>
      </c>
      <c r="C2719" s="7">
        <f t="shared" si="130"/>
        <v>0.75583605794746755</v>
      </c>
      <c r="D2719" s="7">
        <f t="shared" si="131"/>
        <v>0.75586047434167281</v>
      </c>
      <c r="E2719" s="7">
        <f t="shared" si="132"/>
        <v>-0.27989847758459119</v>
      </c>
    </row>
    <row r="2720" spans="1:5" x14ac:dyDescent="0.15">
      <c r="A2720" s="7">
        <v>2713</v>
      </c>
      <c r="B2720" s="7">
        <v>0</v>
      </c>
      <c r="C2720" s="7">
        <f t="shared" si="130"/>
        <v>0.75583605794746755</v>
      </c>
      <c r="D2720" s="7">
        <f t="shared" si="131"/>
        <v>0.75586047434167281</v>
      </c>
      <c r="E2720" s="7">
        <f t="shared" si="132"/>
        <v>-0.27989847758459119</v>
      </c>
    </row>
    <row r="2721" spans="1:5" x14ac:dyDescent="0.15">
      <c r="A2721" s="7">
        <v>2714</v>
      </c>
      <c r="B2721" s="7">
        <v>0</v>
      </c>
      <c r="C2721" s="7">
        <f t="shared" si="130"/>
        <v>0.75583605794746755</v>
      </c>
      <c r="D2721" s="7">
        <f t="shared" si="131"/>
        <v>0.75586047434167281</v>
      </c>
      <c r="E2721" s="7">
        <f t="shared" si="132"/>
        <v>-0.27989847758459119</v>
      </c>
    </row>
    <row r="2722" spans="1:5" x14ac:dyDescent="0.15">
      <c r="A2722" s="7">
        <v>2715</v>
      </c>
      <c r="B2722" s="7">
        <v>2</v>
      </c>
      <c r="C2722" s="7">
        <f t="shared" si="130"/>
        <v>4.4066701399555049E-2</v>
      </c>
      <c r="D2722" s="7">
        <f t="shared" si="131"/>
        <v>4.4062294729415093E-2</v>
      </c>
      <c r="E2722" s="7">
        <f t="shared" si="132"/>
        <v>-3.1221508570437044</v>
      </c>
    </row>
    <row r="2723" spans="1:5" x14ac:dyDescent="0.15">
      <c r="A2723" s="7">
        <v>2716</v>
      </c>
      <c r="B2723" s="7">
        <v>0</v>
      </c>
      <c r="C2723" s="7">
        <f t="shared" si="130"/>
        <v>0.75583605794746755</v>
      </c>
      <c r="D2723" s="7">
        <f t="shared" si="131"/>
        <v>0.75586047434167281</v>
      </c>
      <c r="E2723" s="7">
        <f t="shared" si="132"/>
        <v>-0.27989847758459119</v>
      </c>
    </row>
    <row r="2724" spans="1:5" x14ac:dyDescent="0.15">
      <c r="A2724" s="7">
        <v>2717</v>
      </c>
      <c r="B2724" s="7">
        <v>1</v>
      </c>
      <c r="C2724" s="7">
        <f t="shared" si="130"/>
        <v>8.8686757970141181E-2</v>
      </c>
      <c r="D2724" s="7">
        <f t="shared" si="131"/>
        <v>8.867788929434417E-2</v>
      </c>
      <c r="E2724" s="7">
        <f t="shared" si="132"/>
        <v>-2.4227446958891354</v>
      </c>
    </row>
    <row r="2725" spans="1:5" x14ac:dyDescent="0.15">
      <c r="A2725" s="7">
        <v>2718</v>
      </c>
      <c r="B2725" s="7">
        <v>0</v>
      </c>
      <c r="C2725" s="7">
        <f t="shared" si="130"/>
        <v>0.75583605794746755</v>
      </c>
      <c r="D2725" s="7">
        <f t="shared" si="131"/>
        <v>0.75586047434167281</v>
      </c>
      <c r="E2725" s="7">
        <f t="shared" si="132"/>
        <v>-0.27989847758459119</v>
      </c>
    </row>
    <row r="2726" spans="1:5" x14ac:dyDescent="0.15">
      <c r="A2726" s="7">
        <v>2719</v>
      </c>
      <c r="B2726" s="7">
        <v>0</v>
      </c>
      <c r="C2726" s="7">
        <f t="shared" si="130"/>
        <v>0.75583605794746755</v>
      </c>
      <c r="D2726" s="7">
        <f t="shared" si="131"/>
        <v>0.75586047434167281</v>
      </c>
      <c r="E2726" s="7">
        <f t="shared" si="132"/>
        <v>-0.27989847758459119</v>
      </c>
    </row>
    <row r="2727" spans="1:5" x14ac:dyDescent="0.15">
      <c r="A2727" s="7">
        <v>2720</v>
      </c>
      <c r="B2727" s="7">
        <v>0</v>
      </c>
      <c r="C2727" s="7">
        <f t="shared" si="130"/>
        <v>0.75583605794746755</v>
      </c>
      <c r="D2727" s="7">
        <f t="shared" si="131"/>
        <v>0.75586047434167281</v>
      </c>
      <c r="E2727" s="7">
        <f t="shared" si="132"/>
        <v>-0.27989847758459119</v>
      </c>
    </row>
    <row r="2728" spans="1:5" x14ac:dyDescent="0.15">
      <c r="A2728" s="7">
        <v>2721</v>
      </c>
      <c r="B2728" s="7">
        <v>0</v>
      </c>
      <c r="C2728" s="7">
        <f t="shared" si="130"/>
        <v>0.75583605794746755</v>
      </c>
      <c r="D2728" s="7">
        <f t="shared" si="131"/>
        <v>0.75586047434167281</v>
      </c>
      <c r="E2728" s="7">
        <f t="shared" si="132"/>
        <v>-0.27989847758459119</v>
      </c>
    </row>
    <row r="2729" spans="1:5" x14ac:dyDescent="0.15">
      <c r="A2729" s="7">
        <v>2722</v>
      </c>
      <c r="B2729" s="7">
        <v>0</v>
      </c>
      <c r="C2729" s="7">
        <f t="shared" si="130"/>
        <v>0.75583605794746755</v>
      </c>
      <c r="D2729" s="7">
        <f t="shared" si="131"/>
        <v>0.75586047434167281</v>
      </c>
      <c r="E2729" s="7">
        <f t="shared" si="132"/>
        <v>-0.27989847758459119</v>
      </c>
    </row>
    <row r="2730" spans="1:5" x14ac:dyDescent="0.15">
      <c r="A2730" s="7">
        <v>2723</v>
      </c>
      <c r="B2730" s="7">
        <v>0</v>
      </c>
      <c r="C2730" s="7">
        <f t="shared" si="130"/>
        <v>0.75583605794746755</v>
      </c>
      <c r="D2730" s="7">
        <f t="shared" si="131"/>
        <v>0.75586047434167281</v>
      </c>
      <c r="E2730" s="7">
        <f t="shared" si="132"/>
        <v>-0.27989847758459119</v>
      </c>
    </row>
    <row r="2731" spans="1:5" x14ac:dyDescent="0.15">
      <c r="A2731" s="7">
        <v>2724</v>
      </c>
      <c r="B2731" s="7">
        <v>0</v>
      </c>
      <c r="C2731" s="7">
        <f t="shared" si="130"/>
        <v>0.75583605794746755</v>
      </c>
      <c r="D2731" s="7">
        <f t="shared" si="131"/>
        <v>0.75586047434167281</v>
      </c>
      <c r="E2731" s="7">
        <f t="shared" si="132"/>
        <v>-0.27989847758459119</v>
      </c>
    </row>
    <row r="2732" spans="1:5" x14ac:dyDescent="0.15">
      <c r="A2732" s="7">
        <v>2725</v>
      </c>
      <c r="B2732" s="7">
        <v>0</v>
      </c>
      <c r="C2732" s="7">
        <f t="shared" si="130"/>
        <v>0.75583605794746755</v>
      </c>
      <c r="D2732" s="7">
        <f t="shared" si="131"/>
        <v>0.75586047434167281</v>
      </c>
      <c r="E2732" s="7">
        <f t="shared" si="132"/>
        <v>-0.27989847758459119</v>
      </c>
    </row>
    <row r="2733" spans="1:5" x14ac:dyDescent="0.15">
      <c r="A2733" s="7">
        <v>2726</v>
      </c>
      <c r="B2733" s="7">
        <v>0</v>
      </c>
      <c r="C2733" s="7">
        <f t="shared" si="130"/>
        <v>0.75583605794746755</v>
      </c>
      <c r="D2733" s="7">
        <f t="shared" si="131"/>
        <v>0.75586047434167281</v>
      </c>
      <c r="E2733" s="7">
        <f t="shared" si="132"/>
        <v>-0.27989847758459119</v>
      </c>
    </row>
    <row r="2734" spans="1:5" x14ac:dyDescent="0.15">
      <c r="A2734" s="7">
        <v>2727</v>
      </c>
      <c r="B2734" s="7">
        <v>0</v>
      </c>
      <c r="C2734" s="7">
        <f t="shared" si="130"/>
        <v>0.75583605794746755</v>
      </c>
      <c r="D2734" s="7">
        <f t="shared" si="131"/>
        <v>0.75586047434167281</v>
      </c>
      <c r="E2734" s="7">
        <f t="shared" si="132"/>
        <v>-0.27989847758459119</v>
      </c>
    </row>
    <row r="2735" spans="1:5" x14ac:dyDescent="0.15">
      <c r="A2735" s="7">
        <v>2728</v>
      </c>
      <c r="B2735" s="7">
        <v>0</v>
      </c>
      <c r="C2735" s="7">
        <f t="shared" si="130"/>
        <v>0.75583605794746755</v>
      </c>
      <c r="D2735" s="7">
        <f t="shared" si="131"/>
        <v>0.75586047434167281</v>
      </c>
      <c r="E2735" s="7">
        <f t="shared" si="132"/>
        <v>-0.27989847758459119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zoomScale="125" workbookViewId="0">
      <selection activeCell="H20" sqref="H20"/>
    </sheetView>
  </sheetViews>
  <sheetFormatPr baseColWidth="10" defaultColWidth="8.83203125" defaultRowHeight="13" x14ac:dyDescent="0.15"/>
  <cols>
    <col min="1" max="1" width="9.83203125" bestFit="1" customWidth="1"/>
    <col min="2" max="2" width="6.6640625" customWidth="1"/>
  </cols>
  <sheetData>
    <row r="1" spans="1:2" x14ac:dyDescent="0.15">
      <c r="A1" s="2" t="s">
        <v>1</v>
      </c>
      <c r="B1" s="1" t="s">
        <v>2</v>
      </c>
    </row>
    <row r="2" spans="1:2" x14ac:dyDescent="0.15">
      <c r="A2" s="2">
        <v>1</v>
      </c>
      <c r="B2" s="1">
        <v>750</v>
      </c>
    </row>
    <row r="3" spans="1:2" x14ac:dyDescent="0.15">
      <c r="A3" s="2">
        <v>2</v>
      </c>
      <c r="B3" s="1">
        <v>383</v>
      </c>
    </row>
    <row r="4" spans="1:2" x14ac:dyDescent="0.15">
      <c r="A4" s="2">
        <v>3</v>
      </c>
      <c r="B4" s="1">
        <v>191</v>
      </c>
    </row>
    <row r="5" spans="1:2" x14ac:dyDescent="0.15">
      <c r="A5" s="2">
        <v>4</v>
      </c>
      <c r="B5" s="1">
        <v>95</v>
      </c>
    </row>
    <row r="6" spans="1:2" x14ac:dyDescent="0.15">
      <c r="A6" s="2">
        <v>5</v>
      </c>
      <c r="B6" s="1">
        <v>55</v>
      </c>
    </row>
    <row r="7" spans="1:2" x14ac:dyDescent="0.15">
      <c r="A7" s="2">
        <v>6</v>
      </c>
      <c r="B7" s="1">
        <v>36</v>
      </c>
    </row>
    <row r="8" spans="1:2" x14ac:dyDescent="0.15">
      <c r="A8" s="2">
        <v>7</v>
      </c>
      <c r="B8" s="1">
        <v>18</v>
      </c>
    </row>
    <row r="9" spans="1:2" x14ac:dyDescent="0.15">
      <c r="A9" s="2">
        <v>8</v>
      </c>
      <c r="B9" s="1">
        <v>12</v>
      </c>
    </row>
    <row r="10" spans="1:2" x14ac:dyDescent="0.15">
      <c r="A10" s="2">
        <v>9</v>
      </c>
      <c r="B10" s="1">
        <v>9</v>
      </c>
    </row>
    <row r="11" spans="1:2" x14ac:dyDescent="0.15">
      <c r="A11" s="2" t="s">
        <v>0</v>
      </c>
      <c r="B11" s="1">
        <v>25</v>
      </c>
    </row>
  </sheetData>
  <phoneticPr fontId="0" type="noConversion"/>
  <printOptions horizontalCentered="1" verticalCentered="1"/>
  <pageMargins left="0.74803149606299213" right="0.74803149606299213" top="0.98425196850393704" bottom="0.98425196850393704" header="0.51181102362204722" footer="0.51181102362204722"/>
  <pageSetup orientation="landscape" r:id="rId1"/>
  <headerFooter alignWithMargins="0">
    <oddHeader>&amp;A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83E2A-B12C-8C4A-8ACD-377706B2AF16}">
  <dimension ref="A1:G21"/>
  <sheetViews>
    <sheetView tabSelected="1" zoomScale="107" workbookViewId="0">
      <selection activeCell="M33" sqref="M33"/>
    </sheetView>
  </sheetViews>
  <sheetFormatPr baseColWidth="10" defaultRowHeight="13" x14ac:dyDescent="0.15"/>
  <cols>
    <col min="8" max="8" width="12.33203125" bestFit="1" customWidth="1"/>
  </cols>
  <sheetData>
    <row r="1" spans="1:7" x14ac:dyDescent="0.15">
      <c r="A1" s="7" t="s">
        <v>18</v>
      </c>
      <c r="B1">
        <v>0.70468111167386316</v>
      </c>
    </row>
    <row r="2" spans="1:7" x14ac:dyDescent="0.15">
      <c r="A2" s="7" t="s">
        <v>19</v>
      </c>
      <c r="B2">
        <v>0.5599313646185079</v>
      </c>
    </row>
    <row r="3" spans="1:7" x14ac:dyDescent="0.15">
      <c r="A3" s="7" t="s">
        <v>17</v>
      </c>
      <c r="B3">
        <f>SUM(D8:D17)</f>
        <v>-2384.1890334883128</v>
      </c>
    </row>
    <row r="4" spans="1:7" x14ac:dyDescent="0.15">
      <c r="A4" s="7" t="s">
        <v>20</v>
      </c>
      <c r="B4">
        <v>1</v>
      </c>
    </row>
    <row r="6" spans="1:7" x14ac:dyDescent="0.15">
      <c r="A6" s="13" t="s">
        <v>1</v>
      </c>
      <c r="B6" s="14" t="s">
        <v>2</v>
      </c>
      <c r="C6" s="7" t="s">
        <v>32</v>
      </c>
      <c r="D6" s="7" t="s">
        <v>33</v>
      </c>
      <c r="E6" s="7" t="s">
        <v>46</v>
      </c>
      <c r="F6" s="7" t="s">
        <v>23</v>
      </c>
      <c r="G6" s="14"/>
    </row>
    <row r="7" spans="1:7" x14ac:dyDescent="0.15">
      <c r="A7">
        <v>0</v>
      </c>
    </row>
    <row r="8" spans="1:7" x14ac:dyDescent="0.15">
      <c r="A8" s="13">
        <v>1</v>
      </c>
      <c r="B8" s="14">
        <v>750</v>
      </c>
      <c r="C8">
        <f>(B2/(B2+B4))^B1</f>
        <v>0.48577767948483308</v>
      </c>
      <c r="D8">
        <f>B8*LN(C8)</f>
        <v>-541.50315702249395</v>
      </c>
      <c r="E8">
        <f t="shared" ref="E8:E17" si="0" xml:space="preserve"> C8*1574</f>
        <v>764.61406750912727</v>
      </c>
      <c r="F8">
        <f>(E8-B8)^2/E8</f>
        <v>0.27931865007019352</v>
      </c>
      <c r="G8" s="14"/>
    </row>
    <row r="9" spans="1:7" x14ac:dyDescent="0.15">
      <c r="A9" s="13">
        <v>2</v>
      </c>
      <c r="B9" s="14">
        <v>383</v>
      </c>
      <c r="C9">
        <f xml:space="preserve"> C8 * $B$4/(A9-1) * ($B$1 + A9 - 2) / ($B$2 + $B$4)</f>
        <v>0.21944449798881888</v>
      </c>
      <c r="D9">
        <f t="shared" ref="D9:D16" si="1">B9*LN(C9)</f>
        <v>-580.87922309867395</v>
      </c>
      <c r="E9">
        <f t="shared" si="0"/>
        <v>345.40563983440092</v>
      </c>
      <c r="F9">
        <f t="shared" ref="F9:F17" si="2">(E9-B9)^2/E9</f>
        <v>4.0918148207955838</v>
      </c>
      <c r="G9" s="14"/>
    </row>
    <row r="10" spans="1:7" x14ac:dyDescent="0.15">
      <c r="A10" s="13">
        <v>3</v>
      </c>
      <c r="B10" s="14">
        <v>191</v>
      </c>
      <c r="C10">
        <f t="shared" ref="C10:C16" si="3" xml:space="preserve"> C9 * $B$4/(A10-1) * ($B$1 + A10 - 2) / ($B$2 + $B$4)</f>
        <v>0.11990363783530217</v>
      </c>
      <c r="D10">
        <f t="shared" si="1"/>
        <v>-405.12377347470857</v>
      </c>
      <c r="E10">
        <f t="shared" si="0"/>
        <v>188.7283259527656</v>
      </c>
      <c r="F10">
        <f t="shared" si="2"/>
        <v>2.7343552966023071E-2</v>
      </c>
      <c r="G10" s="14"/>
    </row>
    <row r="11" spans="1:7" x14ac:dyDescent="0.15">
      <c r="A11" s="13">
        <v>4</v>
      </c>
      <c r="B11" s="14">
        <v>95</v>
      </c>
      <c r="C11">
        <f t="shared" si="3"/>
        <v>6.9298156707348763E-2</v>
      </c>
      <c r="D11">
        <f t="shared" si="1"/>
        <v>-253.58701232856089</v>
      </c>
      <c r="E11">
        <f t="shared" si="0"/>
        <v>109.07529865736696</v>
      </c>
      <c r="F11">
        <f t="shared" si="2"/>
        <v>1.8163052013857166</v>
      </c>
      <c r="G11" s="14"/>
    </row>
    <row r="12" spans="1:7" x14ac:dyDescent="0.15">
      <c r="A12" s="13">
        <v>5</v>
      </c>
      <c r="B12" s="14">
        <v>55</v>
      </c>
      <c r="C12">
        <f t="shared" si="3"/>
        <v>4.1144049355388609E-2</v>
      </c>
      <c r="D12">
        <f t="shared" si="1"/>
        <v>-175.48717840133827</v>
      </c>
      <c r="E12">
        <f t="shared" si="0"/>
        <v>64.760733685381666</v>
      </c>
      <c r="F12">
        <f t="shared" si="2"/>
        <v>1.471137163760236</v>
      </c>
      <c r="G12" s="14"/>
    </row>
    <row r="13" spans="1:7" x14ac:dyDescent="0.15">
      <c r="A13" s="13">
        <v>6</v>
      </c>
      <c r="B13" s="14">
        <v>36</v>
      </c>
      <c r="C13">
        <f t="shared" si="3"/>
        <v>2.4817711375065887E-2</v>
      </c>
      <c r="D13">
        <f t="shared" si="1"/>
        <v>-133.06311764491079</v>
      </c>
      <c r="E13">
        <f t="shared" si="0"/>
        <v>39.063077704353709</v>
      </c>
      <c r="F13">
        <f t="shared" si="2"/>
        <v>0.24018704040473199</v>
      </c>
      <c r="G13" s="14"/>
    </row>
    <row r="14" spans="1:7" x14ac:dyDescent="0.15">
      <c r="A14" s="13">
        <v>7</v>
      </c>
      <c r="B14" s="14">
        <v>18</v>
      </c>
      <c r="C14">
        <f t="shared" si="3"/>
        <v>1.5126427197106801E-2</v>
      </c>
      <c r="D14">
        <f t="shared" si="1"/>
        <v>-75.44361454879639</v>
      </c>
      <c r="E14">
        <f t="shared" si="0"/>
        <v>23.808996408246106</v>
      </c>
      <c r="F14">
        <f t="shared" si="2"/>
        <v>1.4172978437398129</v>
      </c>
      <c r="G14" s="14"/>
    </row>
    <row r="15" spans="1:7" x14ac:dyDescent="0.15">
      <c r="A15" s="13">
        <v>8</v>
      </c>
      <c r="B15" s="14">
        <v>12</v>
      </c>
      <c r="C15">
        <f t="shared" si="3"/>
        <v>9.2877594320452915E-3</v>
      </c>
      <c r="D15">
        <f t="shared" si="1"/>
        <v>-56.148695230374777</v>
      </c>
      <c r="E15">
        <f t="shared" si="0"/>
        <v>14.618933346039288</v>
      </c>
      <c r="F15">
        <f t="shared" si="2"/>
        <v>0.46917320906007154</v>
      </c>
      <c r="G15" s="14"/>
    </row>
    <row r="16" spans="1:7" x14ac:dyDescent="0.15">
      <c r="A16" s="13">
        <v>9</v>
      </c>
      <c r="B16" s="14">
        <v>9</v>
      </c>
      <c r="C16">
        <f t="shared" si="3"/>
        <v>5.7341645191029316E-3</v>
      </c>
      <c r="D16">
        <f t="shared" si="1"/>
        <v>-46.451818980688074</v>
      </c>
      <c r="E16">
        <f t="shared" si="0"/>
        <v>9.0255749530680145</v>
      </c>
      <c r="F16">
        <f t="shared" si="2"/>
        <v>7.2469424699509786E-5</v>
      </c>
      <c r="G16" s="14"/>
    </row>
    <row r="17" spans="1:7" x14ac:dyDescent="0.15">
      <c r="A17" s="13" t="s">
        <v>0</v>
      </c>
      <c r="B17" s="14">
        <v>25</v>
      </c>
      <c r="C17">
        <f>1-SUM(C8:C16)</f>
        <v>9.4659161049874818E-3</v>
      </c>
      <c r="D17">
        <f>B17*LN(C17)</f>
        <v>-116.50144275776759</v>
      </c>
      <c r="E17">
        <f t="shared" si="0"/>
        <v>14.899351949250295</v>
      </c>
      <c r="F17">
        <f t="shared" si="2"/>
        <v>6.8474851384557969</v>
      </c>
      <c r="G17" s="14"/>
    </row>
    <row r="19" spans="1:7" x14ac:dyDescent="0.15">
      <c r="B19" s="7" t="s">
        <v>23</v>
      </c>
      <c r="C19">
        <f>SUM(F8:F17)</f>
        <v>16.660135090062866</v>
      </c>
    </row>
    <row r="20" spans="1:7" x14ac:dyDescent="0.15">
      <c r="B20" s="7" t="s">
        <v>21</v>
      </c>
      <c r="C20">
        <f xml:space="preserve"> 10 - 2 -1</f>
        <v>7</v>
      </c>
    </row>
    <row r="21" spans="1:7" x14ac:dyDescent="0.15">
      <c r="B21" s="7" t="s">
        <v>24</v>
      </c>
      <c r="C21">
        <f>_xlfn.CHISQ.DIST.RT(C19, C20)</f>
        <v>1.9724149142489291E-2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BF598-ED19-9946-9BFC-E62858819A30}">
  <dimension ref="A1:H22"/>
  <sheetViews>
    <sheetView workbookViewId="0">
      <selection activeCell="K39" sqref="K39"/>
    </sheetView>
  </sheetViews>
  <sheetFormatPr baseColWidth="10" defaultRowHeight="13" x14ac:dyDescent="0.15"/>
  <cols>
    <col min="8" max="8" width="12.33203125" bestFit="1" customWidth="1"/>
  </cols>
  <sheetData>
    <row r="1" spans="1:8" x14ac:dyDescent="0.15">
      <c r="A1" s="7" t="s">
        <v>18</v>
      </c>
      <c r="B1">
        <v>0.33013426396627887</v>
      </c>
    </row>
    <row r="2" spans="1:8" x14ac:dyDescent="0.15">
      <c r="A2" s="7" t="s">
        <v>19</v>
      </c>
      <c r="B2">
        <v>0.46085358330886655</v>
      </c>
    </row>
    <row r="3" spans="1:8" x14ac:dyDescent="0.15">
      <c r="A3" s="7" t="s">
        <v>17</v>
      </c>
      <c r="B3">
        <f>SUM(E9:E18)</f>
        <v>-2381.9800526735835</v>
      </c>
    </row>
    <row r="4" spans="1:8" x14ac:dyDescent="0.15">
      <c r="A4" s="7" t="s">
        <v>20</v>
      </c>
      <c r="B4">
        <v>1</v>
      </c>
    </row>
    <row r="7" spans="1:8" x14ac:dyDescent="0.15">
      <c r="A7" s="13" t="s">
        <v>1</v>
      </c>
      <c r="B7" s="14" t="s">
        <v>2</v>
      </c>
      <c r="C7" s="7" t="s">
        <v>32</v>
      </c>
      <c r="D7" s="7" t="s">
        <v>34</v>
      </c>
      <c r="E7" s="7" t="s">
        <v>33</v>
      </c>
      <c r="F7" s="7" t="s">
        <v>46</v>
      </c>
      <c r="G7" s="7" t="s">
        <v>23</v>
      </c>
      <c r="H7" s="14"/>
    </row>
    <row r="8" spans="1:8" x14ac:dyDescent="0.15">
      <c r="A8">
        <v>0</v>
      </c>
      <c r="C8">
        <f>(B2/(B2+B4))^B1</f>
        <v>0.68326362348438796</v>
      </c>
    </row>
    <row r="9" spans="1:8" x14ac:dyDescent="0.15">
      <c r="A9" s="13">
        <v>1</v>
      </c>
      <c r="B9" s="14">
        <v>750</v>
      </c>
      <c r="C9">
        <f t="shared" ref="C9:C17" si="0" xml:space="preserve"> C8 * $B$4/A9 * ($B$1 + A8) / ($B$2 + $B$4)</f>
        <v>0.1544088579520973</v>
      </c>
      <c r="D9">
        <f t="shared" ref="D9:D18" si="1">C9/(1-$C$8)</f>
        <v>0.48749960345803994</v>
      </c>
      <c r="E9">
        <f>B9*LN(D9)</f>
        <v>-538.84935147297847</v>
      </c>
      <c r="F9">
        <f t="shared" ref="F9:F18" si="2" xml:space="preserve"> D9*1574</f>
        <v>767.32437584295485</v>
      </c>
      <c r="G9">
        <f>(F9-B9)^2/F9</f>
        <v>0.39114357343104239</v>
      </c>
      <c r="H9" s="14"/>
    </row>
    <row r="10" spans="1:8" x14ac:dyDescent="0.15">
      <c r="A10" s="13">
        <v>2</v>
      </c>
      <c r="B10" s="14">
        <v>383</v>
      </c>
      <c r="C10">
        <f t="shared" si="0"/>
        <v>7.0296063537314268E-2</v>
      </c>
      <c r="D10">
        <f t="shared" si="1"/>
        <v>0.2219387122838079</v>
      </c>
      <c r="E10">
        <f t="shared" ref="E10:E18" si="3">B10*LN(D10)</f>
        <v>-576.5505843049217</v>
      </c>
      <c r="F10">
        <f t="shared" si="2"/>
        <v>349.33153313471365</v>
      </c>
      <c r="G10">
        <f>(F10-B10)^2/F10</f>
        <v>3.2449565914845273</v>
      </c>
      <c r="H10" s="14"/>
    </row>
    <row r="11" spans="1:8" x14ac:dyDescent="0.15">
      <c r="A11" s="13">
        <v>3</v>
      </c>
      <c r="B11" s="14">
        <v>191</v>
      </c>
      <c r="C11">
        <f t="shared" si="0"/>
        <v>3.7375241466530706E-2</v>
      </c>
      <c r="D11">
        <f t="shared" si="1"/>
        <v>0.11800110198169318</v>
      </c>
      <c r="E11">
        <f t="shared" si="3"/>
        <v>-408.17871130484463</v>
      </c>
      <c r="F11">
        <f t="shared" si="2"/>
        <v>185.73373451918508</v>
      </c>
      <c r="G11">
        <f t="shared" ref="G11:G18" si="4">(F11-B11)^2/F11</f>
        <v>0.14931887406570254</v>
      </c>
      <c r="H11" s="14"/>
    </row>
    <row r="12" spans="1:8" x14ac:dyDescent="0.15">
      <c r="A12" s="13">
        <v>4</v>
      </c>
      <c r="B12" s="14">
        <v>95</v>
      </c>
      <c r="C12">
        <f t="shared" si="0"/>
        <v>2.1299973805347434E-2</v>
      </c>
      <c r="D12">
        <f t="shared" si="1"/>
        <v>6.7248271384760097E-2</v>
      </c>
      <c r="E12">
        <f t="shared" si="3"/>
        <v>-256.43957668890658</v>
      </c>
      <c r="F12">
        <f t="shared" si="2"/>
        <v>105.84877915961239</v>
      </c>
      <c r="G12">
        <f t="shared" si="4"/>
        <v>1.111925996582001</v>
      </c>
      <c r="H12" s="14"/>
    </row>
    <row r="13" spans="1:8" x14ac:dyDescent="0.15">
      <c r="A13" s="13">
        <v>5</v>
      </c>
      <c r="B13" s="14">
        <v>55</v>
      </c>
      <c r="C13">
        <f t="shared" si="0"/>
        <v>1.2627103420893439E-2</v>
      </c>
      <c r="D13">
        <f t="shared" si="1"/>
        <v>3.9866287414799181E-2</v>
      </c>
      <c r="E13">
        <f t="shared" si="3"/>
        <v>-177.22233315521206</v>
      </c>
      <c r="F13">
        <f t="shared" si="2"/>
        <v>62.749536390893908</v>
      </c>
      <c r="G13">
        <f t="shared" si="4"/>
        <v>0.95706387214844968</v>
      </c>
      <c r="H13" s="14"/>
    </row>
    <row r="14" spans="1:8" x14ac:dyDescent="0.15">
      <c r="A14" s="13">
        <v>6</v>
      </c>
      <c r="B14" s="14">
        <v>36</v>
      </c>
      <c r="C14">
        <f t="shared" si="0"/>
        <v>7.6786336161429316E-3</v>
      </c>
      <c r="D14">
        <f t="shared" si="1"/>
        <v>2.4242979921077833E-2</v>
      </c>
      <c r="E14">
        <f t="shared" si="3"/>
        <v>-133.90661488676142</v>
      </c>
      <c r="F14">
        <f t="shared" si="2"/>
        <v>38.158450395776512</v>
      </c>
      <c r="G14">
        <f t="shared" si="4"/>
        <v>0.12209374496883248</v>
      </c>
      <c r="H14" s="14"/>
    </row>
    <row r="15" spans="1:8" x14ac:dyDescent="0.15">
      <c r="A15" s="13">
        <v>7</v>
      </c>
      <c r="B15" s="14">
        <v>18</v>
      </c>
      <c r="C15">
        <f t="shared" si="0"/>
        <v>4.7532662028509001E-3</v>
      </c>
      <c r="D15">
        <f t="shared" si="1"/>
        <v>1.5007010735998017E-2</v>
      </c>
      <c r="E15">
        <f t="shared" si="3"/>
        <v>-75.586280484045474</v>
      </c>
      <c r="F15">
        <f t="shared" si="2"/>
        <v>23.621034898460881</v>
      </c>
      <c r="G15">
        <f t="shared" si="4"/>
        <v>1.3376227360713093</v>
      </c>
      <c r="H15" s="14"/>
    </row>
    <row r="16" spans="1:8" x14ac:dyDescent="0.15">
      <c r="A16" s="13">
        <v>8</v>
      </c>
      <c r="B16" s="14">
        <v>12</v>
      </c>
      <c r="C16">
        <f t="shared" si="0"/>
        <v>2.9813117359400398E-3</v>
      </c>
      <c r="D16">
        <f t="shared" si="1"/>
        <v>9.412596585012362E-3</v>
      </c>
      <c r="E16">
        <f t="shared" si="3"/>
        <v>-55.988477094634533</v>
      </c>
      <c r="F16">
        <f t="shared" si="2"/>
        <v>14.815427024809457</v>
      </c>
      <c r="G16">
        <f t="shared" si="4"/>
        <v>0.53502537043000808</v>
      </c>
      <c r="H16" s="14"/>
    </row>
    <row r="17" spans="1:8" x14ac:dyDescent="0.15">
      <c r="A17" s="13">
        <v>9</v>
      </c>
      <c r="B17" s="14">
        <v>9</v>
      </c>
      <c r="C17">
        <f t="shared" si="0"/>
        <v>1.8889053272895195E-3</v>
      </c>
      <c r="D17">
        <f t="shared" si="1"/>
        <v>5.9636513749042486E-3</v>
      </c>
      <c r="E17">
        <f t="shared" si="3"/>
        <v>-46.098651048302685</v>
      </c>
      <c r="F17">
        <f t="shared" si="2"/>
        <v>9.3867872640992882</v>
      </c>
      <c r="G17">
        <f t="shared" si="4"/>
        <v>1.5937762672175341E-2</v>
      </c>
      <c r="H17" s="14"/>
    </row>
    <row r="18" spans="1:8" x14ac:dyDescent="0.15">
      <c r="A18" s="13" t="s">
        <v>0</v>
      </c>
      <c r="B18" s="14">
        <v>25</v>
      </c>
      <c r="C18">
        <f>1-SUM(C8:C17)</f>
        <v>3.427019451205493E-3</v>
      </c>
      <c r="D18">
        <f t="shared" si="1"/>
        <v>1.0819784859907224E-2</v>
      </c>
      <c r="E18">
        <f t="shared" si="3"/>
        <v>-113.159472232976</v>
      </c>
      <c r="F18">
        <f t="shared" si="2"/>
        <v>17.030341369493971</v>
      </c>
      <c r="G18">
        <f t="shared" si="4"/>
        <v>3.7295470072357384</v>
      </c>
      <c r="H18" s="14"/>
    </row>
    <row r="20" spans="1:8" x14ac:dyDescent="0.15">
      <c r="G20" s="7" t="s">
        <v>23</v>
      </c>
      <c r="H20">
        <f>SUM(G9:G18)</f>
        <v>11.594635529089786</v>
      </c>
    </row>
    <row r="21" spans="1:8" x14ac:dyDescent="0.15">
      <c r="B21" s="7" t="s">
        <v>35</v>
      </c>
      <c r="C21">
        <f>1574 * C8/(1-C8)</f>
        <v>3395.4323630125164</v>
      </c>
      <c r="G21" s="7" t="s">
        <v>21</v>
      </c>
      <c r="H21">
        <f xml:space="preserve"> 10 - 2 - 1</f>
        <v>7</v>
      </c>
    </row>
    <row r="22" spans="1:8" x14ac:dyDescent="0.15">
      <c r="G22" s="7" t="s">
        <v>24</v>
      </c>
      <c r="H22">
        <f>_xlfn.CHISQ.DIST.RT(H20, H21)</f>
        <v>0.11470250130514058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EDAF8-D251-8647-9DA6-95668A86999A}">
  <dimension ref="A1:I22"/>
  <sheetViews>
    <sheetView zoomScale="109" workbookViewId="0">
      <selection activeCell="K39" sqref="K39"/>
    </sheetView>
  </sheetViews>
  <sheetFormatPr baseColWidth="10" defaultRowHeight="13" x14ac:dyDescent="0.15"/>
  <cols>
    <col min="8" max="8" width="12.33203125" bestFit="1" customWidth="1"/>
  </cols>
  <sheetData>
    <row r="1" spans="1:9" x14ac:dyDescent="0.15">
      <c r="A1" s="7" t="s">
        <v>18</v>
      </c>
      <c r="B1">
        <v>0.33019516499412743</v>
      </c>
    </row>
    <row r="2" spans="1:9" x14ac:dyDescent="0.15">
      <c r="A2" s="7" t="s">
        <v>19</v>
      </c>
      <c r="B2">
        <v>0.46087487216333561</v>
      </c>
    </row>
    <row r="3" spans="1:9" x14ac:dyDescent="0.15">
      <c r="A3" s="15" t="s">
        <v>36</v>
      </c>
      <c r="B3">
        <v>9.999999999998859E-6</v>
      </c>
    </row>
    <row r="4" spans="1:9" x14ac:dyDescent="0.15">
      <c r="A4" s="7" t="s">
        <v>17</v>
      </c>
      <c r="B4">
        <f>SUM(F9:F18)</f>
        <v>-2381.9804078129105</v>
      </c>
    </row>
    <row r="5" spans="1:9" x14ac:dyDescent="0.15">
      <c r="A5" s="7" t="s">
        <v>20</v>
      </c>
      <c r="B5">
        <v>1</v>
      </c>
    </row>
    <row r="7" spans="1:9" x14ac:dyDescent="0.15">
      <c r="A7" s="13" t="s">
        <v>1</v>
      </c>
      <c r="B7" s="14" t="s">
        <v>2</v>
      </c>
      <c r="C7" s="7" t="s">
        <v>32</v>
      </c>
      <c r="D7" s="7" t="s">
        <v>34</v>
      </c>
      <c r="E7" s="7" t="s">
        <v>37</v>
      </c>
      <c r="F7" s="7" t="s">
        <v>33</v>
      </c>
      <c r="G7" s="7" t="s">
        <v>46</v>
      </c>
      <c r="H7" s="7" t="s">
        <v>23</v>
      </c>
      <c r="I7" s="14"/>
    </row>
    <row r="8" spans="1:9" x14ac:dyDescent="0.15">
      <c r="A8">
        <v>0</v>
      </c>
      <c r="C8">
        <f>(B2/(B2+B5))^B1</f>
        <v>0.6832227516670929</v>
      </c>
    </row>
    <row r="9" spans="1:9" x14ac:dyDescent="0.15">
      <c r="A9" s="13">
        <v>1</v>
      </c>
      <c r="B9" s="14">
        <v>750</v>
      </c>
      <c r="C9">
        <f t="shared" ref="C9:C17" si="0" xml:space="preserve"> C8 * $B$5/A9 * ($B$1 + A8) / ($B$2 + $B$5)</f>
        <v>0.15442585365328554</v>
      </c>
      <c r="D9">
        <f t="shared" ref="D9:D18" si="1">C9/(1-$C$8)</f>
        <v>0.48749035628656179</v>
      </c>
      <c r="E9">
        <f>B3 + (1-B3) * D9</f>
        <v>0.48749548138299897</v>
      </c>
      <c r="F9">
        <f>B9*LN(E9)</f>
        <v>-538.85569315885732</v>
      </c>
      <c r="G9">
        <f xml:space="preserve"> E9 * 1574</f>
        <v>767.31788769684033</v>
      </c>
      <c r="H9">
        <f>(G9-B9)^2/G9</f>
        <v>0.39085395908151277</v>
      </c>
      <c r="I9" s="14"/>
    </row>
    <row r="10" spans="1:9" x14ac:dyDescent="0.15">
      <c r="A10" s="13">
        <v>2</v>
      </c>
      <c r="B10" s="14">
        <v>383</v>
      </c>
      <c r="C10">
        <f t="shared" si="0"/>
        <v>7.0305995329873874E-2</v>
      </c>
      <c r="D10">
        <f t="shared" si="1"/>
        <v>0.2219414295056569</v>
      </c>
      <c r="E10">
        <f xml:space="preserve"> (1-$B$3) * D10</f>
        <v>0.22193921009136186</v>
      </c>
      <c r="F10">
        <f>B10*LN(E10)</f>
        <v>-576.54972523857236</v>
      </c>
      <c r="G10">
        <f t="shared" ref="G10:G18" si="2" xml:space="preserve"> E10*1574</f>
        <v>349.33231668380358</v>
      </c>
      <c r="H10">
        <f t="shared" ref="H10:H18" si="3">(G10-B10)^2/G10</f>
        <v>3.2447982787280578</v>
      </c>
      <c r="I10" s="14"/>
    </row>
    <row r="11" spans="1:9" x14ac:dyDescent="0.15">
      <c r="A11" s="13">
        <v>3</v>
      </c>
      <c r="B11" s="14">
        <v>191</v>
      </c>
      <c r="C11">
        <f t="shared" si="0"/>
        <v>3.7380954273692445E-2</v>
      </c>
      <c r="D11">
        <f t="shared" si="1"/>
        <v>0.11800391117233301</v>
      </c>
      <c r="E11">
        <f t="shared" ref="E11:E18" si="4" xml:space="preserve"> (1-$B$3) * D11</f>
        <v>0.11800273113322129</v>
      </c>
      <c r="F11">
        <f t="shared" ref="F11:F18" si="5">B11*LN(E11)</f>
        <v>-408.17607433121776</v>
      </c>
      <c r="G11">
        <f t="shared" si="2"/>
        <v>185.73629880369032</v>
      </c>
      <c r="H11">
        <f t="shared" si="3"/>
        <v>0.14917143532248256</v>
      </c>
      <c r="I11" s="14"/>
    </row>
    <row r="12" spans="1:9" x14ac:dyDescent="0.15">
      <c r="A12" s="13">
        <v>4</v>
      </c>
      <c r="B12" s="14">
        <v>95</v>
      </c>
      <c r="C12">
        <f t="shared" si="0"/>
        <v>2.1303308646956929E-2</v>
      </c>
      <c r="D12">
        <f t="shared" si="1"/>
        <v>6.7250122157033465E-2</v>
      </c>
      <c r="E12">
        <f t="shared" si="4"/>
        <v>6.7249449655811894E-2</v>
      </c>
      <c r="F12">
        <f t="shared" si="5"/>
        <v>-256.43791218858559</v>
      </c>
      <c r="G12">
        <f t="shared" si="2"/>
        <v>105.85063375824792</v>
      </c>
      <c r="H12">
        <f t="shared" si="3"/>
        <v>1.1122867079334364</v>
      </c>
      <c r="I12" s="14"/>
    </row>
    <row r="13" spans="1:9" x14ac:dyDescent="0.15">
      <c r="A13" s="13">
        <v>5</v>
      </c>
      <c r="B13" s="14">
        <v>55</v>
      </c>
      <c r="C13">
        <f t="shared" si="0"/>
        <v>1.2629073969192975E-2</v>
      </c>
      <c r="D13">
        <f t="shared" si="1"/>
        <v>3.9867364325107235E-2</v>
      </c>
      <c r="E13">
        <f t="shared" si="4"/>
        <v>3.9866965651463984E-2</v>
      </c>
      <c r="F13">
        <f t="shared" si="5"/>
        <v>-177.22139745987465</v>
      </c>
      <c r="G13">
        <f t="shared" si="2"/>
        <v>62.750603935404314</v>
      </c>
      <c r="H13">
        <f t="shared" si="3"/>
        <v>0.95731128620440076</v>
      </c>
      <c r="I13" s="14"/>
    </row>
    <row r="14" spans="1:9" x14ac:dyDescent="0.15">
      <c r="A14" s="13">
        <v>6</v>
      </c>
      <c r="B14" s="14">
        <v>36</v>
      </c>
      <c r="C14">
        <f t="shared" si="0"/>
        <v>7.6798077521475858E-3</v>
      </c>
      <c r="D14">
        <f t="shared" si="1"/>
        <v>2.4243558502272021E-2</v>
      </c>
      <c r="E14">
        <f t="shared" si="4"/>
        <v>2.4243316066687001E-2</v>
      </c>
      <c r="F14">
        <f t="shared" si="5"/>
        <v>-133.90611572543415</v>
      </c>
      <c r="G14">
        <f t="shared" si="2"/>
        <v>38.158979488965336</v>
      </c>
      <c r="H14">
        <f t="shared" si="3"/>
        <v>0.12215191538654564</v>
      </c>
      <c r="I14" s="14"/>
    </row>
    <row r="15" spans="1:9" x14ac:dyDescent="0.15">
      <c r="A15" s="13">
        <v>7</v>
      </c>
      <c r="B15" s="14">
        <v>18</v>
      </c>
      <c r="C15">
        <f t="shared" si="0"/>
        <v>4.7539694806048513E-3</v>
      </c>
      <c r="D15">
        <f t="shared" si="1"/>
        <v>1.5007294575678669E-2</v>
      </c>
      <c r="E15">
        <f t="shared" si="4"/>
        <v>1.5007144502732913E-2</v>
      </c>
      <c r="F15">
        <f t="shared" si="5"/>
        <v>-75.586120039667861</v>
      </c>
      <c r="G15">
        <f t="shared" si="2"/>
        <v>23.621245447301604</v>
      </c>
      <c r="H15">
        <f t="shared" si="3"/>
        <v>1.3377110216014745</v>
      </c>
      <c r="I15" s="14"/>
    </row>
    <row r="16" spans="1:9" x14ac:dyDescent="0.15">
      <c r="A16" s="13">
        <v>8</v>
      </c>
      <c r="B16" s="14">
        <v>12</v>
      </c>
      <c r="C16">
        <f t="shared" si="0"/>
        <v>2.9817341619456593E-3</v>
      </c>
      <c r="D16">
        <f t="shared" si="1"/>
        <v>9.4127156468386871E-3</v>
      </c>
      <c r="E16">
        <f t="shared" si="4"/>
        <v>9.4126215196822186E-3</v>
      </c>
      <c r="F16">
        <f t="shared" si="5"/>
        <v>-55.988445305782292</v>
      </c>
      <c r="G16">
        <f t="shared" si="2"/>
        <v>14.815466271979812</v>
      </c>
      <c r="H16">
        <f t="shared" si="3"/>
        <v>0.53503886972816983</v>
      </c>
      <c r="I16" s="14"/>
    </row>
    <row r="17" spans="1:9" x14ac:dyDescent="0.15">
      <c r="A17" s="13">
        <v>9</v>
      </c>
      <c r="B17" s="14">
        <v>9</v>
      </c>
      <c r="C17">
        <f t="shared" si="0"/>
        <v>1.8891592498918571E-3</v>
      </c>
      <c r="D17">
        <f t="shared" si="1"/>
        <v>5.9636835026311754E-3</v>
      </c>
      <c r="E17">
        <f t="shared" si="4"/>
        <v>5.9636238657961495E-3</v>
      </c>
      <c r="F17">
        <f t="shared" si="5"/>
        <v>-46.098692563563773</v>
      </c>
      <c r="G17">
        <f t="shared" si="2"/>
        <v>9.3867439647631397</v>
      </c>
      <c r="H17">
        <f t="shared" si="3"/>
        <v>1.5934268031831504E-2</v>
      </c>
      <c r="I17" s="14"/>
    </row>
    <row r="18" spans="1:9" x14ac:dyDescent="0.15">
      <c r="A18" s="13" t="s">
        <v>0</v>
      </c>
      <c r="B18" s="14">
        <v>25</v>
      </c>
      <c r="C18">
        <f>1-SUM(C8:C17)</f>
        <v>3.4273918153152616E-3</v>
      </c>
      <c r="D18">
        <f t="shared" si="1"/>
        <v>1.0819564325886662E-2</v>
      </c>
      <c r="E18">
        <f t="shared" si="4"/>
        <v>1.0819456130243403E-2</v>
      </c>
      <c r="F18">
        <f t="shared" si="5"/>
        <v>-113.16023180135457</v>
      </c>
      <c r="G18">
        <f t="shared" si="2"/>
        <v>17.029823949003116</v>
      </c>
      <c r="H18">
        <f t="shared" si="3"/>
        <v>3.7301446259286082</v>
      </c>
      <c r="I18" s="14"/>
    </row>
    <row r="20" spans="1:9" x14ac:dyDescent="0.15">
      <c r="H20" s="7" t="s">
        <v>23</v>
      </c>
      <c r="I20">
        <f>SUM(H9:H18)</f>
        <v>11.595402367946519</v>
      </c>
    </row>
    <row r="21" spans="1:9" x14ac:dyDescent="0.15">
      <c r="B21" s="7" t="s">
        <v>35</v>
      </c>
      <c r="C21">
        <f>1574 * C8/(1-C8)</f>
        <v>3394.7911877618621</v>
      </c>
      <c r="H21" s="7" t="s">
        <v>21</v>
      </c>
      <c r="I21">
        <f xml:space="preserve"> 10 - 3 - 1</f>
        <v>6</v>
      </c>
    </row>
    <row r="22" spans="1:9" x14ac:dyDescent="0.15">
      <c r="H22" s="7" t="s">
        <v>24</v>
      </c>
      <c r="I22">
        <f>_xlfn.CHISQ.DIST.RT(I20, I21)</f>
        <v>7.1627994970797609E-2</v>
      </c>
    </row>
  </sheetData>
  <hyperlinks>
    <hyperlink ref="A3" r:id="rId1" xr:uid="{3605E768-EDBB-B743-9929-70F55FFF92BE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BC72-5B16-CD46-B41A-969132EADD0A}">
  <dimension ref="A1:I19"/>
  <sheetViews>
    <sheetView zoomScale="125" workbookViewId="0">
      <selection activeCell="E19" sqref="E19"/>
    </sheetView>
  </sheetViews>
  <sheetFormatPr baseColWidth="10" defaultRowHeight="13" x14ac:dyDescent="0.15"/>
  <sheetData>
    <row r="1" spans="1:9" x14ac:dyDescent="0.15">
      <c r="A1" s="7" t="s">
        <v>38</v>
      </c>
      <c r="B1">
        <v>5.9111628471101572</v>
      </c>
      <c r="H1" s="7" t="s">
        <v>42</v>
      </c>
      <c r="I1" s="16">
        <f>AVERAGE(F6:F15)</f>
        <v>7.3769918906666038E-2</v>
      </c>
    </row>
    <row r="2" spans="1:9" x14ac:dyDescent="0.15">
      <c r="A2" s="7" t="s">
        <v>39</v>
      </c>
      <c r="B2">
        <v>6.2825981801697397</v>
      </c>
    </row>
    <row r="3" spans="1:9" x14ac:dyDescent="0.15">
      <c r="A3" s="7" t="s">
        <v>17</v>
      </c>
      <c r="B3">
        <f>SUM(D6:D15)</f>
        <v>-2378.0156445209759</v>
      </c>
    </row>
    <row r="5" spans="1:9" x14ac:dyDescent="0.15">
      <c r="A5" s="13" t="s">
        <v>1</v>
      </c>
      <c r="B5" s="14" t="s">
        <v>2</v>
      </c>
      <c r="C5" s="7" t="s">
        <v>28</v>
      </c>
      <c r="D5" s="7" t="s">
        <v>17</v>
      </c>
      <c r="E5" s="7" t="s">
        <v>40</v>
      </c>
      <c r="F5" s="7" t="s">
        <v>41</v>
      </c>
      <c r="G5" s="7" t="s">
        <v>23</v>
      </c>
    </row>
    <row r="6" spans="1:9" x14ac:dyDescent="0.15">
      <c r="A6" s="13">
        <v>1</v>
      </c>
      <c r="B6" s="14">
        <v>750</v>
      </c>
      <c r="C6">
        <f xml:space="preserve"> ($B$1/(B1+B2))</f>
        <v>0.48476945167989566</v>
      </c>
      <c r="D6">
        <f>B6*LN(C6)</f>
        <v>-543.06139381786613</v>
      </c>
      <c r="E6">
        <f>C6*1574</f>
        <v>763.02711694415575</v>
      </c>
      <c r="F6" s="16">
        <f>ABS(E6-B6)/B6</f>
        <v>1.7369489258874334E-2</v>
      </c>
      <c r="G6">
        <f>(E6-B6)^2/E6</f>
        <v>0.2224111989051763</v>
      </c>
    </row>
    <row r="7" spans="1:9" x14ac:dyDescent="0.15">
      <c r="A7" s="13">
        <v>2</v>
      </c>
      <c r="B7" s="14">
        <v>383</v>
      </c>
      <c r="C7">
        <f>C6*($B$2+A7-2)/($B$1+$B$2+A7-1)</f>
        <v>0.23083726229607901</v>
      </c>
      <c r="D7">
        <f t="shared" ref="D7:D15" si="0">B7*LN(C7)</f>
        <v>-561.49420433028877</v>
      </c>
      <c r="E7">
        <f t="shared" ref="E7:E15" si="1">C7*1574</f>
        <v>363.33785085402837</v>
      </c>
      <c r="F7" s="16">
        <f t="shared" ref="F7:F15" si="2">ABS(E7-B7)/B7</f>
        <v>5.1337204036479442E-2</v>
      </c>
      <c r="G7">
        <f t="shared" ref="G7:G15" si="3">(E7-B7)^2/E7</f>
        <v>1.0640237677680049</v>
      </c>
    </row>
    <row r="8" spans="1:9" x14ac:dyDescent="0.15">
      <c r="A8" s="13">
        <v>3</v>
      </c>
      <c r="B8" s="14">
        <v>191</v>
      </c>
      <c r="C8">
        <f t="shared" ref="C8:C14" si="4">C7*($B$2+A8-2)/($B$1+$B$2+A8-1)</f>
        <v>0.11843901155456864</v>
      </c>
      <c r="D8">
        <f t="shared" si="0"/>
        <v>-407.4712101722759</v>
      </c>
      <c r="E8">
        <f t="shared" si="1"/>
        <v>186.42300418689103</v>
      </c>
      <c r="F8" s="16">
        <f t="shared" si="2"/>
        <v>2.3963328864444845E-2</v>
      </c>
      <c r="G8">
        <f t="shared" si="3"/>
        <v>0.11237288426172723</v>
      </c>
    </row>
    <row r="9" spans="1:9" x14ac:dyDescent="0.15">
      <c r="A9" s="13">
        <v>4</v>
      </c>
      <c r="B9" s="14">
        <v>95</v>
      </c>
      <c r="C9">
        <f t="shared" si="4"/>
        <v>6.456483946283284E-2</v>
      </c>
      <c r="D9">
        <f t="shared" si="0"/>
        <v>-260.30810322727626</v>
      </c>
      <c r="E9">
        <f t="shared" si="1"/>
        <v>101.62505731449889</v>
      </c>
      <c r="F9" s="16">
        <f t="shared" si="2"/>
        <v>6.9737445415777782E-2</v>
      </c>
      <c r="G9">
        <f t="shared" si="3"/>
        <v>0.43189529807166199</v>
      </c>
    </row>
    <row r="10" spans="1:9" x14ac:dyDescent="0.15">
      <c r="A10" s="13">
        <v>5</v>
      </c>
      <c r="B10" s="14">
        <v>55</v>
      </c>
      <c r="C10">
        <f t="shared" si="4"/>
        <v>3.7009899077244453E-2</v>
      </c>
      <c r="D10">
        <f t="shared" si="0"/>
        <v>-181.31134227210569</v>
      </c>
      <c r="E10">
        <f t="shared" si="1"/>
        <v>58.253581147582771</v>
      </c>
      <c r="F10" s="16">
        <f t="shared" si="2"/>
        <v>5.9156020865141296E-2</v>
      </c>
      <c r="G10">
        <f t="shared" si="3"/>
        <v>0.18171913340550533</v>
      </c>
    </row>
    <row r="11" spans="1:9" x14ac:dyDescent="0.15">
      <c r="A11" s="13">
        <v>6</v>
      </c>
      <c r="B11" s="14">
        <v>36</v>
      </c>
      <c r="C11">
        <f t="shared" si="4"/>
        <v>2.21334890194263E-2</v>
      </c>
      <c r="D11">
        <f t="shared" si="0"/>
        <v>-137.18388517856542</v>
      </c>
      <c r="E11">
        <f t="shared" si="1"/>
        <v>34.838111716576996</v>
      </c>
      <c r="F11" s="16">
        <f t="shared" si="2"/>
        <v>3.2274674539527877E-2</v>
      </c>
      <c r="G11">
        <f t="shared" si="3"/>
        <v>3.8750216835469059E-2</v>
      </c>
    </row>
    <row r="12" spans="1:9" x14ac:dyDescent="0.15">
      <c r="A12" s="13">
        <v>7</v>
      </c>
      <c r="B12" s="14">
        <v>18</v>
      </c>
      <c r="C12">
        <f t="shared" si="4"/>
        <v>1.3725763604179953E-2</v>
      </c>
      <c r="D12">
        <f t="shared" si="0"/>
        <v>-77.192651828310176</v>
      </c>
      <c r="E12">
        <f t="shared" si="1"/>
        <v>21.604351912979247</v>
      </c>
      <c r="F12" s="16">
        <f t="shared" si="2"/>
        <v>0.20024177294329151</v>
      </c>
      <c r="G12">
        <f t="shared" si="3"/>
        <v>0.6013303599629084</v>
      </c>
    </row>
    <row r="13" spans="1:9" x14ac:dyDescent="0.15">
      <c r="A13" s="13">
        <v>8</v>
      </c>
      <c r="B13" s="14">
        <v>12</v>
      </c>
      <c r="C13">
        <f t="shared" si="4"/>
        <v>8.7834811961307775E-3</v>
      </c>
      <c r="D13">
        <f t="shared" si="0"/>
        <v>-56.818589499965768</v>
      </c>
      <c r="E13">
        <f t="shared" si="1"/>
        <v>13.825199402709844</v>
      </c>
      <c r="F13" s="16">
        <f t="shared" si="2"/>
        <v>0.15209995022582032</v>
      </c>
      <c r="G13">
        <f t="shared" si="3"/>
        <v>0.24096237331661197</v>
      </c>
    </row>
    <row r="14" spans="1:9" x14ac:dyDescent="0.15">
      <c r="A14" s="13">
        <v>9</v>
      </c>
      <c r="B14" s="14">
        <v>9</v>
      </c>
      <c r="C14">
        <f t="shared" si="4"/>
        <v>5.7774008117494743E-3</v>
      </c>
      <c r="D14">
        <f t="shared" si="0"/>
        <v>-46.384212455871321</v>
      </c>
      <c r="E14">
        <f t="shared" si="1"/>
        <v>9.0936288776936731</v>
      </c>
      <c r="F14" s="16">
        <f t="shared" si="2"/>
        <v>1.0403208632630346E-2</v>
      </c>
      <c r="G14">
        <f t="shared" si="3"/>
        <v>9.6401193143920416E-4</v>
      </c>
    </row>
    <row r="15" spans="1:9" x14ac:dyDescent="0.15">
      <c r="A15" s="13" t="s">
        <v>0</v>
      </c>
      <c r="B15" s="14">
        <v>25</v>
      </c>
      <c r="C15">
        <f xml:space="preserve"> 1- SUM(C6:C14)</f>
        <v>1.3959401297892748E-2</v>
      </c>
      <c r="D15">
        <f t="shared" si="0"/>
        <v>-106.79005173845042</v>
      </c>
      <c r="E15">
        <f t="shared" si="1"/>
        <v>21.972097642883185</v>
      </c>
      <c r="F15" s="16">
        <f t="shared" si="2"/>
        <v>0.12111609428467261</v>
      </c>
      <c r="G15">
        <f t="shared" si="3"/>
        <v>0.41726524400382714</v>
      </c>
    </row>
    <row r="17" spans="4:5" x14ac:dyDescent="0.15">
      <c r="D17" s="7" t="s">
        <v>23</v>
      </c>
      <c r="E17">
        <f>SUM(G6:G15)</f>
        <v>3.3116944884623312</v>
      </c>
    </row>
    <row r="18" spans="4:5" x14ac:dyDescent="0.15">
      <c r="D18" s="7" t="s">
        <v>21</v>
      </c>
      <c r="E18">
        <f>10 - 2 - 1</f>
        <v>7</v>
      </c>
    </row>
    <row r="19" spans="4:5" x14ac:dyDescent="0.15">
      <c r="D19" s="7" t="s">
        <v>43</v>
      </c>
      <c r="E19">
        <f>_xlfn.CHISQ.DIST.RT(E17,E18)</f>
        <v>0.85474959434769615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comscore</vt:lpstr>
      <vt:lpstr>comscore_nocov</vt:lpstr>
      <vt:lpstr>part a original</vt:lpstr>
      <vt:lpstr>part a spike</vt:lpstr>
      <vt:lpstr>album purchases</vt:lpstr>
      <vt:lpstr>part b shift</vt:lpstr>
      <vt:lpstr>part b trunc</vt:lpstr>
      <vt:lpstr>part b trunc+spike</vt:lpstr>
      <vt:lpstr>part b sbg</vt:lpstr>
    </vt:vector>
  </TitlesOfParts>
  <Company>London Business School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G.S. Hardie</dc:creator>
  <cp:lastModifiedBy>Wu, Alan Liu</cp:lastModifiedBy>
  <cp:lastPrinted>2000-05-28T16:01:21Z</cp:lastPrinted>
  <dcterms:created xsi:type="dcterms:W3CDTF">2000-05-27T15:50:26Z</dcterms:created>
  <dcterms:modified xsi:type="dcterms:W3CDTF">2026-02-11T19:02:52Z</dcterms:modified>
</cp:coreProperties>
</file>