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anwu/Downloads/"/>
    </mc:Choice>
  </mc:AlternateContent>
  <xr:revisionPtr revIDLastSave="0" documentId="13_ncr:1_{E733D984-B4F3-4F4D-913D-243AC6C2F932}" xr6:coauthVersionLast="47" xr6:coauthVersionMax="47" xr10:uidLastSave="{00000000-0000-0000-0000-000000000000}"/>
  <bookViews>
    <workbookView xWindow="1660" yWindow="500" windowWidth="27140" windowHeight="17500" activeTab="1" xr2:uid="{00000000-000D-0000-FFFF-FFFF00000000}"/>
  </bookViews>
  <sheets>
    <sheet name="HW data" sheetId="2" r:id="rId1"/>
    <sheet name="sBG regular_7" sheetId="5" r:id="rId2"/>
    <sheet name="sBG regular_10" sheetId="3" r:id="rId3"/>
    <sheet name="sBG high end_7" sheetId="4" r:id="rId4"/>
    <sheet name="sBG high end_10" sheetId="6" r:id="rId5"/>
  </sheets>
  <definedNames>
    <definedName name="solver_adj" localSheetId="4" hidden="1">'sBG high end_10'!$B$1:$B$2</definedName>
    <definedName name="solver_adj" localSheetId="3" hidden="1">'sBG high end_7'!$B$1:$B$2</definedName>
    <definedName name="solver_adj" localSheetId="2" hidden="1">'sBG regular_10'!$B$1:$B$2</definedName>
    <definedName name="solver_adj" localSheetId="1" hidden="1">'sBG regular_7'!$B$1:$B$2</definedName>
    <definedName name="solver_cvg" localSheetId="4" hidden="1">0.0001</definedName>
    <definedName name="solver_cvg" localSheetId="3" hidden="1">0.0001</definedName>
    <definedName name="solver_cvg" localSheetId="2" hidden="1">0.0001</definedName>
    <definedName name="solver_cvg" localSheetId="1" hidden="1">0.0001</definedName>
    <definedName name="solver_drv" localSheetId="4" hidden="1">1</definedName>
    <definedName name="solver_drv" localSheetId="3" hidden="1">1</definedName>
    <definedName name="solver_drv" localSheetId="2" hidden="1">1</definedName>
    <definedName name="solver_drv" localSheetId="1" hidden="1">1</definedName>
    <definedName name="solver_eng" localSheetId="4" hidden="1">1</definedName>
    <definedName name="solver_eng" localSheetId="3" hidden="1">1</definedName>
    <definedName name="solver_eng" localSheetId="2" hidden="1">1</definedName>
    <definedName name="solver_eng" localSheetId="1" hidden="1">1</definedName>
    <definedName name="solver_itr" localSheetId="4" hidden="1">2147483647</definedName>
    <definedName name="solver_itr" localSheetId="3" hidden="1">2147483647</definedName>
    <definedName name="solver_itr" localSheetId="2" hidden="1">2147483647</definedName>
    <definedName name="solver_itr" localSheetId="1" hidden="1">2147483647</definedName>
    <definedName name="solver_lhs1" localSheetId="4" hidden="1">'sBG high end_10'!$B$1:$B$2</definedName>
    <definedName name="solver_lhs1" localSheetId="3" hidden="1">'sBG high end_7'!$B$1:$B$2</definedName>
    <definedName name="solver_lhs1" localSheetId="2" hidden="1">'sBG regular_10'!$B$1:$B$2</definedName>
    <definedName name="solver_lhs1" localSheetId="1" hidden="1">'sBG regular_7'!$B$1:$B$2</definedName>
    <definedName name="solver_lin" localSheetId="4" hidden="1">2</definedName>
    <definedName name="solver_lin" localSheetId="3" hidden="1">2</definedName>
    <definedName name="solver_lin" localSheetId="2" hidden="1">2</definedName>
    <definedName name="solver_lin" localSheetId="1" hidden="1">2</definedName>
    <definedName name="solver_mip" localSheetId="4" hidden="1">2147483647</definedName>
    <definedName name="solver_mip" localSheetId="3" hidden="1">2147483647</definedName>
    <definedName name="solver_mip" localSheetId="2" hidden="1">2147483647</definedName>
    <definedName name="solver_mip" localSheetId="1" hidden="1">2147483647</definedName>
    <definedName name="solver_mni" localSheetId="4" hidden="1">30</definedName>
    <definedName name="solver_mni" localSheetId="3" hidden="1">30</definedName>
    <definedName name="solver_mni" localSheetId="2" hidden="1">30</definedName>
    <definedName name="solver_mni" localSheetId="1" hidden="1">30</definedName>
    <definedName name="solver_mrt" localSheetId="4" hidden="1">0.075</definedName>
    <definedName name="solver_mrt" localSheetId="3" hidden="1">0.075</definedName>
    <definedName name="solver_mrt" localSheetId="2" hidden="1">0.075</definedName>
    <definedName name="solver_mrt" localSheetId="1" hidden="1">0.075</definedName>
    <definedName name="solver_msl" localSheetId="4" hidden="1">2</definedName>
    <definedName name="solver_msl" localSheetId="3" hidden="1">2</definedName>
    <definedName name="solver_msl" localSheetId="2" hidden="1">2</definedName>
    <definedName name="solver_msl" localSheetId="1" hidden="1">2</definedName>
    <definedName name="solver_neg" localSheetId="4" hidden="1">1</definedName>
    <definedName name="solver_neg" localSheetId="3" hidden="1">1</definedName>
    <definedName name="solver_neg" localSheetId="2" hidden="1">1</definedName>
    <definedName name="solver_neg" localSheetId="1" hidden="1">1</definedName>
    <definedName name="solver_nod" localSheetId="4" hidden="1">2147483647</definedName>
    <definedName name="solver_nod" localSheetId="3" hidden="1">2147483647</definedName>
    <definedName name="solver_nod" localSheetId="2" hidden="1">2147483647</definedName>
    <definedName name="solver_nod" localSheetId="1" hidden="1">2147483647</definedName>
    <definedName name="solver_num" localSheetId="4" hidden="1">1</definedName>
    <definedName name="solver_num" localSheetId="3" hidden="1">1</definedName>
    <definedName name="solver_num" localSheetId="2" hidden="1">1</definedName>
    <definedName name="solver_num" localSheetId="1" hidden="1">1</definedName>
    <definedName name="solver_opt" localSheetId="4" hidden="1">'sBG high end_10'!$B$3</definedName>
    <definedName name="solver_opt" localSheetId="3" hidden="1">'sBG high end_7'!$B$3</definedName>
    <definedName name="solver_opt" localSheetId="2" hidden="1">'sBG regular_10'!$B$3</definedName>
    <definedName name="solver_opt" localSheetId="1" hidden="1">'sBG regular_7'!$B$3</definedName>
    <definedName name="solver_pre" localSheetId="4" hidden="1">0.000001</definedName>
    <definedName name="solver_pre" localSheetId="3" hidden="1">0.000001</definedName>
    <definedName name="solver_pre" localSheetId="2" hidden="1">0.000001</definedName>
    <definedName name="solver_pre" localSheetId="1" hidden="1">0.000001</definedName>
    <definedName name="solver_rbv" localSheetId="4" hidden="1">1</definedName>
    <definedName name="solver_rbv" localSheetId="3" hidden="1">1</definedName>
    <definedName name="solver_rbv" localSheetId="2" hidden="1">1</definedName>
    <definedName name="solver_rbv" localSheetId="1" hidden="1">1</definedName>
    <definedName name="solver_rel1" localSheetId="4" hidden="1">3</definedName>
    <definedName name="solver_rel1" localSheetId="3" hidden="1">3</definedName>
    <definedName name="solver_rel1" localSheetId="2" hidden="1">3</definedName>
    <definedName name="solver_rel1" localSheetId="1" hidden="1">3</definedName>
    <definedName name="solver_rhs1" localSheetId="4" hidden="1">0.000000001</definedName>
    <definedName name="solver_rhs1" localSheetId="3" hidden="1">0.000000001</definedName>
    <definedName name="solver_rhs1" localSheetId="2" hidden="1">0.0000001</definedName>
    <definedName name="solver_rhs1" localSheetId="1" hidden="1">0.00000001</definedName>
    <definedName name="solver_rlx" localSheetId="4" hidden="1">2</definedName>
    <definedName name="solver_rlx" localSheetId="3" hidden="1">2</definedName>
    <definedName name="solver_rlx" localSheetId="2" hidden="1">2</definedName>
    <definedName name="solver_rlx" localSheetId="1" hidden="1">2</definedName>
    <definedName name="solver_rsd" localSheetId="4" hidden="1">0</definedName>
    <definedName name="solver_rsd" localSheetId="3" hidden="1">0</definedName>
    <definedName name="solver_rsd" localSheetId="2" hidden="1">0</definedName>
    <definedName name="solver_rsd" localSheetId="1" hidden="1">0</definedName>
    <definedName name="solver_scl" localSheetId="4" hidden="1">1</definedName>
    <definedName name="solver_scl" localSheetId="3" hidden="1">1</definedName>
    <definedName name="solver_scl" localSheetId="2" hidden="1">1</definedName>
    <definedName name="solver_scl" localSheetId="1" hidden="1">1</definedName>
    <definedName name="solver_sho" localSheetId="4" hidden="1">2</definedName>
    <definedName name="solver_sho" localSheetId="3" hidden="1">2</definedName>
    <definedName name="solver_sho" localSheetId="2" hidden="1">2</definedName>
    <definedName name="solver_sho" localSheetId="1" hidden="1">2</definedName>
    <definedName name="solver_ssz" localSheetId="4" hidden="1">100</definedName>
    <definedName name="solver_ssz" localSheetId="3" hidden="1">100</definedName>
    <definedName name="solver_ssz" localSheetId="2" hidden="1">100</definedName>
    <definedName name="solver_ssz" localSheetId="1" hidden="1">100</definedName>
    <definedName name="solver_tim" localSheetId="4" hidden="1">2147483647</definedName>
    <definedName name="solver_tim" localSheetId="3" hidden="1">2147483647</definedName>
    <definedName name="solver_tim" localSheetId="2" hidden="1">2147483647</definedName>
    <definedName name="solver_tim" localSheetId="1" hidden="1">2147483647</definedName>
    <definedName name="solver_tol" localSheetId="4" hidden="1">0.01</definedName>
    <definedName name="solver_tol" localSheetId="3" hidden="1">0.01</definedName>
    <definedName name="solver_tol" localSheetId="2" hidden="1">0.01</definedName>
    <definedName name="solver_tol" localSheetId="1" hidden="1">0.01</definedName>
    <definedName name="solver_typ" localSheetId="4" hidden="1">1</definedName>
    <definedName name="solver_typ" localSheetId="3" hidden="1">1</definedName>
    <definedName name="solver_typ" localSheetId="2" hidden="1">1</definedName>
    <definedName name="solver_typ" localSheetId="1" hidden="1">1</definedName>
    <definedName name="solver_val" localSheetId="4" hidden="1">0</definedName>
    <definedName name="solver_val" localSheetId="3" hidden="1">0</definedName>
    <definedName name="solver_val" localSheetId="2" hidden="1">0</definedName>
    <definedName name="solver_val" localSheetId="1" hidden="1">0</definedName>
    <definedName name="solver_ver" localSheetId="4" hidden="1">2</definedName>
    <definedName name="solver_ver" localSheetId="3" hidden="1">2</definedName>
    <definedName name="solver_ver" localSheetId="2" hidden="1">2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K1" i="3"/>
  <c r="K1" i="5"/>
  <c r="K2" i="5"/>
  <c r="K1" i="6"/>
  <c r="K2" i="6"/>
  <c r="M1" i="6"/>
  <c r="M2" i="6"/>
  <c r="M2" i="3"/>
  <c r="M2" i="4"/>
  <c r="M1" i="4"/>
  <c r="M1" i="3"/>
  <c r="M2" i="5"/>
  <c r="M1" i="5"/>
  <c r="K2" i="4"/>
  <c r="K1" i="4"/>
  <c r="E8" i="5" l="1"/>
  <c r="F8" i="5" s="1"/>
  <c r="D8" i="5"/>
  <c r="D19" i="6"/>
  <c r="D17" i="6"/>
  <c r="D18" i="6"/>
  <c r="C19" i="6"/>
  <c r="C18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E8" i="6"/>
  <c r="G8" i="6" s="1"/>
  <c r="D8" i="6"/>
  <c r="C8" i="6"/>
  <c r="C7" i="6"/>
  <c r="D21" i="6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E8" i="4"/>
  <c r="D8" i="4"/>
  <c r="D21" i="4" s="1"/>
  <c r="C8" i="4"/>
  <c r="C7" i="4"/>
  <c r="D19" i="3"/>
  <c r="C19" i="3"/>
  <c r="D18" i="3"/>
  <c r="C18" i="3"/>
  <c r="D17" i="3"/>
  <c r="C17" i="3"/>
  <c r="D16" i="3"/>
  <c r="C16" i="3"/>
  <c r="D15" i="3"/>
  <c r="C15" i="3"/>
  <c r="A15" i="3"/>
  <c r="A16" i="3" s="1"/>
  <c r="A17" i="3" s="1"/>
  <c r="A18" i="3" s="1"/>
  <c r="A19" i="3" s="1"/>
  <c r="D14" i="3"/>
  <c r="C14" i="3"/>
  <c r="A14" i="3"/>
  <c r="D13" i="3"/>
  <c r="C13" i="3"/>
  <c r="D12" i="3"/>
  <c r="C12" i="3"/>
  <c r="D11" i="3"/>
  <c r="C11" i="3"/>
  <c r="D10" i="3"/>
  <c r="C10" i="3"/>
  <c r="D9" i="3"/>
  <c r="D21" i="3" s="1"/>
  <c r="C9" i="3"/>
  <c r="E8" i="3"/>
  <c r="E9" i="3" s="1"/>
  <c r="D8" i="3"/>
  <c r="C8" i="3"/>
  <c r="C7" i="3"/>
  <c r="D9" i="5"/>
  <c r="D10" i="5"/>
  <c r="D11" i="5"/>
  <c r="D12" i="5"/>
  <c r="D13" i="5"/>
  <c r="D14" i="5"/>
  <c r="D15" i="5"/>
  <c r="D16" i="5"/>
  <c r="D17" i="5"/>
  <c r="D18" i="5"/>
  <c r="D19" i="5"/>
  <c r="D21" i="5"/>
  <c r="C8" i="5"/>
  <c r="C9" i="5"/>
  <c r="C10" i="5"/>
  <c r="C11" i="5"/>
  <c r="C12" i="5"/>
  <c r="C13" i="5"/>
  <c r="C14" i="5"/>
  <c r="C15" i="5"/>
  <c r="C16" i="5"/>
  <c r="C17" i="5"/>
  <c r="C18" i="5"/>
  <c r="C19" i="5"/>
  <c r="C7" i="5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14" i="5"/>
  <c r="A15" i="5" s="1"/>
  <c r="A16" i="5" s="1"/>
  <c r="A17" i="5" s="1"/>
  <c r="A18" i="5" s="1"/>
  <c r="A19" i="5" s="1"/>
  <c r="F8" i="6" l="1"/>
  <c r="H8" i="6"/>
  <c r="I8" i="6"/>
  <c r="E9" i="6"/>
  <c r="G9" i="6" s="1"/>
  <c r="E9" i="4"/>
  <c r="F9" i="4" s="1"/>
  <c r="F8" i="4"/>
  <c r="G8" i="4"/>
  <c r="F8" i="3"/>
  <c r="E10" i="3"/>
  <c r="F9" i="3"/>
  <c r="G9" i="3"/>
  <c r="H9" i="3" s="1"/>
  <c r="G8" i="3"/>
  <c r="H8" i="3" s="1"/>
  <c r="G8" i="5"/>
  <c r="E9" i="5"/>
  <c r="H8" i="5" l="1"/>
  <c r="E10" i="5"/>
  <c r="E11" i="5" s="1"/>
  <c r="E12" i="5" s="1"/>
  <c r="E13" i="5" s="1"/>
  <c r="E14" i="5" s="1"/>
  <c r="F14" i="5" s="1"/>
  <c r="I8" i="5"/>
  <c r="F9" i="6"/>
  <c r="I9" i="6"/>
  <c r="H9" i="6"/>
  <c r="E10" i="6"/>
  <c r="G9" i="4"/>
  <c r="H9" i="4" s="1"/>
  <c r="E10" i="4"/>
  <c r="F10" i="4" s="1"/>
  <c r="H8" i="4"/>
  <c r="I8" i="4"/>
  <c r="E11" i="3"/>
  <c r="G11" i="3" s="1"/>
  <c r="F10" i="3"/>
  <c r="I8" i="3"/>
  <c r="G10" i="3"/>
  <c r="I9" i="3"/>
  <c r="G9" i="5"/>
  <c r="F9" i="5"/>
  <c r="F10" i="5" l="1"/>
  <c r="E21" i="5"/>
  <c r="F21" i="5" s="1"/>
  <c r="G13" i="5"/>
  <c r="H13" i="5" s="1"/>
  <c r="F13" i="5"/>
  <c r="G14" i="5"/>
  <c r="H14" i="5" s="1"/>
  <c r="G12" i="5"/>
  <c r="H12" i="5" s="1"/>
  <c r="E15" i="5"/>
  <c r="G15" i="5" s="1"/>
  <c r="F11" i="5"/>
  <c r="F12" i="5"/>
  <c r="G10" i="5"/>
  <c r="H10" i="5" s="1"/>
  <c r="G11" i="5"/>
  <c r="H11" i="5" s="1"/>
  <c r="H9" i="5"/>
  <c r="I9" i="5"/>
  <c r="E11" i="6"/>
  <c r="G10" i="6"/>
  <c r="F10" i="6"/>
  <c r="E11" i="4"/>
  <c r="F11" i="4" s="1"/>
  <c r="I9" i="4"/>
  <c r="G10" i="4"/>
  <c r="E12" i="4"/>
  <c r="G12" i="4" s="1"/>
  <c r="I10" i="3"/>
  <c r="H10" i="3"/>
  <c r="I11" i="3"/>
  <c r="H11" i="3"/>
  <c r="E12" i="3"/>
  <c r="G12" i="3" s="1"/>
  <c r="F11" i="3"/>
  <c r="H15" i="5" l="1"/>
  <c r="I14" i="5"/>
  <c r="I13" i="5"/>
  <c r="I15" i="5"/>
  <c r="I11" i="5"/>
  <c r="I12" i="5"/>
  <c r="B3" i="5"/>
  <c r="I10" i="5"/>
  <c r="E16" i="5"/>
  <c r="G16" i="5" s="1"/>
  <c r="G11" i="6"/>
  <c r="H10" i="6"/>
  <c r="I10" i="6"/>
  <c r="H11" i="6"/>
  <c r="I11" i="6"/>
  <c r="E12" i="6"/>
  <c r="F11" i="6"/>
  <c r="G11" i="4"/>
  <c r="I11" i="4" s="1"/>
  <c r="H10" i="4"/>
  <c r="I10" i="4"/>
  <c r="I12" i="4"/>
  <c r="H12" i="4"/>
  <c r="E13" i="4"/>
  <c r="G13" i="4" s="1"/>
  <c r="F12" i="4"/>
  <c r="H12" i="3"/>
  <c r="I12" i="3"/>
  <c r="E13" i="3"/>
  <c r="G13" i="3" s="1"/>
  <c r="F12" i="3"/>
  <c r="E17" i="5" l="1"/>
  <c r="E18" i="5" s="1"/>
  <c r="E19" i="5" s="1"/>
  <c r="H16" i="5"/>
  <c r="I16" i="5"/>
  <c r="H11" i="4"/>
  <c r="E13" i="6"/>
  <c r="G13" i="6" s="1"/>
  <c r="F12" i="6"/>
  <c r="G12" i="6"/>
  <c r="I13" i="4"/>
  <c r="H13" i="4"/>
  <c r="E14" i="4"/>
  <c r="E21" i="4" s="1"/>
  <c r="F21" i="4" s="1"/>
  <c r="F13" i="4"/>
  <c r="I13" i="3"/>
  <c r="H13" i="3"/>
  <c r="E14" i="3"/>
  <c r="F13" i="3"/>
  <c r="G17" i="5" l="1"/>
  <c r="G19" i="5"/>
  <c r="H19" i="5" s="1"/>
  <c r="G18" i="5"/>
  <c r="I13" i="6"/>
  <c r="H13" i="6"/>
  <c r="H12" i="6"/>
  <c r="I12" i="6"/>
  <c r="F13" i="6"/>
  <c r="E14" i="6"/>
  <c r="E15" i="4"/>
  <c r="F14" i="4"/>
  <c r="B3" i="4" s="1"/>
  <c r="G14" i="4"/>
  <c r="E15" i="3"/>
  <c r="F15" i="3" s="1"/>
  <c r="F14" i="3"/>
  <c r="G14" i="3"/>
  <c r="H17" i="5" l="1"/>
  <c r="I17" i="5"/>
  <c r="I19" i="5"/>
  <c r="H18" i="5"/>
  <c r="I18" i="5"/>
  <c r="F14" i="6"/>
  <c r="E15" i="6"/>
  <c r="G15" i="6" s="1"/>
  <c r="G14" i="6"/>
  <c r="H14" i="4"/>
  <c r="I14" i="4"/>
  <c r="E16" i="4"/>
  <c r="G16" i="4" s="1"/>
  <c r="G15" i="4"/>
  <c r="G15" i="3"/>
  <c r="H15" i="3" s="1"/>
  <c r="I14" i="3"/>
  <c r="H14" i="3"/>
  <c r="E16" i="3"/>
  <c r="F16" i="3" s="1"/>
  <c r="I14" i="6" l="1"/>
  <c r="H14" i="6"/>
  <c r="I15" i="6"/>
  <c r="H15" i="6"/>
  <c r="E16" i="6"/>
  <c r="F15" i="6"/>
  <c r="H15" i="4"/>
  <c r="I15" i="4"/>
  <c r="H16" i="4"/>
  <c r="I16" i="4"/>
  <c r="E17" i="4"/>
  <c r="I15" i="3"/>
  <c r="E17" i="3"/>
  <c r="G16" i="3"/>
  <c r="E17" i="6" l="1"/>
  <c r="F16" i="6"/>
  <c r="G16" i="6"/>
  <c r="E18" i="4"/>
  <c r="E19" i="4" s="1"/>
  <c r="G19" i="4" s="1"/>
  <c r="G17" i="4"/>
  <c r="F17" i="3"/>
  <c r="E21" i="3"/>
  <c r="F21" i="3" s="1"/>
  <c r="H16" i="3"/>
  <c r="I16" i="3"/>
  <c r="E18" i="3"/>
  <c r="G17" i="3"/>
  <c r="G17" i="6" l="1"/>
  <c r="E21" i="6"/>
  <c r="F21" i="6" s="1"/>
  <c r="I17" i="6"/>
  <c r="H17" i="6"/>
  <c r="I16" i="6"/>
  <c r="H16" i="6"/>
  <c r="E18" i="6"/>
  <c r="F17" i="6"/>
  <c r="G18" i="4"/>
  <c r="H18" i="4" s="1"/>
  <c r="I17" i="4"/>
  <c r="H17" i="4"/>
  <c r="I19" i="4"/>
  <c r="H19" i="4"/>
  <c r="B3" i="3"/>
  <c r="H17" i="3"/>
  <c r="I17" i="3"/>
  <c r="E19" i="3"/>
  <c r="G19" i="3" s="1"/>
  <c r="G18" i="3"/>
  <c r="B3" i="6" l="1"/>
  <c r="E19" i="6"/>
  <c r="G19" i="6" s="1"/>
  <c r="I19" i="6" s="1"/>
  <c r="G18" i="6"/>
  <c r="I18" i="4"/>
  <c r="H18" i="3"/>
  <c r="I18" i="3"/>
  <c r="H19" i="3"/>
  <c r="I19" i="3"/>
  <c r="H18" i="6" l="1"/>
  <c r="I18" i="6"/>
  <c r="H19" i="6"/>
</calcChain>
</file>

<file path=xl/sharedStrings.xml><?xml version="1.0" encoding="utf-8"?>
<sst xmlns="http://schemas.openxmlformats.org/spreadsheetml/2006/main" count="75" uniqueCount="23">
  <si>
    <t>Year</t>
  </si>
  <si>
    <t>"Regular"</t>
  </si>
  <si>
    <t>"High End"</t>
  </si>
  <si>
    <t>alpha</t>
  </si>
  <si>
    <t xml:space="preserve">beta </t>
  </si>
  <si>
    <t xml:space="preserve">LL </t>
  </si>
  <si>
    <t>% Alive</t>
  </si>
  <si>
    <t xml:space="preserve"># churn </t>
  </si>
  <si>
    <t>P(T = t | alpha, beta)</t>
  </si>
  <si>
    <t xml:space="preserve">Log Likelihood </t>
  </si>
  <si>
    <t>Expected % Alive</t>
  </si>
  <si>
    <t>% Error</t>
  </si>
  <si>
    <t>Number</t>
  </si>
  <si>
    <t>validation</t>
  </si>
  <si>
    <t>&gt;7</t>
  </si>
  <si>
    <t xml:space="preserve">Predicted Number </t>
  </si>
  <si>
    <t>&gt;10</t>
  </si>
  <si>
    <t>Predicted Number</t>
  </si>
  <si>
    <t>forecast</t>
  </si>
  <si>
    <t>calibration MAPE</t>
  </si>
  <si>
    <t>forecast MAPE</t>
  </si>
  <si>
    <t>calibration r2</t>
  </si>
  <si>
    <t>forecast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</si>
</sst>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right"/>
    </xf>
    <xf numFmtId="164" fontId="0" fillId="0" borderId="0" xfId="0" applyNumberFormat="1"/>
    <xf numFmtId="0" fontId="1" fillId="0" borderId="1" xfId="0" applyFont="1" applyBorder="1" applyAlignment="1">
      <alignment horizontal="right"/>
    </xf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164" fontId="0" fillId="2" borderId="0" xfId="0" applyNumberFormat="1" applyFill="1"/>
    <xf numFmtId="0" fontId="1" fillId="0" borderId="0" xfId="0" applyFont="1"/>
    <xf numFmtId="0" fontId="0" fillId="3" borderId="0" xfId="0" applyFill="1"/>
    <xf numFmtId="0" fontId="1" fillId="3" borderId="0" xfId="0" applyFont="1" applyFill="1"/>
    <xf numFmtId="10" fontId="0" fillId="0" borderId="0" xfId="0" applyNumberFormat="1"/>
    <xf numFmtId="10" fontId="0" fillId="3" borderId="0" xfId="0" applyNumberFormat="1" applyFill="1"/>
    <xf numFmtId="1" fontId="0" fillId="3" borderId="0" xfId="0" applyNumberFormat="1" applyFill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sBG Model 7</a:t>
            </a:r>
            <a:r>
              <a:rPr lang="en-US" baseline="0"/>
              <a:t> Periods Calibration (regular cohort)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Alive</c:v>
          </c:tx>
          <c:spPr>
            <a:ln w="28575" cap="rnd">
              <a:solidFill>
                <a:schemeClr val="accent1"/>
              </a:solidFill>
              <a:bevel/>
            </a:ln>
            <a:effectLst/>
          </c:spPr>
          <c:marker>
            <c:symbol val="star"/>
            <c:size val="10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Pt>
            <c:idx val="11"/>
            <c:marker>
              <c:symbol val="star"/>
              <c:size val="10"/>
              <c:spPr>
                <a:noFill/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339-1844-9D31-C5630120D7DE}"/>
              </c:ext>
            </c:extLst>
          </c:dPt>
          <c:val>
            <c:numRef>
              <c:f>'sBG regular_7'!$C$8:$C$19</c:f>
              <c:numCache>
                <c:formatCode>0.00%</c:formatCode>
                <c:ptCount val="12"/>
                <c:pt idx="0">
                  <c:v>0.63100000000000001</c:v>
                </c:pt>
                <c:pt idx="1">
                  <c:v>0.46800000000000003</c:v>
                </c:pt>
                <c:pt idx="2">
                  <c:v>0.38200000000000001</c:v>
                </c:pt>
                <c:pt idx="3">
                  <c:v>0.32600000000000001</c:v>
                </c:pt>
                <c:pt idx="4">
                  <c:v>0.28899999999999998</c:v>
                </c:pt>
                <c:pt idx="5">
                  <c:v>0.26200000000000001</c:v>
                </c:pt>
                <c:pt idx="6">
                  <c:v>0.24099999999999999</c:v>
                </c:pt>
                <c:pt idx="7">
                  <c:v>0.223</c:v>
                </c:pt>
                <c:pt idx="8">
                  <c:v>0.20699999999999999</c:v>
                </c:pt>
                <c:pt idx="9">
                  <c:v>0.19400000000000001</c:v>
                </c:pt>
                <c:pt idx="10">
                  <c:v>0.183</c:v>
                </c:pt>
                <c:pt idx="11">
                  <c:v>0.17299999999999999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9-1844-9D31-C5630120D7DE}"/>
            </c:ext>
          </c:extLst>
        </c:ser>
        <c:ser>
          <c:idx val="1"/>
          <c:order val="1"/>
          <c:tx>
            <c:v>Expected % Alive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'sBG regular_7'!$G$8:$G$19</c:f>
              <c:numCache>
                <c:formatCode>0.00%</c:formatCode>
                <c:ptCount val="12"/>
                <c:pt idx="0">
                  <c:v>0.62670521473940655</c:v>
                </c:pt>
                <c:pt idx="1">
                  <c:v>0.47381889767499086</c:v>
                </c:pt>
                <c:pt idx="2">
                  <c:v>0.38797387608401157</c:v>
                </c:pt>
                <c:pt idx="3">
                  <c:v>0.3320680776590238</c:v>
                </c:pt>
                <c:pt idx="4">
                  <c:v>0.2923474390270886</c:v>
                </c:pt>
                <c:pt idx="5">
                  <c:v>0.26245628341796101</c:v>
                </c:pt>
                <c:pt idx="6">
                  <c:v>0.2390241713167881</c:v>
                </c:pt>
                <c:pt idx="7">
                  <c:v>0.22008559317462506</c:v>
                </c:pt>
                <c:pt idx="8">
                  <c:v>0.20441146609182981</c:v>
                </c:pt>
                <c:pt idx="9">
                  <c:v>0.19119091118223497</c:v>
                </c:pt>
                <c:pt idx="10">
                  <c:v>0.17986574415546874</c:v>
                </c:pt>
                <c:pt idx="11">
                  <c:v>0.17003822914506583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39-1844-9D31-C5630120D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442256"/>
        <c:axId val="932471168"/>
      </c:lineChart>
      <c:catAx>
        <c:axId val="93244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71168"/>
        <c:crosses val="autoZero"/>
        <c:auto val="1"/>
        <c:lblAlgn val="ctr"/>
        <c:lblOffset val="100"/>
        <c:tickLblSkip val="1"/>
        <c:noMultiLvlLbl val="0"/>
      </c:catAx>
      <c:valAx>
        <c:axId val="9324711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42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sBG Model 10</a:t>
            </a:r>
            <a:r>
              <a:rPr lang="en-US" baseline="0"/>
              <a:t> Periods Calibration (regular cohort)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Alive</c:v>
          </c:tx>
          <c:spPr>
            <a:ln w="28575" cap="rnd">
              <a:solidFill>
                <a:schemeClr val="accent1"/>
              </a:solidFill>
              <a:bevel/>
            </a:ln>
            <a:effectLst/>
          </c:spPr>
          <c:marker>
            <c:symbol val="star"/>
            <c:size val="10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Pt>
            <c:idx val="11"/>
            <c:marker>
              <c:symbol val="star"/>
              <c:size val="10"/>
              <c:spPr>
                <a:noFill/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6CA-B348-AD2D-97987DB3916F}"/>
              </c:ext>
            </c:extLst>
          </c:dPt>
          <c:val>
            <c:numRef>
              <c:f>'sBG regular_10'!$C$8:$C$19</c:f>
              <c:numCache>
                <c:formatCode>0.00%</c:formatCode>
                <c:ptCount val="12"/>
                <c:pt idx="0">
                  <c:v>0.63100000000000001</c:v>
                </c:pt>
                <c:pt idx="1">
                  <c:v>0.46800000000000003</c:v>
                </c:pt>
                <c:pt idx="2">
                  <c:v>0.38200000000000001</c:v>
                </c:pt>
                <c:pt idx="3">
                  <c:v>0.32600000000000001</c:v>
                </c:pt>
                <c:pt idx="4">
                  <c:v>0.28899999999999998</c:v>
                </c:pt>
                <c:pt idx="5">
                  <c:v>0.26200000000000001</c:v>
                </c:pt>
                <c:pt idx="6">
                  <c:v>0.24099999999999999</c:v>
                </c:pt>
                <c:pt idx="7">
                  <c:v>0.223</c:v>
                </c:pt>
                <c:pt idx="8">
                  <c:v>0.20699999999999999</c:v>
                </c:pt>
                <c:pt idx="9">
                  <c:v>0.19400000000000001</c:v>
                </c:pt>
                <c:pt idx="10">
                  <c:v>0.183</c:v>
                </c:pt>
                <c:pt idx="11">
                  <c:v>0.17299999999999999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CA-B348-AD2D-97987DB3916F}"/>
            </c:ext>
          </c:extLst>
        </c:ser>
        <c:ser>
          <c:idx val="1"/>
          <c:order val="1"/>
          <c:tx>
            <c:v>Expected % Alive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'sBG regular_10'!$G$8:$G$19</c:f>
              <c:numCache>
                <c:formatCode>0.00%</c:formatCode>
                <c:ptCount val="12"/>
                <c:pt idx="0">
                  <c:v>0.62641383680846974</c:v>
                </c:pt>
                <c:pt idx="1">
                  <c:v>0.47392901758462835</c:v>
                </c:pt>
                <c:pt idx="2">
                  <c:v>0.38837180275943772</c:v>
                </c:pt>
                <c:pt idx="3">
                  <c:v>0.33265614779434305</c:v>
                </c:pt>
                <c:pt idx="4">
                  <c:v>0.29306311796134188</c:v>
                </c:pt>
                <c:pt idx="5">
                  <c:v>0.26325958977532771</c:v>
                </c:pt>
                <c:pt idx="6">
                  <c:v>0.23988875714206748</c:v>
                </c:pt>
                <c:pt idx="7">
                  <c:v>0.22099352952362838</c:v>
                </c:pt>
                <c:pt idx="8">
                  <c:v>0.20535020104687962</c:v>
                </c:pt>
                <c:pt idx="9">
                  <c:v>0.19215144242420679</c:v>
                </c:pt>
                <c:pt idx="10">
                  <c:v>0.18084148310319403</c:v>
                </c:pt>
                <c:pt idx="11">
                  <c:v>0.17102427165476197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CA-B348-AD2D-97987DB39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442256"/>
        <c:axId val="932471168"/>
      </c:lineChart>
      <c:catAx>
        <c:axId val="93244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71168"/>
        <c:crosses val="autoZero"/>
        <c:auto val="1"/>
        <c:lblAlgn val="ctr"/>
        <c:lblOffset val="100"/>
        <c:tickLblSkip val="1"/>
        <c:noMultiLvlLbl val="0"/>
      </c:catAx>
      <c:valAx>
        <c:axId val="9324711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42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sBG Model 7</a:t>
            </a:r>
            <a:r>
              <a:rPr lang="en-US" baseline="0"/>
              <a:t> Periods Calibration (high end cohort)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Alive</c:v>
          </c:tx>
          <c:spPr>
            <a:ln w="28575" cap="rnd">
              <a:solidFill>
                <a:schemeClr val="accent1"/>
              </a:solidFill>
              <a:bevel/>
            </a:ln>
            <a:effectLst/>
          </c:spPr>
          <c:marker>
            <c:symbol val="star"/>
            <c:size val="10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Pt>
            <c:idx val="11"/>
            <c:marker>
              <c:symbol val="star"/>
              <c:size val="10"/>
              <c:spPr>
                <a:noFill/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299-2749-B8BB-730C972B42E9}"/>
              </c:ext>
            </c:extLst>
          </c:dPt>
          <c:val>
            <c:numRef>
              <c:f>'sBG high end_7'!$C$8:$C$19</c:f>
              <c:numCache>
                <c:formatCode>0.00%</c:formatCode>
                <c:ptCount val="12"/>
                <c:pt idx="0">
                  <c:v>0.86899999999999999</c:v>
                </c:pt>
                <c:pt idx="1">
                  <c:v>0.74299999999999999</c:v>
                </c:pt>
                <c:pt idx="2">
                  <c:v>0.65300000000000002</c:v>
                </c:pt>
                <c:pt idx="3">
                  <c:v>0.59299999999999997</c:v>
                </c:pt>
                <c:pt idx="4">
                  <c:v>0.55100000000000005</c:v>
                </c:pt>
                <c:pt idx="5">
                  <c:v>0.51700000000000002</c:v>
                </c:pt>
                <c:pt idx="6">
                  <c:v>0.49099999999999999</c:v>
                </c:pt>
                <c:pt idx="7">
                  <c:v>0.46800000000000003</c:v>
                </c:pt>
                <c:pt idx="8">
                  <c:v>0.44500000000000001</c:v>
                </c:pt>
                <c:pt idx="9">
                  <c:v>0.42699999999999999</c:v>
                </c:pt>
                <c:pt idx="10">
                  <c:v>0.40899999999999997</c:v>
                </c:pt>
                <c:pt idx="11">
                  <c:v>0.39400000000000002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99-2749-B8BB-730C972B42E9}"/>
            </c:ext>
          </c:extLst>
        </c:ser>
        <c:ser>
          <c:idx val="1"/>
          <c:order val="1"/>
          <c:tx>
            <c:v>Expected % Alive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'sBG high end_7'!$G$8:$G$19</c:f>
              <c:numCache>
                <c:formatCode>0.00%</c:formatCode>
                <c:ptCount val="12"/>
                <c:pt idx="0">
                  <c:v>0.85067861769076769</c:v>
                </c:pt>
                <c:pt idx="1">
                  <c:v>0.74685883007054055</c:v>
                </c:pt>
                <c:pt idx="2">
                  <c:v>0.66978867613383697</c:v>
                </c:pt>
                <c:pt idx="3">
                  <c:v>0.6099191482895836</c:v>
                </c:pt>
                <c:pt idx="4">
                  <c:v>0.56183460585524236</c:v>
                </c:pt>
                <c:pt idx="5">
                  <c:v>0.52221617951589172</c:v>
                </c:pt>
                <c:pt idx="6">
                  <c:v>0.48890728473793732</c:v>
                </c:pt>
                <c:pt idx="7">
                  <c:v>0.46044076178715299</c:v>
                </c:pt>
                <c:pt idx="8">
                  <c:v>0.43578087777453567</c:v>
                </c:pt>
                <c:pt idx="9">
                  <c:v>0.41417385944516771</c:v>
                </c:pt>
                <c:pt idx="10">
                  <c:v>0.39505695759454018</c:v>
                </c:pt>
                <c:pt idx="11">
                  <c:v>0.37800082071994867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9-2749-B8BB-730C972B4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442256"/>
        <c:axId val="932471168"/>
      </c:lineChart>
      <c:catAx>
        <c:axId val="93244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71168"/>
        <c:crosses val="autoZero"/>
        <c:auto val="1"/>
        <c:lblAlgn val="ctr"/>
        <c:lblOffset val="100"/>
        <c:tickLblSkip val="1"/>
        <c:noMultiLvlLbl val="0"/>
      </c:catAx>
      <c:valAx>
        <c:axId val="9324711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42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sBG Model 10</a:t>
            </a:r>
            <a:r>
              <a:rPr lang="en-US" baseline="0"/>
              <a:t> Periods Calibration (high end cohort)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Alive</c:v>
          </c:tx>
          <c:spPr>
            <a:ln w="28575" cap="rnd">
              <a:solidFill>
                <a:schemeClr val="accent1"/>
              </a:solidFill>
              <a:bevel/>
            </a:ln>
            <a:effectLst/>
          </c:spPr>
          <c:marker>
            <c:symbol val="star"/>
            <c:size val="10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Pt>
            <c:idx val="11"/>
            <c:marker>
              <c:symbol val="star"/>
              <c:size val="10"/>
              <c:spPr>
                <a:noFill/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9EF-FF48-8F2D-E7C46A889F71}"/>
              </c:ext>
            </c:extLst>
          </c:dPt>
          <c:val>
            <c:numRef>
              <c:f>'sBG high end_10'!$C$8:$C$19</c:f>
              <c:numCache>
                <c:formatCode>0.00%</c:formatCode>
                <c:ptCount val="12"/>
                <c:pt idx="0">
                  <c:v>0.86899999999999999</c:v>
                </c:pt>
                <c:pt idx="1">
                  <c:v>0.74299999999999999</c:v>
                </c:pt>
                <c:pt idx="2">
                  <c:v>0.65300000000000002</c:v>
                </c:pt>
                <c:pt idx="3">
                  <c:v>0.59299999999999997</c:v>
                </c:pt>
                <c:pt idx="4">
                  <c:v>0.55100000000000005</c:v>
                </c:pt>
                <c:pt idx="5">
                  <c:v>0.51700000000000002</c:v>
                </c:pt>
                <c:pt idx="6">
                  <c:v>0.49099999999999999</c:v>
                </c:pt>
                <c:pt idx="7">
                  <c:v>0.46800000000000003</c:v>
                </c:pt>
                <c:pt idx="8">
                  <c:v>0.44500000000000001</c:v>
                </c:pt>
                <c:pt idx="9">
                  <c:v>0.42699999999999999</c:v>
                </c:pt>
                <c:pt idx="10">
                  <c:v>0.40899999999999997</c:v>
                </c:pt>
                <c:pt idx="11">
                  <c:v>0.39400000000000002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F-FF48-8F2D-E7C46A889F71}"/>
            </c:ext>
          </c:extLst>
        </c:ser>
        <c:ser>
          <c:idx val="1"/>
          <c:order val="1"/>
          <c:tx>
            <c:v>Expected % Alive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'sBG high end_10'!$G$8:$G$19</c:f>
              <c:numCache>
                <c:formatCode>0.00%</c:formatCode>
                <c:ptCount val="12"/>
                <c:pt idx="0">
                  <c:v>0.8484737182205746</c:v>
                </c:pt>
                <c:pt idx="1">
                  <c:v>0.74565236522088174</c:v>
                </c:pt>
                <c:pt idx="2">
                  <c:v>0.67036685340041691</c:v>
                </c:pt>
                <c:pt idx="3">
                  <c:v>0.612360251053086</c:v>
                </c:pt>
                <c:pt idx="4">
                  <c:v>0.56600142222656658</c:v>
                </c:pt>
                <c:pt idx="5">
                  <c:v>0.52791645959746503</c:v>
                </c:pt>
                <c:pt idx="6">
                  <c:v>0.49594855413800543</c:v>
                </c:pt>
                <c:pt idx="7">
                  <c:v>0.46864817025167071</c:v>
                </c:pt>
                <c:pt idx="8">
                  <c:v>0.44500148064468803</c:v>
                </c:pt>
                <c:pt idx="9">
                  <c:v>0.42427594639763333</c:v>
                </c:pt>
                <c:pt idx="10">
                  <c:v>0.40592774915203222</c:v>
                </c:pt>
                <c:pt idx="11">
                  <c:v>0.38954382801635146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EF-FF48-8F2D-E7C46A889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442256"/>
        <c:axId val="932471168"/>
      </c:lineChart>
      <c:catAx>
        <c:axId val="93244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71168"/>
        <c:crosses val="autoZero"/>
        <c:auto val="1"/>
        <c:lblAlgn val="ctr"/>
        <c:lblOffset val="100"/>
        <c:tickLblSkip val="1"/>
        <c:noMultiLvlLbl val="0"/>
      </c:catAx>
      <c:valAx>
        <c:axId val="9324711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42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22</xdr:row>
      <xdr:rowOff>27940</xdr:rowOff>
    </xdr:from>
    <xdr:to>
      <xdr:col>6</xdr:col>
      <xdr:colOff>279400</xdr:colOff>
      <xdr:row>45</xdr:row>
      <xdr:rowOff>27940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6D2651-FDCE-4772-AB28-FF6B0B600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38100</xdr:rowOff>
    </xdr:from>
    <xdr:to>
      <xdr:col>6</xdr:col>
      <xdr:colOff>282655</xdr:colOff>
      <xdr:row>44</xdr:row>
      <xdr:rowOff>87833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61247-CACD-DE49-B567-18CE707E6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6</xdr:col>
      <xdr:colOff>410295</xdr:colOff>
      <xdr:row>43</xdr:row>
      <xdr:rowOff>104481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265B3-EB45-974F-867A-9827D5832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21</xdr:row>
      <xdr:rowOff>50800</xdr:rowOff>
    </xdr:from>
    <xdr:to>
      <xdr:col>6</xdr:col>
      <xdr:colOff>319970</xdr:colOff>
      <xdr:row>43</xdr:row>
      <xdr:rowOff>12614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F73CE-EDCB-074C-BE5A-F999201C9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zoomScale="133" workbookViewId="0">
      <selection activeCell="F11" sqref="F11"/>
    </sheetView>
  </sheetViews>
  <sheetFormatPr baseColWidth="10" defaultColWidth="8.83203125" defaultRowHeight="13" x14ac:dyDescent="0.15"/>
  <sheetData>
    <row r="1" spans="1:4" ht="14" thickBot="1" x14ac:dyDescent="0.2">
      <c r="A1" s="1" t="s">
        <v>0</v>
      </c>
      <c r="B1" s="3" t="s">
        <v>1</v>
      </c>
      <c r="C1" s="3" t="s">
        <v>2</v>
      </c>
    </row>
    <row r="2" spans="1:4" x14ac:dyDescent="0.15">
      <c r="A2">
        <v>0</v>
      </c>
      <c r="B2">
        <v>1000</v>
      </c>
      <c r="C2" s="4">
        <v>1000</v>
      </c>
    </row>
    <row r="3" spans="1:4" x14ac:dyDescent="0.15">
      <c r="A3">
        <v>1</v>
      </c>
      <c r="B3">
        <v>631</v>
      </c>
      <c r="C3" s="4">
        <v>869</v>
      </c>
    </row>
    <row r="4" spans="1:4" x14ac:dyDescent="0.15">
      <c r="A4" s="5">
        <v>2</v>
      </c>
      <c r="B4" s="5">
        <v>468</v>
      </c>
      <c r="C4" s="6">
        <v>743</v>
      </c>
      <c r="D4" s="5"/>
    </row>
    <row r="5" spans="1:4" x14ac:dyDescent="0.15">
      <c r="A5" s="5">
        <v>3</v>
      </c>
      <c r="B5" s="5">
        <v>382</v>
      </c>
      <c r="C5" s="6">
        <v>653</v>
      </c>
      <c r="D5" s="5"/>
    </row>
    <row r="6" spans="1:4" x14ac:dyDescent="0.15">
      <c r="A6" s="5">
        <v>4</v>
      </c>
      <c r="B6" s="5">
        <v>326</v>
      </c>
      <c r="C6" s="6">
        <v>593</v>
      </c>
      <c r="D6" s="5"/>
    </row>
    <row r="7" spans="1:4" x14ac:dyDescent="0.15">
      <c r="A7" s="5">
        <v>5</v>
      </c>
      <c r="B7" s="5">
        <v>289</v>
      </c>
      <c r="C7" s="6">
        <v>551</v>
      </c>
      <c r="D7" s="5"/>
    </row>
    <row r="8" spans="1:4" x14ac:dyDescent="0.15">
      <c r="A8" s="5">
        <v>6</v>
      </c>
      <c r="B8" s="5">
        <v>262</v>
      </c>
      <c r="C8" s="6">
        <v>517</v>
      </c>
      <c r="D8" s="5"/>
    </row>
    <row r="9" spans="1:4" x14ac:dyDescent="0.15">
      <c r="A9" s="5">
        <v>7</v>
      </c>
      <c r="B9" s="5">
        <v>241</v>
      </c>
      <c r="C9" s="6">
        <v>491</v>
      </c>
      <c r="D9" s="5"/>
    </row>
    <row r="10" spans="1:4" x14ac:dyDescent="0.15">
      <c r="A10" s="5">
        <v>8</v>
      </c>
      <c r="B10" s="5">
        <v>223</v>
      </c>
      <c r="C10" s="5">
        <v>468</v>
      </c>
      <c r="D10" s="5"/>
    </row>
    <row r="11" spans="1:4" x14ac:dyDescent="0.15">
      <c r="A11" s="5">
        <v>9</v>
      </c>
      <c r="B11" s="5">
        <v>207</v>
      </c>
      <c r="C11" s="5">
        <v>445</v>
      </c>
      <c r="D11" s="5"/>
    </row>
    <row r="12" spans="1:4" x14ac:dyDescent="0.15">
      <c r="A12" s="5">
        <v>10</v>
      </c>
      <c r="B12" s="5">
        <v>194</v>
      </c>
      <c r="C12" s="5">
        <v>427</v>
      </c>
      <c r="D12" s="5"/>
    </row>
    <row r="13" spans="1:4" x14ac:dyDescent="0.15">
      <c r="A13" s="5">
        <v>11</v>
      </c>
      <c r="B13" s="5">
        <v>183</v>
      </c>
      <c r="C13" s="5">
        <v>409</v>
      </c>
      <c r="D13" s="5"/>
    </row>
    <row r="14" spans="1:4" x14ac:dyDescent="0.15">
      <c r="A14" s="5">
        <v>12</v>
      </c>
      <c r="B14" s="5">
        <v>173</v>
      </c>
      <c r="C14" s="5">
        <v>394</v>
      </c>
      <c r="D14" s="5"/>
    </row>
    <row r="15" spans="1:4" x14ac:dyDescent="0.15">
      <c r="A15" s="5"/>
      <c r="B15" s="5"/>
      <c r="C15" s="5"/>
      <c r="D15" s="5"/>
    </row>
    <row r="16" spans="1:4" x14ac:dyDescent="0.15">
      <c r="A16" s="5"/>
      <c r="B16" s="5"/>
      <c r="C16" s="5"/>
      <c r="D16" s="5"/>
    </row>
    <row r="17" spans="1:4" x14ac:dyDescent="0.15">
      <c r="A17" s="5"/>
      <c r="B17" s="5"/>
      <c r="C17" s="5"/>
      <c r="D17" s="7"/>
    </row>
    <row r="18" spans="1:4" x14ac:dyDescent="0.15">
      <c r="D18" s="2"/>
    </row>
    <row r="19" spans="1:4" x14ac:dyDescent="0.15">
      <c r="D19" s="2"/>
    </row>
    <row r="20" spans="1:4" x14ac:dyDescent="0.15">
      <c r="D20" s="2"/>
    </row>
    <row r="21" spans="1:4" x14ac:dyDescent="0.15">
      <c r="D21" s="2"/>
    </row>
    <row r="22" spans="1:4" x14ac:dyDescent="0.15">
      <c r="D22" s="2"/>
    </row>
    <row r="23" spans="1:4" x14ac:dyDescent="0.15">
      <c r="D23" s="2"/>
    </row>
    <row r="24" spans="1:4" x14ac:dyDescent="0.15">
      <c r="D24" s="2"/>
    </row>
    <row r="25" spans="1:4" x14ac:dyDescent="0.15">
      <c r="D25" s="2"/>
    </row>
    <row r="26" spans="1:4" x14ac:dyDescent="0.15">
      <c r="D26" s="2"/>
    </row>
    <row r="27" spans="1:4" x14ac:dyDescent="0.15">
      <c r="D27" s="2"/>
    </row>
    <row r="28" spans="1:4" x14ac:dyDescent="0.15">
      <c r="D28" s="2"/>
    </row>
    <row r="29" spans="1:4" x14ac:dyDescent="0.15">
      <c r="D29" s="2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E197-0007-F54E-B070-766C41EDB106}">
  <dimension ref="A1:M21"/>
  <sheetViews>
    <sheetView tabSelected="1" zoomScale="88" workbookViewId="0">
      <selection activeCell="K8" sqref="K8"/>
    </sheetView>
  </sheetViews>
  <sheetFormatPr baseColWidth="10" defaultRowHeight="13" x14ac:dyDescent="0.15"/>
  <cols>
    <col min="4" max="5" width="17.33203125" bestFit="1" customWidth="1"/>
    <col min="6" max="7" width="14.6640625" bestFit="1" customWidth="1"/>
    <col min="8" max="8" width="20.33203125" bestFit="1" customWidth="1"/>
    <col min="9" max="9" width="15.5" bestFit="1" customWidth="1"/>
    <col min="10" max="10" width="14.33203125" bestFit="1" customWidth="1"/>
  </cols>
  <sheetData>
    <row r="1" spans="1:13" x14ac:dyDescent="0.15">
      <c r="A1" s="8" t="s">
        <v>3</v>
      </c>
      <c r="B1">
        <v>0.70407151497987908</v>
      </c>
      <c r="J1" s="8" t="s">
        <v>19</v>
      </c>
      <c r="K1" s="11">
        <f>AVERAGE(I8:I14)</f>
        <v>1.0716406439696749E-2</v>
      </c>
      <c r="L1" s="8" t="s">
        <v>21</v>
      </c>
      <c r="M1">
        <f>CORREL(C7:C14, G7:G14)^2</f>
        <v>0.99977776661047746</v>
      </c>
    </row>
    <row r="2" spans="1:13" x14ac:dyDescent="0.15">
      <c r="A2" s="8" t="s">
        <v>4</v>
      </c>
      <c r="B2">
        <v>1.1820290757057736</v>
      </c>
      <c r="J2" s="8" t="s">
        <v>20</v>
      </c>
      <c r="K2" s="11">
        <f>AVERAGE(I15:I19)</f>
        <v>1.4860213351651563E-2</v>
      </c>
      <c r="L2" s="8" t="s">
        <v>22</v>
      </c>
      <c r="M2">
        <f>CORREL(C15:C19, G15:G19)^2</f>
        <v>0.99991833923682671</v>
      </c>
    </row>
    <row r="3" spans="1:13" x14ac:dyDescent="0.15">
      <c r="A3" s="8" t="s">
        <v>5</v>
      </c>
      <c r="B3">
        <f>SUM(F8:F14) + F21</f>
        <v>-1680.2651884675836</v>
      </c>
    </row>
    <row r="4" spans="1:13" x14ac:dyDescent="0.15">
      <c r="A4" s="10" t="s">
        <v>18</v>
      </c>
    </row>
    <row r="6" spans="1:13" x14ac:dyDescent="0.15">
      <c r="A6" s="8" t="s">
        <v>0</v>
      </c>
      <c r="B6" s="8" t="s">
        <v>12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15</v>
      </c>
      <c r="I6" s="8" t="s">
        <v>11</v>
      </c>
    </row>
    <row r="7" spans="1:13" x14ac:dyDescent="0.15">
      <c r="A7">
        <v>0</v>
      </c>
      <c r="B7">
        <v>1000</v>
      </c>
      <c r="C7" s="11">
        <f>B7/$B$7</f>
        <v>1</v>
      </c>
      <c r="D7">
        <v>0</v>
      </c>
      <c r="G7" s="11">
        <v>1</v>
      </c>
    </row>
    <row r="8" spans="1:13" x14ac:dyDescent="0.15">
      <c r="A8">
        <v>1</v>
      </c>
      <c r="B8">
        <v>631</v>
      </c>
      <c r="C8" s="11">
        <f t="shared" ref="C8:C14" si="0">B8/$B$7</f>
        <v>0.63100000000000001</v>
      </c>
      <c r="D8">
        <f>B7-B8</f>
        <v>369</v>
      </c>
      <c r="E8">
        <f xml:space="preserve"> B1 / (B2+B1)</f>
        <v>0.3732947852605934</v>
      </c>
      <c r="F8">
        <f xml:space="preserve"> D8 * LN(E8)</f>
        <v>-363.60775224715377</v>
      </c>
      <c r="G8" s="11">
        <f xml:space="preserve"> 1 - $E$8</f>
        <v>0.62670521473940655</v>
      </c>
      <c r="H8" s="4">
        <f>G8*1000</f>
        <v>626.70521473940653</v>
      </c>
      <c r="I8" s="11">
        <f>ABS(C8-G8)/C8</f>
        <v>6.8063157854096022E-3</v>
      </c>
    </row>
    <row r="9" spans="1:13" x14ac:dyDescent="0.15">
      <c r="A9">
        <v>2</v>
      </c>
      <c r="B9">
        <v>468</v>
      </c>
      <c r="C9" s="11">
        <f t="shared" si="0"/>
        <v>0.46800000000000003</v>
      </c>
      <c r="D9">
        <f t="shared" ref="D9:D14" si="1">B8-B9</f>
        <v>163</v>
      </c>
      <c r="E9">
        <f xml:space="preserve"> E8 * ($B$2 + A9 - 2) / ($B$1 + $B$2 + A9 -1)</f>
        <v>0.1528863170644158</v>
      </c>
      <c r="F9">
        <f t="shared" ref="F9:F14" si="2" xml:space="preserve"> D9 * LN(E9)</f>
        <v>-306.12388749734288</v>
      </c>
      <c r="G9" s="11">
        <f xml:space="preserve"> 1-SUM($E$8:E9)</f>
        <v>0.47381889767499086</v>
      </c>
      <c r="H9" s="4">
        <f t="shared" ref="H9:H19" si="3">G9*1000</f>
        <v>473.81889767499086</v>
      </c>
      <c r="I9" s="11">
        <f t="shared" ref="I9:I19" si="4">ABS(C9-G9)/C9</f>
        <v>1.2433542040578697E-2</v>
      </c>
    </row>
    <row r="10" spans="1:13" x14ac:dyDescent="0.15">
      <c r="A10">
        <v>3</v>
      </c>
      <c r="B10">
        <v>382</v>
      </c>
      <c r="C10" s="11">
        <f t="shared" si="0"/>
        <v>0.38200000000000001</v>
      </c>
      <c r="D10">
        <f t="shared" si="1"/>
        <v>86</v>
      </c>
      <c r="E10">
        <f t="shared" ref="E10:E19" si="5" xml:space="preserve"> E9 * ($B$2 + A10 - 2) / ($B$1 + $B$2 + A10 -1)</f>
        <v>8.5845021590979273E-2</v>
      </c>
      <c r="F10">
        <f t="shared" si="2"/>
        <v>-211.14820473299392</v>
      </c>
      <c r="G10" s="11">
        <f xml:space="preserve"> 1-SUM($E$8:E10)</f>
        <v>0.38797387608401157</v>
      </c>
      <c r="H10" s="4">
        <f t="shared" si="3"/>
        <v>387.97387608401158</v>
      </c>
      <c r="I10" s="11">
        <f t="shared" si="4"/>
        <v>1.5638419068093101E-2</v>
      </c>
    </row>
    <row r="11" spans="1:13" x14ac:dyDescent="0.15">
      <c r="A11">
        <v>4</v>
      </c>
      <c r="B11">
        <v>326</v>
      </c>
      <c r="C11" s="11">
        <f t="shared" si="0"/>
        <v>0.32600000000000001</v>
      </c>
      <c r="D11">
        <f t="shared" si="1"/>
        <v>56</v>
      </c>
      <c r="E11">
        <f t="shared" si="5"/>
        <v>5.5905798424987822E-2</v>
      </c>
      <c r="F11">
        <f t="shared" si="2"/>
        <v>-161.50888183738778</v>
      </c>
      <c r="G11" s="11">
        <f xml:space="preserve"> 1-SUM($E$8:E11)</f>
        <v>0.3320680776590238</v>
      </c>
      <c r="H11" s="4">
        <f t="shared" si="3"/>
        <v>332.0680776590238</v>
      </c>
      <c r="I11" s="11">
        <f t="shared" si="4"/>
        <v>1.8613735150379708E-2</v>
      </c>
    </row>
    <row r="12" spans="1:13" x14ac:dyDescent="0.15">
      <c r="A12">
        <v>5</v>
      </c>
      <c r="B12">
        <v>289</v>
      </c>
      <c r="C12" s="11">
        <f t="shared" si="0"/>
        <v>0.28899999999999998</v>
      </c>
      <c r="D12">
        <f t="shared" si="1"/>
        <v>37</v>
      </c>
      <c r="E12">
        <f t="shared" si="5"/>
        <v>3.9720638631935201E-2</v>
      </c>
      <c r="F12">
        <f t="shared" si="2"/>
        <v>-119.35772137874167</v>
      </c>
      <c r="G12" s="11">
        <f xml:space="preserve"> 1-SUM($E$8:E12)</f>
        <v>0.2923474390270886</v>
      </c>
      <c r="H12" s="4">
        <f t="shared" si="3"/>
        <v>292.34743902708857</v>
      </c>
      <c r="I12" s="11">
        <f t="shared" si="4"/>
        <v>1.1582834003766841E-2</v>
      </c>
    </row>
    <row r="13" spans="1:13" x14ac:dyDescent="0.15">
      <c r="A13">
        <v>6</v>
      </c>
      <c r="B13">
        <v>262</v>
      </c>
      <c r="C13" s="11">
        <f t="shared" si="0"/>
        <v>0.26200000000000001</v>
      </c>
      <c r="D13">
        <f t="shared" si="1"/>
        <v>27</v>
      </c>
      <c r="E13">
        <f t="shared" si="5"/>
        <v>2.9891155609127591E-2</v>
      </c>
      <c r="F13">
        <f t="shared" si="2"/>
        <v>-94.775201316949236</v>
      </c>
      <c r="G13" s="11">
        <f xml:space="preserve"> 1-SUM($E$8:E13)</f>
        <v>0.26245628341796101</v>
      </c>
      <c r="H13" s="4">
        <f t="shared" si="3"/>
        <v>262.456283417961</v>
      </c>
      <c r="I13" s="11">
        <f t="shared" si="4"/>
        <v>1.7415397632099272E-3</v>
      </c>
    </row>
    <row r="14" spans="1:13" x14ac:dyDescent="0.15">
      <c r="A14">
        <f t="shared" ref="A14:A19" si="6">A13+1</f>
        <v>7</v>
      </c>
      <c r="B14">
        <v>241</v>
      </c>
      <c r="C14" s="11">
        <f t="shared" si="0"/>
        <v>0.24099999999999999</v>
      </c>
      <c r="D14">
        <f t="shared" si="1"/>
        <v>21</v>
      </c>
      <c r="E14">
        <f t="shared" si="5"/>
        <v>2.343211210117296E-2</v>
      </c>
      <c r="F14">
        <f t="shared" si="2"/>
        <v>-78.826605592604068</v>
      </c>
      <c r="G14" s="11">
        <f xml:space="preserve"> 1-SUM($E$8:E14)</f>
        <v>0.2390241713167881</v>
      </c>
      <c r="H14" s="4">
        <f t="shared" si="3"/>
        <v>239.02417131678811</v>
      </c>
      <c r="I14" s="11">
        <f t="shared" si="4"/>
        <v>8.1984592664393723E-3</v>
      </c>
    </row>
    <row r="15" spans="1:13" x14ac:dyDescent="0.15">
      <c r="A15" s="9">
        <f t="shared" si="6"/>
        <v>8</v>
      </c>
      <c r="B15" s="9">
        <v>223</v>
      </c>
      <c r="C15" s="12">
        <f>B15/$B$7</f>
        <v>0.223</v>
      </c>
      <c r="D15" s="9">
        <f>B14-B15</f>
        <v>18</v>
      </c>
      <c r="E15" s="9">
        <f t="shared" si="5"/>
        <v>1.8938578142163032E-2</v>
      </c>
      <c r="F15" s="9"/>
      <c r="G15" s="12">
        <f xml:space="preserve"> 1-SUM($E$8:E15)</f>
        <v>0.22008559317462506</v>
      </c>
      <c r="H15" s="13">
        <f t="shared" si="3"/>
        <v>220.08559317462505</v>
      </c>
      <c r="I15" s="12">
        <f t="shared" si="4"/>
        <v>1.3069088903026651E-2</v>
      </c>
    </row>
    <row r="16" spans="1:13" x14ac:dyDescent="0.15">
      <c r="A16" s="9">
        <f t="shared" si="6"/>
        <v>9</v>
      </c>
      <c r="B16" s="9">
        <v>207</v>
      </c>
      <c r="C16" s="12">
        <f>B16/$B$7</f>
        <v>0.20699999999999999</v>
      </c>
      <c r="D16" s="9">
        <f>B15-B16</f>
        <v>16</v>
      </c>
      <c r="E16" s="9">
        <f t="shared" si="5"/>
        <v>1.5674127082795215E-2</v>
      </c>
      <c r="F16" s="9"/>
      <c r="G16" s="12">
        <f xml:space="preserve"> 1-SUM($E$8:E16)</f>
        <v>0.20441146609182981</v>
      </c>
      <c r="H16" s="13">
        <f t="shared" si="3"/>
        <v>204.41146609182979</v>
      </c>
      <c r="I16" s="12">
        <f t="shared" si="4"/>
        <v>1.2504994725459817E-2</v>
      </c>
    </row>
    <row r="17" spans="1:9" x14ac:dyDescent="0.15">
      <c r="A17" s="9">
        <f t="shared" si="6"/>
        <v>10</v>
      </c>
      <c r="B17" s="9">
        <v>194</v>
      </c>
      <c r="C17" s="12">
        <f>B17/$B$7</f>
        <v>0.19400000000000001</v>
      </c>
      <c r="D17" s="9">
        <f>B16-B17</f>
        <v>13</v>
      </c>
      <c r="E17" s="9">
        <f t="shared" si="5"/>
        <v>1.3220554909594886E-2</v>
      </c>
      <c r="F17" s="9"/>
      <c r="G17" s="12">
        <f xml:space="preserve"> 1-SUM($E$8:E17)</f>
        <v>0.19119091118223497</v>
      </c>
      <c r="H17" s="13">
        <f t="shared" si="3"/>
        <v>191.19091118223497</v>
      </c>
      <c r="I17" s="12">
        <f t="shared" si="4"/>
        <v>1.4479839266830091E-2</v>
      </c>
    </row>
    <row r="18" spans="1:9" x14ac:dyDescent="0.15">
      <c r="A18" s="9">
        <f t="shared" si="6"/>
        <v>11</v>
      </c>
      <c r="B18" s="9">
        <v>183</v>
      </c>
      <c r="C18" s="12">
        <f>B18/$B$7</f>
        <v>0.183</v>
      </c>
      <c r="D18" s="9">
        <f>B17-B18</f>
        <v>11</v>
      </c>
      <c r="E18" s="9">
        <f t="shared" si="5"/>
        <v>1.1325167026766237E-2</v>
      </c>
      <c r="F18" s="9"/>
      <c r="G18" s="12">
        <f xml:space="preserve"> 1-SUM($E$8:E18)</f>
        <v>0.17986574415546874</v>
      </c>
      <c r="H18" s="13">
        <f t="shared" si="3"/>
        <v>179.86574415546875</v>
      </c>
      <c r="I18" s="12">
        <f t="shared" si="4"/>
        <v>1.7127081117657119E-2</v>
      </c>
    </row>
    <row r="19" spans="1:9" x14ac:dyDescent="0.15">
      <c r="A19" s="9">
        <f t="shared" si="6"/>
        <v>12</v>
      </c>
      <c r="B19" s="9">
        <v>173</v>
      </c>
      <c r="C19" s="12">
        <f>B19/$B$7</f>
        <v>0.17299999999999999</v>
      </c>
      <c r="D19" s="9">
        <f>B18-B19</f>
        <v>10</v>
      </c>
      <c r="E19" s="9">
        <f t="shared" si="5"/>
        <v>9.8275150104028576E-3</v>
      </c>
      <c r="F19" s="9"/>
      <c r="G19" s="12">
        <f xml:space="preserve"> 1-SUM($E$8:E19)</f>
        <v>0.17003822914506583</v>
      </c>
      <c r="H19" s="13">
        <f t="shared" si="3"/>
        <v>170.03822914506583</v>
      </c>
      <c r="I19" s="12">
        <f t="shared" si="4"/>
        <v>1.7120062745284128E-2</v>
      </c>
    </row>
    <row r="21" spans="1:9" x14ac:dyDescent="0.15">
      <c r="A21" s="8" t="s">
        <v>14</v>
      </c>
      <c r="D21">
        <f xml:space="preserve"> 1000 - SUM(D8:D14)</f>
        <v>241</v>
      </c>
      <c r="E21">
        <f xml:space="preserve"> 1 - SUM(E8:E14)</f>
        <v>0.2390241713167881</v>
      </c>
      <c r="F21">
        <f xml:space="preserve"> D21 * LN(E21)</f>
        <v>-344.9169338644104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BA6B-224D-1D45-9F55-539820403848}">
  <dimension ref="A1:M21"/>
  <sheetViews>
    <sheetView zoomScale="82" workbookViewId="0">
      <selection activeCell="G54" sqref="G54"/>
    </sheetView>
  </sheetViews>
  <sheetFormatPr baseColWidth="10" defaultRowHeight="13" x14ac:dyDescent="0.15"/>
  <cols>
    <col min="4" max="5" width="17.33203125" bestFit="1" customWidth="1"/>
    <col min="6" max="7" width="14.6640625" bestFit="1" customWidth="1"/>
    <col min="10" max="10" width="14.33203125" bestFit="1" customWidth="1"/>
    <col min="12" max="12" width="11" bestFit="1" customWidth="1"/>
  </cols>
  <sheetData>
    <row r="1" spans="1:13" x14ac:dyDescent="0.15">
      <c r="A1" s="8" t="s">
        <v>3</v>
      </c>
      <c r="B1">
        <v>0.69867434038681719</v>
      </c>
      <c r="J1" s="8" t="s">
        <v>19</v>
      </c>
      <c r="K1" s="11">
        <f>AVERAGE(I8:I17)</f>
        <v>1.0700878014848049E-2</v>
      </c>
      <c r="L1" s="8" t="s">
        <v>21</v>
      </c>
      <c r="M1">
        <f>CORREL(C7:C17, G7:G17)^2</f>
        <v>0.99973684277236707</v>
      </c>
    </row>
    <row r="2" spans="1:13" x14ac:dyDescent="0.15">
      <c r="A2" s="8" t="s">
        <v>4</v>
      </c>
      <c r="B2">
        <v>1.1715082552909049</v>
      </c>
      <c r="J2" s="8" t="s">
        <v>20</v>
      </c>
      <c r="K2" s="11">
        <f>AVERAGE(I18:I19)</f>
        <v>1.1607784679332704E-2</v>
      </c>
      <c r="L2" s="8" t="s">
        <v>22</v>
      </c>
      <c r="M2">
        <f>CORREL(C18:C19, G18:G19)^2</f>
        <v>1</v>
      </c>
    </row>
    <row r="3" spans="1:13" x14ac:dyDescent="0.15">
      <c r="A3" s="8" t="s">
        <v>5</v>
      </c>
      <c r="B3">
        <f>SUM(F8:F17)+F21</f>
        <v>-1850.4411628534506</v>
      </c>
    </row>
    <row r="4" spans="1:13" x14ac:dyDescent="0.15">
      <c r="A4" s="10" t="s">
        <v>13</v>
      </c>
    </row>
    <row r="6" spans="1:13" x14ac:dyDescent="0.15">
      <c r="A6" s="8" t="s">
        <v>0</v>
      </c>
      <c r="B6" s="8" t="s">
        <v>12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15</v>
      </c>
      <c r="I6" s="8" t="s">
        <v>11</v>
      </c>
    </row>
    <row r="7" spans="1:13" x14ac:dyDescent="0.15">
      <c r="A7">
        <v>0</v>
      </c>
      <c r="B7">
        <v>1000</v>
      </c>
      <c r="C7" s="11">
        <f>B7/$B$7</f>
        <v>1</v>
      </c>
      <c r="D7">
        <v>0</v>
      </c>
      <c r="G7">
        <v>1</v>
      </c>
    </row>
    <row r="8" spans="1:13" x14ac:dyDescent="0.15">
      <c r="A8">
        <v>1</v>
      </c>
      <c r="B8">
        <v>631</v>
      </c>
      <c r="C8" s="11">
        <f t="shared" ref="C8:C14" si="0">B8/$B$7</f>
        <v>0.63100000000000001</v>
      </c>
      <c r="D8">
        <f>B7-B8</f>
        <v>369</v>
      </c>
      <c r="E8">
        <f xml:space="preserve"> B1 / (B2+B1)</f>
        <v>0.37358616319153032</v>
      </c>
      <c r="F8">
        <f xml:space="preserve"> D8 * LN(E8)</f>
        <v>-363.31983899352673</v>
      </c>
      <c r="G8" s="11">
        <f xml:space="preserve"> 1 - $E$8</f>
        <v>0.62641383680846974</v>
      </c>
      <c r="H8" s="4">
        <f>G8*1000</f>
        <v>626.41383680846968</v>
      </c>
      <c r="I8" s="11">
        <f>ABS(C8-G8)/C8</f>
        <v>7.268087466767461E-3</v>
      </c>
    </row>
    <row r="9" spans="1:13" x14ac:dyDescent="0.15">
      <c r="A9">
        <v>2</v>
      </c>
      <c r="B9">
        <v>468</v>
      </c>
      <c r="C9" s="11">
        <f t="shared" si="0"/>
        <v>0.46800000000000003</v>
      </c>
      <c r="D9">
        <f t="shared" ref="D9:D14" si="1">B8-B9</f>
        <v>163</v>
      </c>
      <c r="E9">
        <f xml:space="preserve"> E8 * ($B$2 + A9 - 2) / ($B$1 + $B$2 + A9 -1)</f>
        <v>0.1524848192238413</v>
      </c>
      <c r="F9">
        <f t="shared" ref="F9:F17" si="2" xml:space="preserve"> D9 * LN(E9)</f>
        <v>-306.55250813594972</v>
      </c>
      <c r="G9" s="11">
        <f xml:space="preserve"> 1-SUM($E$8:E9)</f>
        <v>0.47392901758462835</v>
      </c>
      <c r="H9" s="4">
        <f t="shared" ref="H9:H19" si="3">G9*1000</f>
        <v>473.92901758462835</v>
      </c>
      <c r="I9" s="11">
        <f t="shared" ref="I9:I19" si="4">ABS(C9-G9)/C9</f>
        <v>1.2668840992795569E-2</v>
      </c>
    </row>
    <row r="10" spans="1:13" x14ac:dyDescent="0.15">
      <c r="A10">
        <v>3</v>
      </c>
      <c r="B10">
        <v>382</v>
      </c>
      <c r="C10" s="11">
        <f t="shared" si="0"/>
        <v>0.38200000000000001</v>
      </c>
      <c r="D10">
        <f t="shared" si="1"/>
        <v>86</v>
      </c>
      <c r="E10">
        <f t="shared" ref="E10:E19" si="5" xml:space="preserve"> E9 * ($B$2 + A10 - 2) / ($B$1 + $B$2 + A10 -1)</f>
        <v>8.5557214825190617E-2</v>
      </c>
      <c r="F10">
        <f t="shared" si="2"/>
        <v>-211.4370154934297</v>
      </c>
      <c r="G10" s="11">
        <f xml:space="preserve"> 1-SUM($E$8:E10)</f>
        <v>0.38837180275943772</v>
      </c>
      <c r="H10" s="4">
        <f t="shared" si="3"/>
        <v>388.37180275943774</v>
      </c>
      <c r="I10" s="11">
        <f t="shared" si="4"/>
        <v>1.668011193570083E-2</v>
      </c>
    </row>
    <row r="11" spans="1:13" x14ac:dyDescent="0.15">
      <c r="A11">
        <v>4</v>
      </c>
      <c r="B11">
        <v>326</v>
      </c>
      <c r="C11" s="11">
        <f t="shared" si="0"/>
        <v>0.32600000000000001</v>
      </c>
      <c r="D11">
        <f t="shared" si="1"/>
        <v>56</v>
      </c>
      <c r="E11">
        <f t="shared" si="5"/>
        <v>5.571565496509473E-2</v>
      </c>
      <c r="F11">
        <f t="shared" si="2"/>
        <v>-161.69967032347398</v>
      </c>
      <c r="G11" s="11">
        <f xml:space="preserve"> 1-SUM($E$8:E11)</f>
        <v>0.33265614779434305</v>
      </c>
      <c r="H11" s="4">
        <f t="shared" si="3"/>
        <v>332.65614779434304</v>
      </c>
      <c r="I11" s="11">
        <f t="shared" si="4"/>
        <v>2.0417631270990909E-2</v>
      </c>
    </row>
    <row r="12" spans="1:13" x14ac:dyDescent="0.15">
      <c r="A12">
        <v>5</v>
      </c>
      <c r="B12">
        <v>289</v>
      </c>
      <c r="C12" s="11">
        <f t="shared" si="0"/>
        <v>0.28899999999999998</v>
      </c>
      <c r="D12">
        <f t="shared" si="1"/>
        <v>37</v>
      </c>
      <c r="E12">
        <f t="shared" si="5"/>
        <v>3.9593029833001184E-2</v>
      </c>
      <c r="F12">
        <f t="shared" si="2"/>
        <v>-119.4767810496911</v>
      </c>
      <c r="G12" s="11">
        <f xml:space="preserve"> 1-SUM($E$8:E12)</f>
        <v>0.29306311796134188</v>
      </c>
      <c r="H12" s="4">
        <f t="shared" si="3"/>
        <v>293.0631179613419</v>
      </c>
      <c r="I12" s="11">
        <f t="shared" si="4"/>
        <v>1.4059231700144984E-2</v>
      </c>
    </row>
    <row r="13" spans="1:13" x14ac:dyDescent="0.15">
      <c r="A13">
        <v>6</v>
      </c>
      <c r="B13">
        <v>262</v>
      </c>
      <c r="C13" s="11">
        <f t="shared" si="0"/>
        <v>0.26200000000000001</v>
      </c>
      <c r="D13">
        <f t="shared" si="1"/>
        <v>27</v>
      </c>
      <c r="E13">
        <f t="shared" si="5"/>
        <v>2.980352818601413E-2</v>
      </c>
      <c r="F13">
        <f t="shared" si="2"/>
        <v>-94.854469418328861</v>
      </c>
      <c r="G13" s="11">
        <f xml:space="preserve"> 1-SUM($E$8:E13)</f>
        <v>0.26325958977532771</v>
      </c>
      <c r="H13" s="4">
        <f t="shared" si="3"/>
        <v>263.2595897753277</v>
      </c>
      <c r="I13" s="11">
        <f t="shared" si="4"/>
        <v>4.8075945623194515E-3</v>
      </c>
    </row>
    <row r="14" spans="1:13" x14ac:dyDescent="0.15">
      <c r="A14">
        <f t="shared" ref="A14:A19" si="6">A13+1</f>
        <v>7</v>
      </c>
      <c r="B14">
        <v>241</v>
      </c>
      <c r="C14" s="11">
        <f t="shared" si="0"/>
        <v>0.24099999999999999</v>
      </c>
      <c r="D14">
        <f t="shared" si="1"/>
        <v>21</v>
      </c>
      <c r="E14">
        <f t="shared" si="5"/>
        <v>2.3370832633260199E-2</v>
      </c>
      <c r="F14">
        <f t="shared" si="2"/>
        <v>-78.881596558186473</v>
      </c>
      <c r="G14" s="11">
        <f xml:space="preserve"> 1-SUM($E$8:E14)</f>
        <v>0.23988875714206748</v>
      </c>
      <c r="H14" s="4">
        <f t="shared" si="3"/>
        <v>239.88875714206748</v>
      </c>
      <c r="I14" s="11">
        <f t="shared" si="4"/>
        <v>4.6109662154876149E-3</v>
      </c>
    </row>
    <row r="15" spans="1:13" x14ac:dyDescent="0.15">
      <c r="A15">
        <f t="shared" si="6"/>
        <v>8</v>
      </c>
      <c r="B15">
        <v>223</v>
      </c>
      <c r="C15" s="11">
        <f>B15/$B$7</f>
        <v>0.223</v>
      </c>
      <c r="D15">
        <f>B14-B15</f>
        <v>18</v>
      </c>
      <c r="E15">
        <f t="shared" si="5"/>
        <v>1.8895227618439106E-2</v>
      </c>
      <c r="F15">
        <f t="shared" si="2"/>
        <v>-71.439226123728318</v>
      </c>
      <c r="G15" s="11">
        <f xml:space="preserve"> 1-SUM($E$8:E15)</f>
        <v>0.22099352952362838</v>
      </c>
      <c r="H15" s="4">
        <f t="shared" si="3"/>
        <v>220.99352952362838</v>
      </c>
      <c r="I15" s="11">
        <f t="shared" si="4"/>
        <v>8.9976254545812515E-3</v>
      </c>
    </row>
    <row r="16" spans="1:13" x14ac:dyDescent="0.15">
      <c r="A16">
        <f t="shared" si="6"/>
        <v>9</v>
      </c>
      <c r="B16">
        <v>207</v>
      </c>
      <c r="C16" s="11">
        <f>B16/$B$7</f>
        <v>0.20699999999999999</v>
      </c>
      <c r="D16">
        <f>B15-B16</f>
        <v>16</v>
      </c>
      <c r="E16">
        <f t="shared" si="5"/>
        <v>1.5643328476748816E-2</v>
      </c>
      <c r="F16">
        <f t="shared" si="2"/>
        <v>-66.523371972817728</v>
      </c>
      <c r="G16" s="11">
        <f xml:space="preserve"> 1-SUM($E$8:E16)</f>
        <v>0.20535020104687962</v>
      </c>
      <c r="H16" s="4">
        <f t="shared" si="3"/>
        <v>205.35020104687962</v>
      </c>
      <c r="I16" s="11">
        <f t="shared" si="4"/>
        <v>7.9700432517892193E-3</v>
      </c>
    </row>
    <row r="17" spans="1:9" x14ac:dyDescent="0.15">
      <c r="A17">
        <f t="shared" si="6"/>
        <v>10</v>
      </c>
      <c r="B17">
        <v>194</v>
      </c>
      <c r="C17" s="11">
        <f>B17/$B$7</f>
        <v>0.19400000000000001</v>
      </c>
      <c r="D17">
        <f>B16-B17</f>
        <v>13</v>
      </c>
      <c r="E17">
        <f t="shared" si="5"/>
        <v>1.3198758622672793E-2</v>
      </c>
      <c r="F17">
        <f t="shared" si="2"/>
        <v>-56.259222468138439</v>
      </c>
      <c r="G17" s="11">
        <f xml:space="preserve"> 1-SUM($E$8:E17)</f>
        <v>0.19215144242420679</v>
      </c>
      <c r="H17" s="4">
        <f t="shared" si="3"/>
        <v>192.15144242420678</v>
      </c>
      <c r="I17" s="11">
        <f t="shared" si="4"/>
        <v>9.5286472979031929E-3</v>
      </c>
    </row>
    <row r="18" spans="1:9" x14ac:dyDescent="0.15">
      <c r="A18" s="9">
        <f t="shared" si="6"/>
        <v>11</v>
      </c>
      <c r="B18" s="9">
        <v>183</v>
      </c>
      <c r="C18" s="12">
        <f>B18/$B$7</f>
        <v>0.183</v>
      </c>
      <c r="D18" s="9">
        <f>B17-B18</f>
        <v>11</v>
      </c>
      <c r="E18" s="9">
        <f t="shared" si="5"/>
        <v>1.130995932101273E-2</v>
      </c>
      <c r="F18" s="9"/>
      <c r="G18" s="12">
        <f xml:space="preserve"> 1-SUM($E$8:E18)</f>
        <v>0.18084148310319403</v>
      </c>
      <c r="H18" s="13">
        <f t="shared" si="3"/>
        <v>180.84148310319404</v>
      </c>
      <c r="I18" s="12">
        <f t="shared" si="4"/>
        <v>1.1795174299486132E-2</v>
      </c>
    </row>
    <row r="19" spans="1:9" x14ac:dyDescent="0.15">
      <c r="A19" s="9">
        <f t="shared" si="6"/>
        <v>12</v>
      </c>
      <c r="B19" s="9">
        <v>173</v>
      </c>
      <c r="C19" s="12">
        <f>B19/$B$7</f>
        <v>0.17299999999999999</v>
      </c>
      <c r="D19" s="9">
        <f>B18-B19</f>
        <v>10</v>
      </c>
      <c r="E19" s="9">
        <f t="shared" si="5"/>
        <v>9.8172114484320321E-3</v>
      </c>
      <c r="F19" s="9"/>
      <c r="G19" s="12">
        <f xml:space="preserve"> 1-SUM($E$8:E19)</f>
        <v>0.17102427165476197</v>
      </c>
      <c r="H19" s="13">
        <f t="shared" si="3"/>
        <v>171.02427165476198</v>
      </c>
      <c r="I19" s="12">
        <f t="shared" si="4"/>
        <v>1.1420395059179278E-2</v>
      </c>
    </row>
    <row r="21" spans="1:9" x14ac:dyDescent="0.15">
      <c r="A21" s="8" t="s">
        <v>16</v>
      </c>
      <c r="D21">
        <f xml:space="preserve"> 1000 - SUM(D8:D17)</f>
        <v>194</v>
      </c>
      <c r="E21">
        <f xml:space="preserve"> 1 - SUM(E8:E17)</f>
        <v>0.19215144242420679</v>
      </c>
      <c r="F21">
        <f xml:space="preserve"> D21 * LN(E21)</f>
        <v>-319.99746231617979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3830-F3FC-D643-A0D5-DEB32DA2B216}">
  <dimension ref="A1:M21"/>
  <sheetViews>
    <sheetView zoomScale="82" workbookViewId="0">
      <selection activeCell="I47" sqref="I47"/>
    </sheetView>
  </sheetViews>
  <sheetFormatPr baseColWidth="10" defaultRowHeight="13" x14ac:dyDescent="0.15"/>
  <cols>
    <col min="1" max="1" width="8.5" bestFit="1" customWidth="1"/>
    <col min="4" max="5" width="17.33203125" bestFit="1" customWidth="1"/>
    <col min="6" max="6" width="13" bestFit="1" customWidth="1"/>
    <col min="7" max="7" width="14.6640625" bestFit="1" customWidth="1"/>
    <col min="8" max="8" width="15" bestFit="1" customWidth="1"/>
    <col min="10" max="10" width="14.33203125" bestFit="1" customWidth="1"/>
  </cols>
  <sheetData>
    <row r="1" spans="1:13" x14ac:dyDescent="0.15">
      <c r="A1" s="8" t="s">
        <v>3</v>
      </c>
      <c r="B1">
        <v>0.66807591514717579</v>
      </c>
      <c r="J1" s="8" t="s">
        <v>19</v>
      </c>
      <c r="K1" s="14">
        <f>AVERAGE(I8:I14)</f>
        <v>1.6361913539799423E-2</v>
      </c>
      <c r="L1" s="8" t="s">
        <v>21</v>
      </c>
      <c r="M1" s="8">
        <f>CORREL(C7:C14,G7:G14)^2</f>
        <v>0.99666295874414379</v>
      </c>
    </row>
    <row r="2" spans="1:13" x14ac:dyDescent="0.15">
      <c r="A2" s="8" t="s">
        <v>4</v>
      </c>
      <c r="B2">
        <v>3.8060047879342198</v>
      </c>
      <c r="J2" s="8" t="s">
        <v>20</v>
      </c>
      <c r="K2" s="14">
        <f>AVERAGE(I15:I19)</f>
        <v>2.832095382661597E-2</v>
      </c>
      <c r="L2" s="8" t="s">
        <v>22</v>
      </c>
      <c r="M2" s="8">
        <f>CORREL(C15:C19, G15:G19)^2</f>
        <v>0.99970259109266157</v>
      </c>
    </row>
    <row r="3" spans="1:13" x14ac:dyDescent="0.15">
      <c r="A3" s="8" t="s">
        <v>5</v>
      </c>
      <c r="B3">
        <f>SUM(F8:F21)</f>
        <v>-1611.158147398344</v>
      </c>
    </row>
    <row r="4" spans="1:13" x14ac:dyDescent="0.15">
      <c r="A4" s="10" t="s">
        <v>13</v>
      </c>
    </row>
    <row r="6" spans="1:13" x14ac:dyDescent="0.15">
      <c r="A6" s="8" t="s">
        <v>0</v>
      </c>
      <c r="B6" s="8" t="s">
        <v>12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17</v>
      </c>
      <c r="I6" s="8" t="s">
        <v>11</v>
      </c>
    </row>
    <row r="7" spans="1:13" x14ac:dyDescent="0.15">
      <c r="A7">
        <v>0</v>
      </c>
      <c r="B7">
        <v>1000</v>
      </c>
      <c r="C7" s="11">
        <f>B7/$B$7</f>
        <v>1</v>
      </c>
      <c r="D7">
        <v>0</v>
      </c>
      <c r="G7">
        <v>1</v>
      </c>
    </row>
    <row r="8" spans="1:13" x14ac:dyDescent="0.15">
      <c r="A8">
        <f>A7+1</f>
        <v>1</v>
      </c>
      <c r="B8">
        <v>869</v>
      </c>
      <c r="C8" s="11">
        <f t="shared" ref="C8:C14" si="0">B8/$B$7</f>
        <v>0.86899999999999999</v>
      </c>
      <c r="D8">
        <f>B7-B8</f>
        <v>131</v>
      </c>
      <c r="E8">
        <f xml:space="preserve"> B1 / (B2+B1)</f>
        <v>0.14932138230923228</v>
      </c>
      <c r="F8">
        <f xml:space="preserve"> D8 * LN(E8)</f>
        <v>-249.116722157829</v>
      </c>
      <c r="G8" s="11">
        <f xml:space="preserve"> 1 - $E$8</f>
        <v>0.85067861769076769</v>
      </c>
      <c r="H8" s="4">
        <f>G8*1000</f>
        <v>850.67861769076774</v>
      </c>
      <c r="I8" s="11">
        <f>ABS(C8-G8)/C8</f>
        <v>2.1083293796584929E-2</v>
      </c>
    </row>
    <row r="9" spans="1:13" x14ac:dyDescent="0.15">
      <c r="A9">
        <f t="shared" ref="A9:A19" si="1">A8+1</f>
        <v>2</v>
      </c>
      <c r="B9">
        <v>743</v>
      </c>
      <c r="C9" s="11">
        <f t="shared" si="0"/>
        <v>0.74299999999999999</v>
      </c>
      <c r="D9">
        <f t="shared" ref="D9:D14" si="2">B8-B9</f>
        <v>126</v>
      </c>
      <c r="E9">
        <f xml:space="preserve"> E8 * ($B$2 + A9 - 2) / ($B$1 + $B$2 + A9 -1)</f>
        <v>0.10381978762022713</v>
      </c>
      <c r="F9">
        <f t="shared" ref="F9:F14" si="3" xml:space="preserve"> D9 * LN(E9)</f>
        <v>-285.40243547410159</v>
      </c>
      <c r="G9" s="11">
        <f xml:space="preserve"> 1-SUM($E$8:E9)</f>
        <v>0.74685883007054055</v>
      </c>
      <c r="H9" s="4">
        <f t="shared" ref="H9:H19" si="4">G9*1000</f>
        <v>746.85883007054053</v>
      </c>
      <c r="I9" s="11">
        <f t="shared" ref="I9:I19" si="5">ABS(C9-G9)/C9</f>
        <v>5.1935801756938802E-3</v>
      </c>
    </row>
    <row r="10" spans="1:13" x14ac:dyDescent="0.15">
      <c r="A10">
        <f t="shared" si="1"/>
        <v>3</v>
      </c>
      <c r="B10">
        <v>653</v>
      </c>
      <c r="C10" s="11">
        <f t="shared" si="0"/>
        <v>0.65300000000000002</v>
      </c>
      <c r="D10">
        <f t="shared" si="2"/>
        <v>90</v>
      </c>
      <c r="E10">
        <f t="shared" ref="E10:E19" si="6" xml:space="preserve"> E9 * ($B$2 + A10 - 2) / ($B$1 + $B$2 + A10 -1)</f>
        <v>7.7070153936703592E-2</v>
      </c>
      <c r="F10">
        <f t="shared" si="3"/>
        <v>-230.67352636488403</v>
      </c>
      <c r="G10" s="11">
        <f xml:space="preserve"> 1-SUM($E$8:E10)</f>
        <v>0.66978867613383697</v>
      </c>
      <c r="H10" s="4">
        <f t="shared" si="4"/>
        <v>669.78867613383693</v>
      </c>
      <c r="I10" s="11">
        <f t="shared" si="5"/>
        <v>2.5710070649061167E-2</v>
      </c>
    </row>
    <row r="11" spans="1:13" x14ac:dyDescent="0.15">
      <c r="A11">
        <f t="shared" si="1"/>
        <v>4</v>
      </c>
      <c r="B11">
        <v>593</v>
      </c>
      <c r="C11" s="11">
        <f t="shared" si="0"/>
        <v>0.59299999999999997</v>
      </c>
      <c r="D11">
        <f t="shared" si="2"/>
        <v>60</v>
      </c>
      <c r="E11">
        <f t="shared" si="6"/>
        <v>5.9869527844253381E-2</v>
      </c>
      <c r="F11">
        <f t="shared" si="3"/>
        <v>-168.93525722553048</v>
      </c>
      <c r="G11" s="11">
        <f xml:space="preserve"> 1-SUM($E$8:E11)</f>
        <v>0.6099191482895836</v>
      </c>
      <c r="H11" s="4">
        <f t="shared" si="4"/>
        <v>609.91914828958363</v>
      </c>
      <c r="I11" s="11">
        <f t="shared" si="5"/>
        <v>2.8531447368606459E-2</v>
      </c>
    </row>
    <row r="12" spans="1:13" x14ac:dyDescent="0.15">
      <c r="A12">
        <f t="shared" si="1"/>
        <v>5</v>
      </c>
      <c r="B12">
        <v>551</v>
      </c>
      <c r="C12" s="11">
        <f t="shared" si="0"/>
        <v>0.55100000000000005</v>
      </c>
      <c r="D12">
        <f t="shared" si="2"/>
        <v>42</v>
      </c>
      <c r="E12">
        <f t="shared" si="6"/>
        <v>4.8084542434341244E-2</v>
      </c>
      <c r="F12">
        <f t="shared" si="3"/>
        <v>-127.46136969846086</v>
      </c>
      <c r="G12" s="11">
        <f xml:space="preserve"> 1-SUM($E$8:E12)</f>
        <v>0.56183460585524236</v>
      </c>
      <c r="H12" s="4">
        <f t="shared" si="4"/>
        <v>561.83460585524233</v>
      </c>
      <c r="I12" s="11">
        <f t="shared" si="5"/>
        <v>1.9663531497717456E-2</v>
      </c>
    </row>
    <row r="13" spans="1:13" x14ac:dyDescent="0.15">
      <c r="A13">
        <f t="shared" si="1"/>
        <v>6</v>
      </c>
      <c r="B13">
        <v>517</v>
      </c>
      <c r="C13" s="11">
        <f t="shared" si="0"/>
        <v>0.51700000000000002</v>
      </c>
      <c r="D13">
        <f t="shared" si="2"/>
        <v>34</v>
      </c>
      <c r="E13">
        <f t="shared" si="6"/>
        <v>3.9618426339350685E-2</v>
      </c>
      <c r="F13">
        <f t="shared" si="3"/>
        <v>-109.76767254975752</v>
      </c>
      <c r="G13" s="11">
        <f xml:space="preserve"> 1-SUM($E$8:E13)</f>
        <v>0.52221617951589172</v>
      </c>
      <c r="H13" s="4">
        <f t="shared" si="4"/>
        <v>522.21617951589167</v>
      </c>
      <c r="I13" s="11">
        <f t="shared" si="5"/>
        <v>1.0089322081028444E-2</v>
      </c>
    </row>
    <row r="14" spans="1:13" x14ac:dyDescent="0.15">
      <c r="A14">
        <f t="shared" si="1"/>
        <v>7</v>
      </c>
      <c r="B14">
        <v>491</v>
      </c>
      <c r="C14" s="11">
        <f t="shared" si="0"/>
        <v>0.49099999999999999</v>
      </c>
      <c r="D14">
        <f t="shared" si="2"/>
        <v>26</v>
      </c>
      <c r="E14">
        <f t="shared" si="6"/>
        <v>3.3308894777954449E-2</v>
      </c>
      <c r="F14">
        <f t="shared" si="3"/>
        <v>-88.450200987571819</v>
      </c>
      <c r="G14" s="11">
        <f xml:space="preserve"> 1-SUM($E$8:E14)</f>
        <v>0.48890728473793732</v>
      </c>
      <c r="H14" s="4">
        <f t="shared" si="4"/>
        <v>488.90728473793735</v>
      </c>
      <c r="I14" s="11">
        <f t="shared" si="5"/>
        <v>4.262149209903609E-3</v>
      </c>
    </row>
    <row r="15" spans="1:13" x14ac:dyDescent="0.15">
      <c r="A15" s="9">
        <f t="shared" si="1"/>
        <v>8</v>
      </c>
      <c r="B15" s="9">
        <v>468</v>
      </c>
      <c r="C15" s="12">
        <f>B15/$B$7</f>
        <v>0.46800000000000003</v>
      </c>
      <c r="D15" s="9">
        <f>B14-B15</f>
        <v>23</v>
      </c>
      <c r="E15" s="9">
        <f t="shared" si="6"/>
        <v>2.8466522950784362E-2</v>
      </c>
      <c r="F15" s="9"/>
      <c r="G15" s="12">
        <f xml:space="preserve"> 1-SUM($E$8:E15)</f>
        <v>0.46044076178715299</v>
      </c>
      <c r="H15" s="13">
        <f t="shared" si="4"/>
        <v>460.44076178715301</v>
      </c>
      <c r="I15" s="12">
        <f t="shared" si="5"/>
        <v>1.6152218403519318E-2</v>
      </c>
    </row>
    <row r="16" spans="1:13" x14ac:dyDescent="0.15">
      <c r="A16" s="9">
        <f t="shared" si="1"/>
        <v>9</v>
      </c>
      <c r="B16" s="9">
        <v>445</v>
      </c>
      <c r="C16" s="12">
        <f>B16/$B$7</f>
        <v>0.44500000000000001</v>
      </c>
      <c r="D16" s="9">
        <f>B15-B16</f>
        <v>23</v>
      </c>
      <c r="E16" s="9">
        <f t="shared" si="6"/>
        <v>2.4659884012617327E-2</v>
      </c>
      <c r="F16" s="9"/>
      <c r="G16" s="12">
        <f xml:space="preserve"> 1-SUM($E$8:E16)</f>
        <v>0.43578087777453567</v>
      </c>
      <c r="H16" s="13">
        <f t="shared" si="4"/>
        <v>435.78087777453567</v>
      </c>
      <c r="I16" s="12">
        <f t="shared" si="5"/>
        <v>2.0717128596549075E-2</v>
      </c>
    </row>
    <row r="17" spans="1:9" x14ac:dyDescent="0.15">
      <c r="A17" s="9">
        <f t="shared" si="1"/>
        <v>10</v>
      </c>
      <c r="B17" s="9">
        <v>427</v>
      </c>
      <c r="C17" s="12">
        <f>B17/$B$7</f>
        <v>0.42699999999999999</v>
      </c>
      <c r="D17" s="9">
        <f>B16-B17</f>
        <v>18</v>
      </c>
      <c r="E17" s="9">
        <f t="shared" si="6"/>
        <v>2.1607018329367952E-2</v>
      </c>
      <c r="F17" s="9"/>
      <c r="G17" s="12">
        <f xml:space="preserve"> 1-SUM($E$8:E17)</f>
        <v>0.41417385944516771</v>
      </c>
      <c r="H17" s="13">
        <f t="shared" si="4"/>
        <v>414.17385944516769</v>
      </c>
      <c r="I17" s="12">
        <f t="shared" si="5"/>
        <v>3.0037799894220792E-2</v>
      </c>
    </row>
    <row r="18" spans="1:9" x14ac:dyDescent="0.15">
      <c r="A18" s="9">
        <f t="shared" si="1"/>
        <v>11</v>
      </c>
      <c r="B18" s="9">
        <v>409</v>
      </c>
      <c r="C18" s="12">
        <f>B18/$B$7</f>
        <v>0.40899999999999997</v>
      </c>
      <c r="D18" s="9">
        <f>B17-B18</f>
        <v>18</v>
      </c>
      <c r="E18" s="9">
        <f t="shared" si="6"/>
        <v>1.9116901850627498E-2</v>
      </c>
      <c r="F18" s="9"/>
      <c r="G18" s="12">
        <f xml:space="preserve"> 1-SUM($E$8:E18)</f>
        <v>0.39505695759454018</v>
      </c>
      <c r="H18" s="13">
        <f t="shared" si="4"/>
        <v>395.05695759454017</v>
      </c>
      <c r="I18" s="12">
        <f t="shared" si="5"/>
        <v>3.4090568228508054E-2</v>
      </c>
    </row>
    <row r="19" spans="1:9" x14ac:dyDescent="0.15">
      <c r="A19" s="9">
        <f t="shared" si="1"/>
        <v>12</v>
      </c>
      <c r="B19" s="9">
        <v>394</v>
      </c>
      <c r="C19" s="12">
        <f>B19/$B$7</f>
        <v>0.39400000000000002</v>
      </c>
      <c r="D19" s="9">
        <f>B18-B19</f>
        <v>15</v>
      </c>
      <c r="E19" s="9">
        <f t="shared" si="6"/>
        <v>1.7056136874591527E-2</v>
      </c>
      <c r="F19" s="9"/>
      <c r="G19" s="12">
        <f xml:space="preserve"> 1-SUM($E$8:E19)</f>
        <v>0.37800082071994867</v>
      </c>
      <c r="H19" s="13">
        <f t="shared" si="4"/>
        <v>378.00082071994865</v>
      </c>
      <c r="I19" s="12">
        <f t="shared" si="5"/>
        <v>4.0607054010282598E-2</v>
      </c>
    </row>
    <row r="21" spans="1:9" x14ac:dyDescent="0.15">
      <c r="A21" s="8" t="s">
        <v>14</v>
      </c>
      <c r="D21">
        <f xml:space="preserve"> 1000 - SUM(D8:D14)</f>
        <v>491</v>
      </c>
      <c r="E21">
        <f xml:space="preserve"> 1 - SUM(E8:E14)</f>
        <v>0.48890728473793732</v>
      </c>
      <c r="F21">
        <f xml:space="preserve"> D21 * LN(E21)</f>
        <v>-351.35096294020877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3BAB-0D0C-AB47-8386-443F257642F4}">
  <dimension ref="A1:M21"/>
  <sheetViews>
    <sheetView zoomScale="86" workbookViewId="0">
      <selection activeCell="H43" sqref="H43"/>
    </sheetView>
  </sheetViews>
  <sheetFormatPr baseColWidth="10" defaultRowHeight="13" x14ac:dyDescent="0.15"/>
  <cols>
    <col min="4" max="5" width="17.33203125" bestFit="1" customWidth="1"/>
    <col min="6" max="7" width="14.6640625" bestFit="1" customWidth="1"/>
    <col min="10" max="10" width="14.33203125" bestFit="1" customWidth="1"/>
    <col min="12" max="12" width="11" bestFit="1" customWidth="1"/>
  </cols>
  <sheetData>
    <row r="1" spans="1:13" x14ac:dyDescent="0.15">
      <c r="A1" s="8" t="s">
        <v>3</v>
      </c>
      <c r="B1">
        <v>0.6051780912383331</v>
      </c>
      <c r="J1" s="8" t="s">
        <v>19</v>
      </c>
      <c r="K1" s="14">
        <f>AVERAGE(I8:I17)</f>
        <v>1.5262101364450095E-2</v>
      </c>
      <c r="L1" s="8" t="s">
        <v>21</v>
      </c>
      <c r="M1" s="8">
        <f>CORREL(C7:C17,G7:G17)^2</f>
        <v>0.99658249749947525</v>
      </c>
    </row>
    <row r="2" spans="1:13" x14ac:dyDescent="0.15">
      <c r="A2" s="8" t="s">
        <v>4</v>
      </c>
      <c r="B2">
        <v>3.3887039213836223</v>
      </c>
      <c r="J2" s="8" t="s">
        <v>20</v>
      </c>
      <c r="K2" s="14">
        <f>AVERAGE(I18:I19)</f>
        <v>9.4108484709876598E-3</v>
      </c>
      <c r="L2" s="8" t="s">
        <v>22</v>
      </c>
      <c r="M2" s="8">
        <f>CORREL(C18:C19,G18:G19)^2</f>
        <v>1.0000000000000004</v>
      </c>
    </row>
    <row r="3" spans="1:13" x14ac:dyDescent="0.15">
      <c r="A3" s="8" t="s">
        <v>5</v>
      </c>
      <c r="B3">
        <f>SUM(F8:F17)+F21</f>
        <v>-1871.8717695749851</v>
      </c>
    </row>
    <row r="4" spans="1:13" x14ac:dyDescent="0.15">
      <c r="A4" s="10" t="s">
        <v>13</v>
      </c>
    </row>
    <row r="6" spans="1:13" x14ac:dyDescent="0.15">
      <c r="A6" s="8" t="s">
        <v>0</v>
      </c>
      <c r="B6" s="8" t="s">
        <v>12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17</v>
      </c>
      <c r="I6" s="8" t="s">
        <v>11</v>
      </c>
    </row>
    <row r="7" spans="1:13" x14ac:dyDescent="0.15">
      <c r="A7">
        <v>0</v>
      </c>
      <c r="B7">
        <v>1000</v>
      </c>
      <c r="C7" s="11">
        <f>B7/$B$7</f>
        <v>1</v>
      </c>
      <c r="D7">
        <v>0</v>
      </c>
      <c r="G7">
        <v>1</v>
      </c>
    </row>
    <row r="8" spans="1:13" x14ac:dyDescent="0.15">
      <c r="A8">
        <f>A7+1</f>
        <v>1</v>
      </c>
      <c r="B8">
        <v>869</v>
      </c>
      <c r="C8" s="11">
        <f t="shared" ref="C8:C14" si="0">B8/$B$7</f>
        <v>0.86899999999999999</v>
      </c>
      <c r="D8">
        <f>B7-B8</f>
        <v>131</v>
      </c>
      <c r="E8">
        <f xml:space="preserve"> B1 / (B2+B1)</f>
        <v>0.15152628177942543</v>
      </c>
      <c r="F8">
        <f xml:space="preserve"> D8 * LN(E8)</f>
        <v>-247.19650115019309</v>
      </c>
      <c r="G8" s="11">
        <f xml:space="preserve"> 1 - $E$8</f>
        <v>0.8484737182205746</v>
      </c>
      <c r="H8" s="4">
        <f>G8*1000</f>
        <v>848.4737182205746</v>
      </c>
      <c r="I8" s="11">
        <f>ABS(C8-G8)/C8</f>
        <v>2.3620577421663284E-2</v>
      </c>
    </row>
    <row r="9" spans="1:13" x14ac:dyDescent="0.15">
      <c r="A9">
        <f t="shared" ref="A9:A19" si="1">A8+1</f>
        <v>2</v>
      </c>
      <c r="B9">
        <v>743</v>
      </c>
      <c r="C9" s="11">
        <f t="shared" si="0"/>
        <v>0.74299999999999999</v>
      </c>
      <c r="D9">
        <f t="shared" ref="D9:D14" si="2">B8-B9</f>
        <v>126</v>
      </c>
      <c r="E9">
        <f xml:space="preserve"> E8 * ($B$2 + A9 - 2) / ($B$1 + $B$2 + A9 -1)</f>
        <v>0.10282135299969286</v>
      </c>
      <c r="F9">
        <f t="shared" ref="F9:F17" si="3" xml:space="preserve"> D9 * LN(E9)</f>
        <v>-286.62004142425644</v>
      </c>
      <c r="G9" s="11">
        <f xml:space="preserve"> 1-SUM($E$8:E9)</f>
        <v>0.74565236522088174</v>
      </c>
      <c r="H9" s="4">
        <f t="shared" ref="H9:H19" si="4">G9*1000</f>
        <v>745.65236522088173</v>
      </c>
      <c r="I9" s="11">
        <f t="shared" ref="I9:I18" si="5">ABS(C9-G9)/C9</f>
        <v>3.5698051425057161E-3</v>
      </c>
    </row>
    <row r="10" spans="1:13" x14ac:dyDescent="0.15">
      <c r="A10">
        <f t="shared" si="1"/>
        <v>3</v>
      </c>
      <c r="B10">
        <v>653</v>
      </c>
      <c r="C10" s="11">
        <f t="shared" si="0"/>
        <v>0.65300000000000002</v>
      </c>
      <c r="D10">
        <f t="shared" si="2"/>
        <v>90</v>
      </c>
      <c r="E10">
        <f t="shared" ref="E10:E19" si="6" xml:space="preserve"> E9 * ($B$2 + A10 - 2) / ($B$1 + $B$2 + A10 -1)</f>
        <v>7.5285511820464834E-2</v>
      </c>
      <c r="F10">
        <f t="shared" si="3"/>
        <v>-232.78208119122985</v>
      </c>
      <c r="G10" s="11">
        <f xml:space="preserve"> 1-SUM($E$8:E10)</f>
        <v>0.67036685340041691</v>
      </c>
      <c r="H10" s="4">
        <f t="shared" si="4"/>
        <v>670.36685340041686</v>
      </c>
      <c r="I10" s="11">
        <f t="shared" si="5"/>
        <v>2.6595487596350508E-2</v>
      </c>
    </row>
    <row r="11" spans="1:13" x14ac:dyDescent="0.15">
      <c r="A11">
        <f t="shared" si="1"/>
        <v>4</v>
      </c>
      <c r="B11">
        <v>593</v>
      </c>
      <c r="C11" s="11">
        <f t="shared" si="0"/>
        <v>0.59299999999999997</v>
      </c>
      <c r="D11">
        <f t="shared" si="2"/>
        <v>60</v>
      </c>
      <c r="E11">
        <f t="shared" si="6"/>
        <v>5.8006602347330877E-2</v>
      </c>
      <c r="F11">
        <f t="shared" si="3"/>
        <v>-170.83190648037581</v>
      </c>
      <c r="G11" s="11">
        <f xml:space="preserve"> 1-SUM($E$8:E11)</f>
        <v>0.612360251053086</v>
      </c>
      <c r="H11" s="4">
        <f t="shared" si="4"/>
        <v>612.36025105308602</v>
      </c>
      <c r="I11" s="11">
        <f t="shared" si="5"/>
        <v>3.2647978167092799E-2</v>
      </c>
    </row>
    <row r="12" spans="1:13" x14ac:dyDescent="0.15">
      <c r="A12">
        <f t="shared" si="1"/>
        <v>5</v>
      </c>
      <c r="B12">
        <v>551</v>
      </c>
      <c r="C12" s="11">
        <f t="shared" si="0"/>
        <v>0.55100000000000005</v>
      </c>
      <c r="D12">
        <f t="shared" si="2"/>
        <v>42</v>
      </c>
      <c r="E12">
        <f t="shared" si="6"/>
        <v>4.6358828826519351E-2</v>
      </c>
      <c r="F12">
        <f t="shared" si="3"/>
        <v>-128.99642798345329</v>
      </c>
      <c r="G12" s="11">
        <f xml:space="preserve"> 1-SUM($E$8:E12)</f>
        <v>0.56600142222656658</v>
      </c>
      <c r="H12" s="4">
        <f t="shared" si="4"/>
        <v>566.00142222656655</v>
      </c>
      <c r="I12" s="11">
        <f t="shared" si="5"/>
        <v>2.7225811663460123E-2</v>
      </c>
    </row>
    <row r="13" spans="1:13" x14ac:dyDescent="0.15">
      <c r="A13">
        <f t="shared" si="1"/>
        <v>6</v>
      </c>
      <c r="B13">
        <v>517</v>
      </c>
      <c r="C13" s="11">
        <f t="shared" si="0"/>
        <v>0.51700000000000002</v>
      </c>
      <c r="D13">
        <f t="shared" si="2"/>
        <v>34</v>
      </c>
      <c r="E13">
        <f t="shared" si="6"/>
        <v>3.8084962629101528E-2</v>
      </c>
      <c r="F13">
        <f t="shared" si="3"/>
        <v>-111.10981571786053</v>
      </c>
      <c r="G13" s="11">
        <f xml:space="preserve"> 1-SUM($E$8:E13)</f>
        <v>0.52791645959746503</v>
      </c>
      <c r="H13" s="4">
        <f t="shared" si="4"/>
        <v>527.91645959746506</v>
      </c>
      <c r="I13" s="11">
        <f t="shared" si="5"/>
        <v>2.1115008892582228E-2</v>
      </c>
    </row>
    <row r="14" spans="1:13" x14ac:dyDescent="0.15">
      <c r="A14">
        <f t="shared" si="1"/>
        <v>7</v>
      </c>
      <c r="B14">
        <v>491</v>
      </c>
      <c r="C14" s="11">
        <f t="shared" si="0"/>
        <v>0.49099999999999999</v>
      </c>
      <c r="D14">
        <f t="shared" si="2"/>
        <v>26</v>
      </c>
      <c r="E14">
        <f t="shared" si="6"/>
        <v>3.1967905459459621E-2</v>
      </c>
      <c r="F14">
        <f t="shared" si="3"/>
        <v>-89.518593680609683</v>
      </c>
      <c r="G14" s="11">
        <f xml:space="preserve"> 1-SUM($E$8:E14)</f>
        <v>0.49594855413800543</v>
      </c>
      <c r="H14" s="4">
        <f t="shared" si="4"/>
        <v>495.94855413800542</v>
      </c>
      <c r="I14" s="11">
        <f t="shared" si="5"/>
        <v>1.0078521665998848E-2</v>
      </c>
    </row>
    <row r="15" spans="1:13" x14ac:dyDescent="0.15">
      <c r="A15">
        <f t="shared" si="1"/>
        <v>8</v>
      </c>
      <c r="B15">
        <v>468</v>
      </c>
      <c r="C15" s="11">
        <f>B15/$B$7</f>
        <v>0.46800000000000003</v>
      </c>
      <c r="D15">
        <f>B14-B15</f>
        <v>23</v>
      </c>
      <c r="E15">
        <f t="shared" si="6"/>
        <v>2.7300383886334711E-2</v>
      </c>
      <c r="F15">
        <f t="shared" si="3"/>
        <v>-82.819653847750487</v>
      </c>
      <c r="G15" s="11">
        <f xml:space="preserve"> 1-SUM($E$8:E15)</f>
        <v>0.46864817025167071</v>
      </c>
      <c r="H15" s="4">
        <f t="shared" si="4"/>
        <v>468.64817025167071</v>
      </c>
      <c r="I15" s="11">
        <f t="shared" si="5"/>
        <v>1.3849791702365123E-3</v>
      </c>
    </row>
    <row r="16" spans="1:13" x14ac:dyDescent="0.15">
      <c r="A16">
        <f t="shared" si="1"/>
        <v>9</v>
      </c>
      <c r="B16">
        <v>445</v>
      </c>
      <c r="C16" s="11">
        <f>B16/$B$7</f>
        <v>0.44500000000000001</v>
      </c>
      <c r="D16">
        <f>B15-B16</f>
        <v>23</v>
      </c>
      <c r="E16">
        <f t="shared" si="6"/>
        <v>2.3646689606982647E-2</v>
      </c>
      <c r="F16">
        <f t="shared" si="3"/>
        <v>-86.124239408054635</v>
      </c>
      <c r="G16" s="11">
        <f xml:space="preserve"> 1-SUM($E$8:E16)</f>
        <v>0.44500148064468803</v>
      </c>
      <c r="H16" s="4">
        <f t="shared" si="4"/>
        <v>445.00148064468806</v>
      </c>
      <c r="I16" s="11">
        <f t="shared" si="5"/>
        <v>3.3272914337603053E-6</v>
      </c>
    </row>
    <row r="17" spans="1:9" x14ac:dyDescent="0.15">
      <c r="A17">
        <f t="shared" si="1"/>
        <v>10</v>
      </c>
      <c r="B17">
        <v>427</v>
      </c>
      <c r="C17" s="11">
        <f>B17/$B$7</f>
        <v>0.42699999999999999</v>
      </c>
      <c r="D17">
        <f>B16-B17</f>
        <v>18</v>
      </c>
      <c r="E17">
        <f t="shared" si="6"/>
        <v>2.0725534247054717E-2</v>
      </c>
      <c r="F17">
        <f t="shared" si="3"/>
        <v>-69.774998407007345</v>
      </c>
      <c r="G17" s="11">
        <f xml:space="preserve"> 1-SUM($E$8:E17)</f>
        <v>0.42427594639763333</v>
      </c>
      <c r="H17" s="4">
        <f t="shared" si="4"/>
        <v>424.27594639763333</v>
      </c>
      <c r="I17" s="11">
        <f t="shared" si="5"/>
        <v>6.3795166331771912E-3</v>
      </c>
    </row>
    <row r="18" spans="1:9" x14ac:dyDescent="0.15">
      <c r="A18" s="9">
        <f t="shared" si="1"/>
        <v>11</v>
      </c>
      <c r="B18" s="9">
        <v>409</v>
      </c>
      <c r="C18" s="12">
        <f>B18/$B$7</f>
        <v>0.40899999999999997</v>
      </c>
      <c r="D18" s="9">
        <f>B17-B18</f>
        <v>18</v>
      </c>
      <c r="E18" s="9">
        <f t="shared" si="6"/>
        <v>1.834819724560113E-2</v>
      </c>
      <c r="F18" s="9"/>
      <c r="G18" s="12">
        <f xml:space="preserve"> 1-SUM($E$8:E18)</f>
        <v>0.40592774915203222</v>
      </c>
      <c r="H18" s="13">
        <f t="shared" si="4"/>
        <v>405.92774915203222</v>
      </c>
      <c r="I18" s="12">
        <f t="shared" si="5"/>
        <v>7.5116157652023235E-3</v>
      </c>
    </row>
    <row r="19" spans="1:9" x14ac:dyDescent="0.15">
      <c r="A19" s="9">
        <f t="shared" si="1"/>
        <v>12</v>
      </c>
      <c r="B19" s="9">
        <v>394</v>
      </c>
      <c r="C19" s="12">
        <f>B19/$B$7</f>
        <v>0.39400000000000002</v>
      </c>
      <c r="D19" s="9">
        <f>B18-B19</f>
        <v>15</v>
      </c>
      <c r="E19" s="9">
        <f t="shared" si="6"/>
        <v>1.6383921135680733E-2</v>
      </c>
      <c r="F19" s="9"/>
      <c r="G19" s="12">
        <f xml:space="preserve"> 1-SUM($E$8:E19)</f>
        <v>0.38954382801635146</v>
      </c>
      <c r="H19" s="13">
        <f t="shared" si="4"/>
        <v>389.54382801635148</v>
      </c>
      <c r="I19" s="12">
        <f>ABS(C19-G19)/C19</f>
        <v>1.1310081176772995E-2</v>
      </c>
    </row>
    <row r="21" spans="1:9" x14ac:dyDescent="0.15">
      <c r="A21" s="8" t="s">
        <v>16</v>
      </c>
      <c r="D21">
        <f xml:space="preserve"> 1000 - SUM(D8:D17)</f>
        <v>427</v>
      </c>
      <c r="E21">
        <f xml:space="preserve"> 1 - SUM(E8:E17)</f>
        <v>0.42427594639763333</v>
      </c>
      <c r="F21">
        <f xml:space="preserve"> D21 * LN(E21)</f>
        <v>-366.0975102841939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HW data</vt:lpstr>
      <vt:lpstr>sBG regular_7</vt:lpstr>
      <vt:lpstr>sBG regular_10</vt:lpstr>
      <vt:lpstr>sBG high end_7</vt:lpstr>
      <vt:lpstr>sBG high end_10</vt:lpstr>
    </vt:vector>
  </TitlesOfParts>
  <Company>The Wharton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Fader</dc:creator>
  <cp:lastModifiedBy>Alan Wu</cp:lastModifiedBy>
  <dcterms:created xsi:type="dcterms:W3CDTF">2006-01-10T14:48:16Z</dcterms:created>
  <dcterms:modified xsi:type="dcterms:W3CDTF">2026-01-29T02:08:14Z</dcterms:modified>
</cp:coreProperties>
</file>