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wu/Downloads/"/>
    </mc:Choice>
  </mc:AlternateContent>
  <xr:revisionPtr revIDLastSave="0" documentId="13_ncr:1_{E978A8D5-A40F-4541-86D3-E0FBC6F6CA25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prescription data" sheetId="4" r:id="rId1"/>
    <sheet name="nbd prescription" sheetId="1" r:id="rId2"/>
    <sheet name="prescription final" sheetId="2" r:id="rId3"/>
    <sheet name="survey data" sheetId="5" r:id="rId4"/>
    <sheet name="nbd survey" sheetId="6" r:id="rId5"/>
  </sheets>
  <definedNames>
    <definedName name="solver_adj" localSheetId="1" hidden="1">'nbd prescription'!$B$1:$B$2</definedName>
    <definedName name="solver_adj" localSheetId="4" hidden="1">'nbd survey'!$B$1:$B$2</definedName>
    <definedName name="solver_cvg" localSheetId="1" hidden="1">0.0001</definedName>
    <definedName name="solver_cvg" localSheetId="4" hidden="1">0.0001</definedName>
    <definedName name="solver_drv" localSheetId="1" hidden="1">1</definedName>
    <definedName name="solver_drv" localSheetId="4" hidden="1">1</definedName>
    <definedName name="solver_eng" localSheetId="1" hidden="1">1</definedName>
    <definedName name="solver_eng" localSheetId="4" hidden="1">1</definedName>
    <definedName name="solver_itr" localSheetId="1" hidden="1">2147483647</definedName>
    <definedName name="solver_itr" localSheetId="4" hidden="1">2147483647</definedName>
    <definedName name="solver_lhs1" localSheetId="1" hidden="1">'nbd prescription'!$B$1:$B$2</definedName>
    <definedName name="solver_lhs1" localSheetId="4" hidden="1">'nbd survey'!$B$1:$B$2</definedName>
    <definedName name="solver_lin" localSheetId="1" hidden="1">2</definedName>
    <definedName name="solver_lin" localSheetId="4" hidden="1">2</definedName>
    <definedName name="solver_mip" localSheetId="1" hidden="1">2147483647</definedName>
    <definedName name="solver_mip" localSheetId="4" hidden="1">2147483647</definedName>
    <definedName name="solver_mni" localSheetId="1" hidden="1">30</definedName>
    <definedName name="solver_mni" localSheetId="4" hidden="1">30</definedName>
    <definedName name="solver_mrt" localSheetId="1" hidden="1">0.075</definedName>
    <definedName name="solver_mrt" localSheetId="4" hidden="1">0.075</definedName>
    <definedName name="solver_msl" localSheetId="1" hidden="1">2</definedName>
    <definedName name="solver_msl" localSheetId="4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od" localSheetId="4" hidden="1">2147483647</definedName>
    <definedName name="solver_num" localSheetId="1" hidden="1">1</definedName>
    <definedName name="solver_num" localSheetId="4" hidden="1">1</definedName>
    <definedName name="solver_opt" localSheetId="1" hidden="1">'nbd prescription'!$B$3</definedName>
    <definedName name="solver_opt" localSheetId="4" hidden="1">'nbd survey'!$B$3</definedName>
    <definedName name="solver_pre" localSheetId="1" hidden="1">0.000001</definedName>
    <definedName name="solver_pre" localSheetId="4" hidden="1">0.000001</definedName>
    <definedName name="solver_rbv" localSheetId="1" hidden="1">1</definedName>
    <definedName name="solver_rbv" localSheetId="4" hidden="1">1</definedName>
    <definedName name="solver_rel1" localSheetId="1" hidden="1">3</definedName>
    <definedName name="solver_rel1" localSheetId="4" hidden="1">3</definedName>
    <definedName name="solver_rhs1" localSheetId="1" hidden="1">0.0000001</definedName>
    <definedName name="solver_rhs1" localSheetId="4" hidden="1">0.0001</definedName>
    <definedName name="solver_rlx" localSheetId="1" hidden="1">2</definedName>
    <definedName name="solver_rlx" localSheetId="4" hidden="1">2</definedName>
    <definedName name="solver_rsd" localSheetId="1" hidden="1">0</definedName>
    <definedName name="solver_rsd" localSheetId="4" hidden="1">0</definedName>
    <definedName name="solver_scl" localSheetId="1" hidden="1">1</definedName>
    <definedName name="solver_scl" localSheetId="4" hidden="1">1</definedName>
    <definedName name="solver_sho" localSheetId="1" hidden="1">2</definedName>
    <definedName name="solver_sho" localSheetId="4" hidden="1">2</definedName>
    <definedName name="solver_ssz" localSheetId="1" hidden="1">100</definedName>
    <definedName name="solver_ssz" localSheetId="4" hidden="1">100</definedName>
    <definedName name="solver_tim" localSheetId="1" hidden="1">2147483647</definedName>
    <definedName name="solver_tim" localSheetId="4" hidden="1">2147483647</definedName>
    <definedName name="solver_tol" localSheetId="1" hidden="1">0.01</definedName>
    <definedName name="solver_tol" localSheetId="4" hidden="1">0.01</definedName>
    <definedName name="solver_typ" localSheetId="1" hidden="1">1</definedName>
    <definedName name="solver_typ" localSheetId="4" hidden="1">1</definedName>
    <definedName name="solver_val" localSheetId="1" hidden="1">0</definedName>
    <definedName name="solver_val" localSheetId="4" hidden="1">0</definedName>
    <definedName name="solver_ver" localSheetId="1" hidden="1">2</definedName>
    <definedName name="solver_ver" localSheetId="4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J7" i="6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J14" i="6"/>
  <c r="L14" i="1"/>
  <c r="I11" i="1"/>
  <c r="K7" i="6" l="1"/>
  <c r="L7" i="6"/>
  <c r="M7" i="6" s="1"/>
  <c r="J8" i="6"/>
  <c r="K8" i="6" l="1"/>
  <c r="J9" i="6"/>
  <c r="K9" i="6" s="1"/>
  <c r="J6" i="1" l="1"/>
  <c r="F3" i="2"/>
  <c r="F2" i="2"/>
  <c r="F1" i="2"/>
  <c r="G4" i="1"/>
  <c r="G2" i="1"/>
  <c r="G3" i="1" s="1"/>
  <c r="E10" i="1"/>
  <c r="E7" i="6"/>
  <c r="C3" i="5"/>
  <c r="C4" i="5"/>
  <c r="C5" i="5"/>
  <c r="C6" i="5"/>
  <c r="C2" i="5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7" i="2"/>
  <c r="D6" i="2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7" i="2"/>
  <c r="C6" i="2"/>
  <c r="L6" i="1" l="1"/>
  <c r="M6" i="1" s="1"/>
  <c r="J7" i="1"/>
  <c r="K6" i="1"/>
  <c r="F7" i="6"/>
  <c r="D8" i="6"/>
  <c r="E6" i="1"/>
  <c r="E9" i="1"/>
  <c r="E8" i="1"/>
  <c r="E7" i="1"/>
  <c r="D10" i="1"/>
  <c r="D6" i="1"/>
  <c r="D9" i="1"/>
  <c r="D8" i="1"/>
  <c r="D7" i="1"/>
  <c r="L8" i="6" l="1"/>
  <c r="M8" i="6" s="1"/>
  <c r="K7" i="1"/>
  <c r="L7" i="1"/>
  <c r="M7" i="1" s="1"/>
  <c r="J8" i="1"/>
  <c r="F8" i="6"/>
  <c r="E8" i="6"/>
  <c r="D9" i="6"/>
  <c r="L9" i="6" s="1"/>
  <c r="M9" i="6" s="1"/>
  <c r="E12" i="1"/>
  <c r="E11" i="1"/>
  <c r="D11" i="1"/>
  <c r="D12" i="1"/>
  <c r="J9" i="1" l="1"/>
  <c r="L8" i="1"/>
  <c r="M8" i="1" s="1"/>
  <c r="K8" i="1"/>
  <c r="D10" i="6"/>
  <c r="F9" i="6"/>
  <c r="E9" i="6"/>
  <c r="E13" i="1"/>
  <c r="J10" i="1" l="1"/>
  <c r="J11" i="1" s="1"/>
  <c r="K9" i="1"/>
  <c r="L9" i="1"/>
  <c r="M9" i="1" s="1"/>
  <c r="D11" i="6"/>
  <c r="D12" i="6" s="1"/>
  <c r="D14" i="6" s="1"/>
  <c r="L11" i="6" s="1"/>
  <c r="M11" i="6" s="1"/>
  <c r="D13" i="1"/>
  <c r="E14" i="1"/>
  <c r="D13" i="6" l="1"/>
  <c r="L10" i="6" s="1"/>
  <c r="M10" i="6" s="1"/>
  <c r="J13" i="6" s="1"/>
  <c r="J15" i="6" s="1"/>
  <c r="J10" i="6"/>
  <c r="L11" i="1"/>
  <c r="M11" i="1" s="1"/>
  <c r="K11" i="1"/>
  <c r="L10" i="1"/>
  <c r="M10" i="1" s="1"/>
  <c r="K10" i="1"/>
  <c r="E14" i="6"/>
  <c r="D14" i="1"/>
  <c r="E15" i="1"/>
  <c r="F13" i="6" l="1"/>
  <c r="K10" i="6"/>
  <c r="J11" i="6"/>
  <c r="K11" i="6" s="1"/>
  <c r="L13" i="1"/>
  <c r="L15" i="1" s="1"/>
  <c r="F14" i="6"/>
  <c r="E13" i="6"/>
  <c r="D15" i="1"/>
  <c r="E16" i="1"/>
  <c r="B3" i="6" l="1"/>
  <c r="D16" i="1"/>
  <c r="E17" i="1"/>
  <c r="E18" i="1"/>
  <c r="D17" i="1"/>
  <c r="E19" i="1" l="1"/>
  <c r="D18" i="1"/>
  <c r="E20" i="1" l="1"/>
  <c r="D19" i="1"/>
  <c r="D20" i="1" l="1"/>
  <c r="D21" i="1" l="1"/>
  <c r="B3" i="1" s="1"/>
  <c r="E21" i="1"/>
</calcChain>
</file>

<file path=xl/sharedStrings.xml><?xml version="1.0" encoding="utf-8"?>
<sst xmlns="http://schemas.openxmlformats.org/spreadsheetml/2006/main" count="63" uniqueCount="31">
  <si>
    <t>x</t>
  </si>
  <si>
    <t>n_x</t>
  </si>
  <si>
    <t xml:space="preserve">alpha </t>
  </si>
  <si>
    <t xml:space="preserve">LL </t>
  </si>
  <si>
    <t>r</t>
  </si>
  <si>
    <t>P(X = x | a, r)</t>
  </si>
  <si>
    <t>Log Likelihood</t>
  </si>
  <si>
    <t>time (t)</t>
  </si>
  <si>
    <t>n_predicted_exposures</t>
  </si>
  <si>
    <t>t</t>
  </si>
  <si>
    <t>predicted_n_x</t>
  </si>
  <si>
    <t>6+</t>
  </si>
  <si>
    <t>% of respondent</t>
  </si>
  <si>
    <t>alpha</t>
  </si>
  <si>
    <t>P(X = x | a,r)</t>
  </si>
  <si>
    <t xml:space="preserve">Log Likelihood </t>
  </si>
  <si>
    <t>Predicted n_x</t>
  </si>
  <si>
    <t>3-5</t>
  </si>
  <si>
    <t>reach</t>
  </si>
  <si>
    <t>frequency</t>
  </si>
  <si>
    <t>grps</t>
  </si>
  <si>
    <t xml:space="preserve">n_x </t>
  </si>
  <si>
    <t>Evaluation: chi-sq</t>
  </si>
  <si>
    <t>n_predicted_x</t>
  </si>
  <si>
    <t>chisq</t>
  </si>
  <si>
    <t>5+</t>
  </si>
  <si>
    <t>df</t>
  </si>
  <si>
    <t xml:space="preserve">p-value </t>
  </si>
  <si>
    <t>categories</t>
  </si>
  <si>
    <t>pvalue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</si>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</sst>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0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Observation</a:t>
            </a:r>
            <a:r>
              <a:rPr lang="en-US" baseline="0"/>
              <a:t> Period (t = 1 month)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'nbd prescription'!$A$6:$A$21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'nbd prescription'!$B$6:$B$21</c:f>
              <c:numCache>
                <c:formatCode>General</c:formatCode>
                <c:ptCount val="16"/>
                <c:pt idx="0">
                  <c:v>1650</c:v>
                </c:pt>
                <c:pt idx="1">
                  <c:v>138</c:v>
                </c:pt>
                <c:pt idx="2">
                  <c:v>55</c:v>
                </c:pt>
                <c:pt idx="3">
                  <c:v>30</c:v>
                </c:pt>
                <c:pt idx="4">
                  <c:v>15</c:v>
                </c:pt>
                <c:pt idx="5">
                  <c:v>10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7-C848-BFAF-F9C4F1AA34B8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'nbd prescription'!$E$6:$E$21</c:f>
              <c:numCache>
                <c:formatCode>0</c:formatCode>
                <c:ptCount val="16"/>
                <c:pt idx="0">
                  <c:v>1650.2360309928399</c:v>
                </c:pt>
                <c:pt idx="1">
                  <c:v>134.91274164731064</c:v>
                </c:pt>
                <c:pt idx="2">
                  <c:v>56.630807137794754</c:v>
                </c:pt>
                <c:pt idx="3">
                  <c:v>30.151780114553489</c:v>
                </c:pt>
                <c:pt idx="4">
                  <c:v>17.752203084578557</c:v>
                </c:pt>
                <c:pt idx="5">
                  <c:v>11.051844886612384</c:v>
                </c:pt>
                <c:pt idx="6">
                  <c:v>7.1294960204214259</c:v>
                </c:pt>
                <c:pt idx="7">
                  <c:v>4.7139588900101899</c:v>
                </c:pt>
                <c:pt idx="8">
                  <c:v>3.1737324707537202</c:v>
                </c:pt>
                <c:pt idx="9">
                  <c:v>2.1665538221978151</c:v>
                </c:pt>
                <c:pt idx="10">
                  <c:v>1.4952750950951688</c:v>
                </c:pt>
                <c:pt idx="11">
                  <c:v>1.0411726997133306</c:v>
                </c:pt>
                <c:pt idx="12">
                  <c:v>0.73030950764158908</c:v>
                </c:pt>
                <c:pt idx="13">
                  <c:v>0.51542553914626565</c:v>
                </c:pt>
                <c:pt idx="14">
                  <c:v>0.3656828195011409</c:v>
                </c:pt>
                <c:pt idx="15">
                  <c:v>0.26062089854653436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77-C848-BFAF-F9C4F1AA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197279"/>
        <c:axId val="923676303"/>
      </c:barChart>
      <c:catAx>
        <c:axId val="92319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76303"/>
        <c:crosses val="autoZero"/>
        <c:auto val="1"/>
        <c:lblAlgn val="ctr"/>
        <c:lblOffset val="100"/>
        <c:noMultiLvlLbl val="0"/>
      </c:catAx>
      <c:valAx>
        <c:axId val="9236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9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Evaluation of NBD (t = 1 month)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'nbd prescription'!$H$6:$H$11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'nbd prescription'!$I$6:$I$11</c:f>
              <c:numCache>
                <c:formatCode>General</c:formatCode>
                <c:ptCount val="6"/>
                <c:pt idx="0">
                  <c:v>1650</c:v>
                </c:pt>
                <c:pt idx="1">
                  <c:v>138</c:v>
                </c:pt>
                <c:pt idx="2">
                  <c:v>55</c:v>
                </c:pt>
                <c:pt idx="3">
                  <c:v>30</c:v>
                </c:pt>
                <c:pt idx="4">
                  <c:v>15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D14D-B450-40989ACAC612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'nbd prescription'!$L$6:$L$11</c:f>
              <c:numCache>
                <c:formatCode>0</c:formatCode>
                <c:ptCount val="6"/>
                <c:pt idx="0">
                  <c:v>1650.2360309928399</c:v>
                </c:pt>
                <c:pt idx="1">
                  <c:v>134.91274164731064</c:v>
                </c:pt>
                <c:pt idx="2">
                  <c:v>56.630807137794754</c:v>
                </c:pt>
                <c:pt idx="3">
                  <c:v>30.151780114553489</c:v>
                </c:pt>
                <c:pt idx="4">
                  <c:v>17.752203084578557</c:v>
                </c:pt>
                <c:pt idx="5">
                  <c:v>33.316437022922692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2-D14D-B450-40989ACAC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197279"/>
        <c:axId val="923676303"/>
      </c:barChart>
      <c:catAx>
        <c:axId val="92319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76303"/>
        <c:crosses val="autoZero"/>
        <c:auto val="1"/>
        <c:lblAlgn val="ctr"/>
        <c:lblOffset val="100"/>
        <c:noMultiLvlLbl val="0"/>
      </c:catAx>
      <c:valAx>
        <c:axId val="9236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9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at t =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'prescription final'!$A$6:$A$21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'prescription final'!$D$6:$D$21</c:f>
              <c:numCache>
                <c:formatCode>0</c:formatCode>
                <c:ptCount val="16"/>
                <c:pt idx="0">
                  <c:v>1296.8401760268105</c:v>
                </c:pt>
                <c:pt idx="1">
                  <c:v>136.27656893778683</c:v>
                </c:pt>
                <c:pt idx="2">
                  <c:v>73.530518807600316</c:v>
                </c:pt>
                <c:pt idx="3">
                  <c:v>50.324034967342278</c:v>
                </c:pt>
                <c:pt idx="4">
                  <c:v>38.085768088197909</c:v>
                </c:pt>
                <c:pt idx="5">
                  <c:v>30.4784853799238</c:v>
                </c:pt>
                <c:pt idx="6">
                  <c:v>25.273516763070518</c:v>
                </c:pt>
                <c:pt idx="7">
                  <c:v>21.480330325955162</c:v>
                </c:pt>
                <c:pt idx="8">
                  <c:v>18.589762888066666</c:v>
                </c:pt>
                <c:pt idx="9">
                  <c:v>16.312533888979392</c:v>
                </c:pt>
                <c:pt idx="10">
                  <c:v>14.471764420365032</c:v>
                </c:pt>
                <c:pt idx="11">
                  <c:v>12.953037434674814</c:v>
                </c:pt>
                <c:pt idx="12">
                  <c:v>11.678963131779749</c:v>
                </c:pt>
                <c:pt idx="13">
                  <c:v>10.595263642128927</c:v>
                </c:pt>
                <c:pt idx="14">
                  <c:v>9.6627091163369023</c:v>
                </c:pt>
                <c:pt idx="15">
                  <c:v>8.8522182769057718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0-564A-A704-AE1CD631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176863"/>
        <c:axId val="935815151"/>
      </c:barChart>
      <c:catAx>
        <c:axId val="93617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15151"/>
        <c:crosses val="autoZero"/>
        <c:auto val="1"/>
        <c:lblAlgn val="ctr"/>
        <c:lblOffset val="100"/>
        <c:noMultiLvlLbl val="0"/>
      </c:catAx>
      <c:valAx>
        <c:axId val="93581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17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 on 1996</a:t>
            </a:r>
            <a:r>
              <a:rPr lang="en-US" baseline="0"/>
              <a:t> Survey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'nbd survey'!$H$7:$H$11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3-5</c:v>
                </c:pt>
                <c:pt idx="4">
                  <c:v>6+</c:v>
                </c:pt>
              </c:strCache>
            </c:strRef>
          </c:cat>
          <c:val>
            <c:numRef>
              <c:f>'nbd survey'!$I$7:$I$11</c:f>
              <c:numCache>
                <c:formatCode>General</c:formatCode>
                <c:ptCount val="5"/>
                <c:pt idx="0">
                  <c:v>1020</c:v>
                </c:pt>
                <c:pt idx="1">
                  <c:v>166</c:v>
                </c:pt>
                <c:pt idx="2">
                  <c:v>270</c:v>
                </c:pt>
                <c:pt idx="3">
                  <c:v>279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2-1E43-A265-3C90FA738049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'nbd survey'!$H$7:$H$11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3-5</c:v>
                </c:pt>
                <c:pt idx="4">
                  <c:v>6+</c:v>
                </c:pt>
              </c:strCache>
            </c:strRef>
          </c:cat>
          <c:val>
            <c:numRef>
              <c:f>'nbd survey'!$L$7:$L$11</c:f>
              <c:numCache>
                <c:formatCode>0</c:formatCode>
                <c:ptCount val="5"/>
                <c:pt idx="0">
                  <c:v>990.45871866138691</c:v>
                </c:pt>
                <c:pt idx="1">
                  <c:v>310.68675826964227</c:v>
                </c:pt>
                <c:pt idx="2">
                  <c:v>173.23879077511637</c:v>
                </c:pt>
                <c:pt idx="3">
                  <c:v>238.84757848678245</c:v>
                </c:pt>
                <c:pt idx="4">
                  <c:v>151.76815380707191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2-1E43-A265-3C90FA73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641087"/>
        <c:axId val="896083247"/>
      </c:barChart>
      <c:catAx>
        <c:axId val="89564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083247"/>
        <c:crosses val="autoZero"/>
        <c:auto val="1"/>
        <c:lblAlgn val="ctr"/>
        <c:lblOffset val="100"/>
        <c:noMultiLvlLbl val="0"/>
      </c:catAx>
      <c:valAx>
        <c:axId val="8960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4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32758</xdr:colOff>
      <xdr:row>22</xdr:row>
      <xdr:rowOff>29793</xdr:rowOff>
    </xdr:from>
    <xdr:to>
      <xdr:col>4</xdr:col>
      <xdr:colOff>1435693</xdr:colOff>
      <xdr:row>38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B2A3BF-BF95-9844-F7BC-AC1E29106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16</xdr:row>
      <xdr:rowOff>38100</xdr:rowOff>
    </xdr:from>
    <xdr:to>
      <xdr:col>11</xdr:col>
      <xdr:colOff>704435</xdr:colOff>
      <xdr:row>32</xdr:row>
      <xdr:rowOff>122608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8D2DF5D-6ED3-5A44-A0E0-75430E089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21</xdr:row>
      <xdr:rowOff>152400</xdr:rowOff>
    </xdr:from>
    <xdr:to>
      <xdr:col>5</xdr:col>
      <xdr:colOff>419100</xdr:colOff>
      <xdr:row>38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1598-EAFE-7E7C-BED7-5502526D9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41876</xdr:colOff>
      <xdr:row>15</xdr:row>
      <xdr:rowOff>15103</xdr:rowOff>
    </xdr:from>
    <xdr:to>
      <xdr:col>5</xdr:col>
      <xdr:colOff>85124</xdr:colOff>
      <xdr:row>31</xdr:row>
      <xdr:rowOff>111783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94A02-A578-969A-951C-2C61973BB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DECF-EF71-1644-8511-AFAFC375C03A}">
  <dimension ref="A1:B17"/>
  <sheetViews>
    <sheetView workbookViewId="0">
      <selection activeCell="F35" sqref="F35"/>
    </sheetView>
  </sheetViews>
  <sheetFormatPr baseColWidth="10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1650</v>
      </c>
    </row>
    <row r="3" spans="1:2" x14ac:dyDescent="0.15">
      <c r="A3">
        <v>1</v>
      </c>
      <c r="B3">
        <v>138</v>
      </c>
    </row>
    <row r="4" spans="1:2" x14ac:dyDescent="0.15">
      <c r="A4">
        <v>2</v>
      </c>
      <c r="B4">
        <v>55</v>
      </c>
    </row>
    <row r="5" spans="1:2" x14ac:dyDescent="0.15">
      <c r="A5">
        <v>3</v>
      </c>
      <c r="B5">
        <v>30</v>
      </c>
    </row>
    <row r="6" spans="1:2" x14ac:dyDescent="0.15">
      <c r="A6">
        <v>4</v>
      </c>
      <c r="B6">
        <v>15</v>
      </c>
    </row>
    <row r="7" spans="1:2" x14ac:dyDescent="0.15">
      <c r="A7">
        <v>5</v>
      </c>
      <c r="B7">
        <v>10</v>
      </c>
    </row>
    <row r="8" spans="1:2" x14ac:dyDescent="0.15">
      <c r="A8">
        <v>6</v>
      </c>
      <c r="B8">
        <v>8</v>
      </c>
    </row>
    <row r="9" spans="1:2" x14ac:dyDescent="0.15">
      <c r="A9">
        <v>7</v>
      </c>
      <c r="B9">
        <v>4</v>
      </c>
    </row>
    <row r="10" spans="1:2" x14ac:dyDescent="0.15">
      <c r="A10">
        <v>8</v>
      </c>
      <c r="B10">
        <v>6</v>
      </c>
    </row>
    <row r="11" spans="1:2" x14ac:dyDescent="0.15">
      <c r="A11">
        <v>9</v>
      </c>
      <c r="B11">
        <v>3</v>
      </c>
    </row>
    <row r="12" spans="1:2" x14ac:dyDescent="0.15">
      <c r="A12">
        <v>10</v>
      </c>
      <c r="B12">
        <v>1</v>
      </c>
    </row>
    <row r="13" spans="1:2" x14ac:dyDescent="0.15">
      <c r="A13">
        <v>11</v>
      </c>
      <c r="B13">
        <v>0</v>
      </c>
    </row>
    <row r="14" spans="1:2" x14ac:dyDescent="0.15">
      <c r="A14">
        <v>12</v>
      </c>
      <c r="B14">
        <v>1</v>
      </c>
    </row>
    <row r="15" spans="1:2" x14ac:dyDescent="0.15">
      <c r="A15">
        <v>13</v>
      </c>
      <c r="B15">
        <v>1</v>
      </c>
    </row>
    <row r="16" spans="1:2" x14ac:dyDescent="0.15">
      <c r="A16">
        <v>14</v>
      </c>
      <c r="B16">
        <v>0</v>
      </c>
    </row>
    <row r="17" spans="1:2" x14ac:dyDescent="0.15">
      <c r="A17">
        <v>15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C6" sqref="C6"/>
    </sheetView>
  </sheetViews>
  <sheetFormatPr baseColWidth="10" defaultColWidth="8.83203125" defaultRowHeight="13" x14ac:dyDescent="0.15"/>
  <cols>
    <col min="3" max="3" width="11.33203125" bestFit="1" customWidth="1"/>
    <col min="4" max="4" width="12.5" bestFit="1" customWidth="1"/>
    <col min="5" max="5" width="19.5" bestFit="1" customWidth="1"/>
    <col min="8" max="8" width="14.83203125" bestFit="1" customWidth="1"/>
    <col min="9" max="9" width="11.33203125" bestFit="1" customWidth="1"/>
    <col min="10" max="10" width="12.1640625" bestFit="1" customWidth="1"/>
    <col min="11" max="11" width="12.5" bestFit="1" customWidth="1"/>
    <col min="12" max="13" width="18.83203125" bestFit="1" customWidth="1"/>
  </cols>
  <sheetData>
    <row r="1" spans="1:13" x14ac:dyDescent="0.15">
      <c r="A1" s="1" t="s">
        <v>2</v>
      </c>
      <c r="B1">
        <v>0.31967218123364449</v>
      </c>
      <c r="F1" s="1" t="s">
        <v>7</v>
      </c>
      <c r="G1">
        <v>1</v>
      </c>
    </row>
    <row r="2" spans="1:13" x14ac:dyDescent="0.15">
      <c r="A2" s="1" t="s">
        <v>4</v>
      </c>
      <c r="B2">
        <v>0.10788795584520246</v>
      </c>
      <c r="F2" s="1" t="s">
        <v>18</v>
      </c>
      <c r="G2" s="4">
        <f>1-C6</f>
        <v>0.14184293760122724</v>
      </c>
    </row>
    <row r="3" spans="1:13" x14ac:dyDescent="0.15">
      <c r="A3" s="1" t="s">
        <v>3</v>
      </c>
      <c r="B3">
        <f>SUM(D6:D21)</f>
        <v>-1219.2701021971418</v>
      </c>
      <c r="F3" s="1" t="s">
        <v>19</v>
      </c>
      <c r="G3">
        <f>(B2 *G1 / B1) / G2</f>
        <v>2.3793613526016859</v>
      </c>
    </row>
    <row r="4" spans="1:13" x14ac:dyDescent="0.15">
      <c r="F4" s="1" t="s">
        <v>20</v>
      </c>
      <c r="G4">
        <f xml:space="preserve"> 100 * B2 * G1 / B1</f>
        <v>33.749560386785255</v>
      </c>
      <c r="H4" s="1" t="s">
        <v>22</v>
      </c>
    </row>
    <row r="5" spans="1:13" x14ac:dyDescent="0.15">
      <c r="A5" t="s">
        <v>0</v>
      </c>
      <c r="B5" t="s">
        <v>1</v>
      </c>
      <c r="C5" s="1" t="s">
        <v>5</v>
      </c>
      <c r="D5" s="1" t="s">
        <v>6</v>
      </c>
      <c r="E5" s="1" t="s">
        <v>8</v>
      </c>
      <c r="F5" s="1"/>
      <c r="H5" s="1" t="s">
        <v>0</v>
      </c>
      <c r="I5" s="1" t="s">
        <v>21</v>
      </c>
      <c r="J5" s="1" t="s">
        <v>5</v>
      </c>
      <c r="K5" s="1" t="s">
        <v>6</v>
      </c>
      <c r="L5" s="1" t="s">
        <v>23</v>
      </c>
      <c r="M5" s="1" t="s">
        <v>24</v>
      </c>
    </row>
    <row r="6" spans="1:13" x14ac:dyDescent="0.15">
      <c r="A6">
        <v>0</v>
      </c>
      <c r="B6">
        <v>1650</v>
      </c>
      <c r="C6">
        <f>(B1/(B1+G1))^B2</f>
        <v>0.85815706239877276</v>
      </c>
      <c r="D6">
        <f>B6 * LN(C6)</f>
        <v>-252.39743073291231</v>
      </c>
      <c r="E6" s="2">
        <f>C6*SUM($B$6:$B$21)</f>
        <v>1650.2360309928399</v>
      </c>
      <c r="F6" s="4"/>
      <c r="H6">
        <v>0</v>
      </c>
      <c r="I6">
        <v>1650</v>
      </c>
      <c r="J6">
        <f>(B1/(G1+B1))^B2</f>
        <v>0.85815706239877276</v>
      </c>
      <c r="K6">
        <f>I6*LN(J6)</f>
        <v>-252.39743073291231</v>
      </c>
      <c r="L6" s="2">
        <f>J6*SUM($I$6:$I$16)</f>
        <v>1650.2360309928399</v>
      </c>
      <c r="M6" s="8">
        <f>(L6-I6)^2/I6</f>
        <v>3.3764017927876276E-5</v>
      </c>
    </row>
    <row r="7" spans="1:13" x14ac:dyDescent="0.15">
      <c r="A7">
        <v>1</v>
      </c>
      <c r="B7">
        <v>138</v>
      </c>
      <c r="C7">
        <f>C6 * $G$1/A7 * ($B$2 + A7 - 1)/($B$1+$G$1)</f>
        <v>7.015743195387969E-2</v>
      </c>
      <c r="D7">
        <f t="shared" ref="D7:D21" si="0">B7 * LN(C7)</f>
        <v>-366.66786773311236</v>
      </c>
      <c r="E7" s="2">
        <f t="shared" ref="E7:E21" si="1">C7*SUM($B$6:$B$21)</f>
        <v>134.91274164731064</v>
      </c>
      <c r="F7" s="4"/>
      <c r="H7">
        <v>1</v>
      </c>
      <c r="I7">
        <v>138</v>
      </c>
      <c r="J7">
        <f xml:space="preserve"> J6 * $G$1/H7 * ($B$2 + H7 - 1)/($B$1+$G$1)</f>
        <v>7.015743195387969E-2</v>
      </c>
      <c r="K7">
        <f t="shared" ref="K7:K11" si="2">I7*LN(J7)</f>
        <v>-366.66786773311236</v>
      </c>
      <c r="L7" s="2">
        <f t="shared" ref="L7:L11" si="3">J7*SUM($I$6:$I$16)</f>
        <v>134.91274164731064</v>
      </c>
      <c r="M7" s="8">
        <f t="shared" ref="M7:M11" si="4">(L7-I7)^2/I7</f>
        <v>6.9066406784421913E-2</v>
      </c>
    </row>
    <row r="8" spans="1:13" x14ac:dyDescent="0.15">
      <c r="A8">
        <v>2</v>
      </c>
      <c r="B8">
        <v>55</v>
      </c>
      <c r="C8">
        <f t="shared" ref="C8:C21" si="5">C7 * $G$1/A8 * ($B$2 + A8 - 1)/($B$1+$G$1)</f>
        <v>2.9449197679560456E-2</v>
      </c>
      <c r="D8">
        <f t="shared" si="0"/>
        <v>-193.87987370037408</v>
      </c>
      <c r="E8" s="2">
        <f t="shared" si="1"/>
        <v>56.630807137794754</v>
      </c>
      <c r="F8" s="4"/>
      <c r="H8">
        <v>2</v>
      </c>
      <c r="I8">
        <v>55</v>
      </c>
      <c r="J8">
        <f t="shared" ref="J8:J10" si="6" xml:space="preserve"> J7 * $G$1/H8 * ($B$2 + H8 - 1)/($B$1+$G$1)</f>
        <v>2.9449197679560456E-2</v>
      </c>
      <c r="K8">
        <f t="shared" si="2"/>
        <v>-193.87987370037408</v>
      </c>
      <c r="L8" s="2">
        <f t="shared" si="3"/>
        <v>56.630807137794754</v>
      </c>
      <c r="M8" s="8">
        <f t="shared" si="4"/>
        <v>4.8355125830587604E-2</v>
      </c>
    </row>
    <row r="9" spans="1:13" x14ac:dyDescent="0.15">
      <c r="A9">
        <v>3</v>
      </c>
      <c r="B9">
        <v>30</v>
      </c>
      <c r="C9">
        <f t="shared" si="5"/>
        <v>1.5679552841681481E-2</v>
      </c>
      <c r="D9">
        <f t="shared" si="0"/>
        <v>-124.66193346649258</v>
      </c>
      <c r="E9" s="2">
        <f t="shared" si="1"/>
        <v>30.151780114553489</v>
      </c>
      <c r="F9" s="4"/>
      <c r="H9">
        <v>3</v>
      </c>
      <c r="I9">
        <v>30</v>
      </c>
      <c r="J9">
        <f t="shared" si="6"/>
        <v>1.5679552841681481E-2</v>
      </c>
      <c r="K9">
        <f t="shared" si="2"/>
        <v>-124.66193346649258</v>
      </c>
      <c r="L9" s="2">
        <f t="shared" si="3"/>
        <v>30.151780114553489</v>
      </c>
      <c r="M9" s="8">
        <f t="shared" si="4"/>
        <v>7.6790677246234089E-4</v>
      </c>
    </row>
    <row r="10" spans="1:13" x14ac:dyDescent="0.15">
      <c r="A10">
        <v>4</v>
      </c>
      <c r="B10">
        <v>15</v>
      </c>
      <c r="C10">
        <f t="shared" si="5"/>
        <v>9.2315148645754335E-3</v>
      </c>
      <c r="D10">
        <f t="shared" si="0"/>
        <v>-70.276981798923629</v>
      </c>
      <c r="E10" s="2">
        <f t="shared" si="1"/>
        <v>17.752203084578557</v>
      </c>
      <c r="F10" s="4"/>
      <c r="H10">
        <v>4</v>
      </c>
      <c r="I10">
        <v>15</v>
      </c>
      <c r="J10">
        <f t="shared" si="6"/>
        <v>9.2315148645754335E-3</v>
      </c>
      <c r="K10">
        <f t="shared" si="2"/>
        <v>-70.276981798923629</v>
      </c>
      <c r="L10" s="2">
        <f t="shared" si="3"/>
        <v>17.752203084578557</v>
      </c>
      <c r="M10" s="8">
        <f t="shared" si="4"/>
        <v>0.50497478791758166</v>
      </c>
    </row>
    <row r="11" spans="1:13" x14ac:dyDescent="0.15">
      <c r="A11">
        <v>5</v>
      </c>
      <c r="B11">
        <v>10</v>
      </c>
      <c r="C11">
        <f t="shared" si="5"/>
        <v>5.747189228607584E-3</v>
      </c>
      <c r="D11">
        <f t="shared" si="0"/>
        <v>-51.590443734964957</v>
      </c>
      <c r="E11" s="2">
        <f t="shared" si="1"/>
        <v>11.051844886612384</v>
      </c>
      <c r="F11" s="4"/>
      <c r="H11" s="1" t="s">
        <v>25</v>
      </c>
      <c r="I11">
        <f>SUM(B11:B21)</f>
        <v>35</v>
      </c>
      <c r="J11">
        <f xml:space="preserve"> 1 - SUM(J6:J10)</f>
        <v>1.7325240261530261E-2</v>
      </c>
      <c r="K11">
        <f t="shared" si="2"/>
        <v>-141.94568031325269</v>
      </c>
      <c r="L11" s="2">
        <f t="shared" si="3"/>
        <v>33.316437022922692</v>
      </c>
      <c r="M11" s="8">
        <f t="shared" si="4"/>
        <v>8.0982408508154538E-2</v>
      </c>
    </row>
    <row r="12" spans="1:13" x14ac:dyDescent="0.15">
      <c r="A12">
        <v>6</v>
      </c>
      <c r="B12">
        <v>8</v>
      </c>
      <c r="C12">
        <f t="shared" si="5"/>
        <v>3.7074862300683444E-3</v>
      </c>
      <c r="D12">
        <f t="shared" si="0"/>
        <v>-44.779209584269637</v>
      </c>
      <c r="E12" s="2">
        <f t="shared" si="1"/>
        <v>7.1294960204214259</v>
      </c>
      <c r="F12" s="4"/>
      <c r="L12" s="2"/>
      <c r="M12" s="8"/>
    </row>
    <row r="13" spans="1:13" x14ac:dyDescent="0.15">
      <c r="A13">
        <v>7</v>
      </c>
      <c r="B13">
        <v>4</v>
      </c>
      <c r="C13">
        <f t="shared" si="5"/>
        <v>2.4513566770723817E-3</v>
      </c>
      <c r="D13">
        <f t="shared" si="0"/>
        <v>-24.044454647769083</v>
      </c>
      <c r="E13" s="2">
        <f t="shared" si="1"/>
        <v>4.7139588900101899</v>
      </c>
      <c r="F13" s="4"/>
      <c r="K13" s="3" t="s">
        <v>24</v>
      </c>
      <c r="L13" s="8">
        <f xml:space="preserve"> SUM(M6:M11)</f>
        <v>0.70418039983113589</v>
      </c>
    </row>
    <row r="14" spans="1:13" x14ac:dyDescent="0.15">
      <c r="A14">
        <v>8</v>
      </c>
      <c r="B14">
        <v>6</v>
      </c>
      <c r="C14">
        <f t="shared" si="5"/>
        <v>1.6504069010679773E-3</v>
      </c>
      <c r="D14">
        <f t="shared" si="0"/>
        <v>-38.440400488585311</v>
      </c>
      <c r="E14" s="2">
        <f t="shared" si="1"/>
        <v>3.1737324707537202</v>
      </c>
      <c r="F14" s="4"/>
      <c r="K14" s="3" t="s">
        <v>26</v>
      </c>
      <c r="L14" s="8">
        <f xml:space="preserve"> 6 - 1 - 2</f>
        <v>3</v>
      </c>
    </row>
    <row r="15" spans="1:13" x14ac:dyDescent="0.15">
      <c r="A15">
        <v>9</v>
      </c>
      <c r="B15">
        <v>3</v>
      </c>
      <c r="C15">
        <f t="shared" si="5"/>
        <v>1.1266530536650104E-3</v>
      </c>
      <c r="D15">
        <f t="shared" si="0"/>
        <v>-20.365511822322489</v>
      </c>
      <c r="E15" s="2">
        <f t="shared" si="1"/>
        <v>2.1665538221978151</v>
      </c>
      <c r="F15" s="4"/>
      <c r="K15" s="1" t="s">
        <v>27</v>
      </c>
      <c r="L15" s="2">
        <f>_xlfn.CHISQ.DIST.RT(L13,L14)</f>
        <v>0.8722202390634427</v>
      </c>
      <c r="M15" s="8"/>
    </row>
    <row r="16" spans="1:13" x14ac:dyDescent="0.15">
      <c r="A16">
        <v>10</v>
      </c>
      <c r="B16">
        <v>1</v>
      </c>
      <c r="C16">
        <f t="shared" si="5"/>
        <v>7.7757415241558434E-4</v>
      </c>
      <c r="D16">
        <f t="shared" si="0"/>
        <v>-7.1593315455768085</v>
      </c>
      <c r="E16" s="2">
        <f t="shared" si="1"/>
        <v>1.4952750950951688</v>
      </c>
      <c r="F16" s="4"/>
      <c r="H16" s="1"/>
      <c r="L16" s="2"/>
      <c r="M16" s="8"/>
    </row>
    <row r="17" spans="1:6" x14ac:dyDescent="0.15">
      <c r="A17">
        <v>11</v>
      </c>
      <c r="B17">
        <v>0</v>
      </c>
      <c r="C17">
        <f t="shared" si="5"/>
        <v>5.4143146110937625E-4</v>
      </c>
      <c r="D17">
        <f t="shared" si="0"/>
        <v>0</v>
      </c>
      <c r="E17" s="2">
        <f t="shared" si="1"/>
        <v>1.0411726997133306</v>
      </c>
      <c r="F17" s="4"/>
    </row>
    <row r="18" spans="1:6" x14ac:dyDescent="0.15">
      <c r="A18">
        <v>12</v>
      </c>
      <c r="B18">
        <v>1</v>
      </c>
      <c r="C18">
        <f t="shared" si="5"/>
        <v>3.7977613501902706E-4</v>
      </c>
      <c r="D18">
        <f t="shared" si="0"/>
        <v>-7.8759285972132353</v>
      </c>
      <c r="E18" s="2">
        <f t="shared" si="1"/>
        <v>0.73030950764158908</v>
      </c>
      <c r="F18" s="4"/>
    </row>
    <row r="19" spans="1:6" x14ac:dyDescent="0.15">
      <c r="A19">
        <v>13</v>
      </c>
      <c r="B19">
        <v>1</v>
      </c>
      <c r="C19">
        <f t="shared" si="5"/>
        <v>2.6803200163612361E-4</v>
      </c>
      <c r="D19">
        <f t="shared" si="0"/>
        <v>-8.2244041754921025</v>
      </c>
      <c r="E19" s="2">
        <f t="shared" si="1"/>
        <v>0.51542553914626565</v>
      </c>
      <c r="F19" s="4"/>
    </row>
    <row r="20" spans="1:6" x14ac:dyDescent="0.15">
      <c r="A20">
        <v>14</v>
      </c>
      <c r="B20">
        <v>0</v>
      </c>
      <c r="C20">
        <f t="shared" si="5"/>
        <v>1.9016267264749916E-4</v>
      </c>
      <c r="D20">
        <f t="shared" si="0"/>
        <v>0</v>
      </c>
      <c r="E20" s="2">
        <f t="shared" si="1"/>
        <v>0.3656828195011409</v>
      </c>
      <c r="F20" s="4"/>
    </row>
    <row r="21" spans="1:6" x14ac:dyDescent="0.15">
      <c r="A21">
        <v>15</v>
      </c>
      <c r="B21">
        <v>1</v>
      </c>
      <c r="C21">
        <f t="shared" si="5"/>
        <v>1.355282883757329E-4</v>
      </c>
      <c r="D21">
        <f t="shared" si="0"/>
        <v>-8.906330169133394</v>
      </c>
      <c r="E21" s="2">
        <f t="shared" si="1"/>
        <v>0.26062089854653436</v>
      </c>
      <c r="F21" s="4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C890-35CD-C04E-AB25-6A6CD17F6C12}">
  <dimension ref="A1:F21"/>
  <sheetViews>
    <sheetView zoomScale="96" workbookViewId="0">
      <selection activeCell="I42" sqref="I42"/>
    </sheetView>
  </sheetViews>
  <sheetFormatPr baseColWidth="10" defaultRowHeight="13" x14ac:dyDescent="0.15"/>
  <cols>
    <col min="3" max="3" width="12.6640625" bestFit="1" customWidth="1"/>
    <col min="4" max="4" width="12.1640625" bestFit="1" customWidth="1"/>
  </cols>
  <sheetData>
    <row r="1" spans="1:6" x14ac:dyDescent="0.15">
      <c r="A1" s="1" t="s">
        <v>2</v>
      </c>
      <c r="B1">
        <v>0.31965712896606163</v>
      </c>
      <c r="E1" s="1" t="s">
        <v>18</v>
      </c>
      <c r="F1">
        <f xml:space="preserve"> 1 -C6</f>
        <v>0.32561613311138304</v>
      </c>
    </row>
    <row r="2" spans="1:6" x14ac:dyDescent="0.15">
      <c r="A2" s="1" t="s">
        <v>4</v>
      </c>
      <c r="B2">
        <v>0.10788277506235092</v>
      </c>
      <c r="E2" s="1" t="s">
        <v>19</v>
      </c>
      <c r="F2">
        <f xml:space="preserve"> ((B2 * B3) / B1) /F1</f>
        <v>12.437785029531254</v>
      </c>
    </row>
    <row r="3" spans="1:6" x14ac:dyDescent="0.15">
      <c r="A3" s="1" t="s">
        <v>9</v>
      </c>
      <c r="B3">
        <v>12</v>
      </c>
      <c r="E3" s="1" t="s">
        <v>20</v>
      </c>
      <c r="F3">
        <f xml:space="preserve"> 100 * (B2*B3) / B1</f>
        <v>404.99434657866163</v>
      </c>
    </row>
    <row r="5" spans="1:6" x14ac:dyDescent="0.15">
      <c r="A5" t="s">
        <v>0</v>
      </c>
      <c r="B5" t="s">
        <v>1</v>
      </c>
      <c r="C5" s="1" t="s">
        <v>5</v>
      </c>
      <c r="D5" s="1" t="s">
        <v>10</v>
      </c>
    </row>
    <row r="6" spans="1:6" x14ac:dyDescent="0.15">
      <c r="A6">
        <v>0</v>
      </c>
      <c r="B6">
        <v>1650</v>
      </c>
      <c r="C6">
        <f>(B1/(B1+B3))^B2</f>
        <v>0.67438386688861696</v>
      </c>
      <c r="D6" s="2">
        <f>C6* SUM($B6:$B$21)</f>
        <v>1296.8401760268105</v>
      </c>
    </row>
    <row r="7" spans="1:6" x14ac:dyDescent="0.15">
      <c r="A7">
        <v>1</v>
      </c>
      <c r="B7">
        <v>138</v>
      </c>
      <c r="C7">
        <f>C6 * $B$3/A7 * ($B$2 + A7 - 1)/($B$1+$B$3)</f>
        <v>7.0866650513669707E-2</v>
      </c>
      <c r="D7" s="2">
        <f>C7* SUM($B$6:$B$21)</f>
        <v>136.27656893778683</v>
      </c>
    </row>
    <row r="8" spans="1:6" x14ac:dyDescent="0.15">
      <c r="A8">
        <v>2</v>
      </c>
      <c r="B8">
        <v>55</v>
      </c>
      <c r="C8">
        <f t="shared" ref="C8:C21" si="0">C7 * $B$3/A8 * ($B$2 + A8 - 1)/($B$1+$B$3)</f>
        <v>3.8237399275923199E-2</v>
      </c>
      <c r="D8" s="2">
        <f t="shared" ref="D8:D21" si="1">C8* SUM($B$6:$B$21)</f>
        <v>73.530518807600316</v>
      </c>
    </row>
    <row r="9" spans="1:6" x14ac:dyDescent="0.15">
      <c r="A9">
        <v>3</v>
      </c>
      <c r="B9">
        <v>30</v>
      </c>
      <c r="C9">
        <f t="shared" si="0"/>
        <v>2.6169544964816577E-2</v>
      </c>
      <c r="D9" s="2">
        <f t="shared" si="1"/>
        <v>50.324034967342278</v>
      </c>
    </row>
    <row r="10" spans="1:6" x14ac:dyDescent="0.15">
      <c r="A10">
        <v>4</v>
      </c>
      <c r="B10">
        <v>15</v>
      </c>
      <c r="C10">
        <f t="shared" si="0"/>
        <v>1.9805391621527772E-2</v>
      </c>
      <c r="D10" s="2">
        <f t="shared" si="1"/>
        <v>38.085768088197909</v>
      </c>
    </row>
    <row r="11" spans="1:6" x14ac:dyDescent="0.15">
      <c r="A11">
        <v>5</v>
      </c>
      <c r="B11">
        <v>10</v>
      </c>
      <c r="C11">
        <f t="shared" si="0"/>
        <v>1.5849446375415393E-2</v>
      </c>
      <c r="D11" s="2">
        <f t="shared" si="1"/>
        <v>30.4784853799238</v>
      </c>
    </row>
    <row r="12" spans="1:6" x14ac:dyDescent="0.15">
      <c r="A12">
        <v>6</v>
      </c>
      <c r="B12">
        <v>8</v>
      </c>
      <c r="C12">
        <f t="shared" si="0"/>
        <v>1.3142754426973748E-2</v>
      </c>
      <c r="D12" s="2">
        <f t="shared" si="1"/>
        <v>25.273516763070518</v>
      </c>
    </row>
    <row r="13" spans="1:6" x14ac:dyDescent="0.15">
      <c r="A13">
        <v>7</v>
      </c>
      <c r="B13">
        <v>4</v>
      </c>
      <c r="C13">
        <f t="shared" si="0"/>
        <v>1.1170218578239815E-2</v>
      </c>
      <c r="D13" s="2">
        <f t="shared" si="1"/>
        <v>21.480330325955162</v>
      </c>
    </row>
    <row r="14" spans="1:6" x14ac:dyDescent="0.15">
      <c r="A14">
        <v>8</v>
      </c>
      <c r="B14">
        <v>6</v>
      </c>
      <c r="C14">
        <f t="shared" si="0"/>
        <v>9.6670633843300401E-3</v>
      </c>
      <c r="D14" s="2">
        <f t="shared" si="1"/>
        <v>18.589762888066666</v>
      </c>
    </row>
    <row r="15" spans="1:6" x14ac:dyDescent="0.15">
      <c r="A15">
        <v>9</v>
      </c>
      <c r="B15">
        <v>3</v>
      </c>
      <c r="C15">
        <f t="shared" si="0"/>
        <v>8.4828569365467451E-3</v>
      </c>
      <c r="D15" s="2">
        <f t="shared" si="1"/>
        <v>16.312533888979392</v>
      </c>
    </row>
    <row r="16" spans="1:6" x14ac:dyDescent="0.15">
      <c r="A16">
        <v>10</v>
      </c>
      <c r="B16">
        <v>1</v>
      </c>
      <c r="C16">
        <f t="shared" si="0"/>
        <v>7.5256185233307498E-3</v>
      </c>
      <c r="D16" s="2">
        <f t="shared" si="1"/>
        <v>14.471764420365032</v>
      </c>
    </row>
    <row r="17" spans="1:4" x14ac:dyDescent="0.15">
      <c r="A17">
        <v>11</v>
      </c>
      <c r="B17">
        <v>0</v>
      </c>
      <c r="C17">
        <f t="shared" si="0"/>
        <v>6.7358488999869027E-3</v>
      </c>
      <c r="D17" s="2">
        <f t="shared" si="1"/>
        <v>12.953037434674814</v>
      </c>
    </row>
    <row r="18" spans="1:4" x14ac:dyDescent="0.15">
      <c r="A18">
        <v>12</v>
      </c>
      <c r="B18">
        <v>1</v>
      </c>
      <c r="C18">
        <f t="shared" si="0"/>
        <v>6.0733037606758968E-3</v>
      </c>
      <c r="D18" s="2">
        <f t="shared" si="1"/>
        <v>11.678963131779749</v>
      </c>
    </row>
    <row r="19" spans="1:4" x14ac:dyDescent="0.15">
      <c r="A19">
        <v>13</v>
      </c>
      <c r="B19">
        <v>1</v>
      </c>
      <c r="C19">
        <f t="shared" si="0"/>
        <v>5.5097574842064108E-3</v>
      </c>
      <c r="D19" s="2">
        <f t="shared" si="1"/>
        <v>10.595263642128927</v>
      </c>
    </row>
    <row r="20" spans="1:4" x14ac:dyDescent="0.15">
      <c r="A20">
        <v>14</v>
      </c>
      <c r="B20">
        <v>0</v>
      </c>
      <c r="C20">
        <f t="shared" si="0"/>
        <v>5.0248097328845047E-3</v>
      </c>
      <c r="D20" s="2">
        <f t="shared" si="1"/>
        <v>9.6627091163369023</v>
      </c>
    </row>
    <row r="21" spans="1:4" x14ac:dyDescent="0.15">
      <c r="A21">
        <v>15</v>
      </c>
      <c r="B21">
        <v>1</v>
      </c>
      <c r="C21">
        <f t="shared" si="0"/>
        <v>4.6033376374965016E-3</v>
      </c>
      <c r="D21" s="2">
        <f t="shared" si="1"/>
        <v>8.8522182769057718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5084-29AD-5A46-85C7-F7B9E459A9EC}">
  <dimension ref="A1:C6"/>
  <sheetViews>
    <sheetView workbookViewId="0">
      <selection activeCell="G42" sqref="G42"/>
    </sheetView>
  </sheetViews>
  <sheetFormatPr baseColWidth="10" defaultRowHeight="13" x14ac:dyDescent="0.15"/>
  <cols>
    <col min="3" max="3" width="14" bestFit="1" customWidth="1"/>
  </cols>
  <sheetData>
    <row r="1" spans="1:3" x14ac:dyDescent="0.15">
      <c r="A1" s="1" t="s">
        <v>0</v>
      </c>
      <c r="B1" s="1" t="s">
        <v>1</v>
      </c>
      <c r="C1" s="1" t="s">
        <v>12</v>
      </c>
    </row>
    <row r="2" spans="1:3" x14ac:dyDescent="0.15">
      <c r="A2">
        <v>0</v>
      </c>
      <c r="B2">
        <v>1020</v>
      </c>
      <c r="C2" s="5">
        <f>B2/SUM($B$2:$B$6)</f>
        <v>0.54691689008042899</v>
      </c>
    </row>
    <row r="3" spans="1:3" x14ac:dyDescent="0.15">
      <c r="A3">
        <v>1</v>
      </c>
      <c r="B3">
        <v>166</v>
      </c>
      <c r="C3" s="5">
        <f t="shared" ref="C3:C6" si="0">B3/SUM($B$2:$B$6)</f>
        <v>8.9008042895442355E-2</v>
      </c>
    </row>
    <row r="4" spans="1:3" x14ac:dyDescent="0.15">
      <c r="A4">
        <v>2</v>
      </c>
      <c r="B4">
        <v>270</v>
      </c>
      <c r="C4" s="5">
        <f t="shared" si="0"/>
        <v>0.1447721179624665</v>
      </c>
    </row>
    <row r="5" spans="1:3" x14ac:dyDescent="0.15">
      <c r="A5" s="7" t="s">
        <v>17</v>
      </c>
      <c r="B5">
        <v>279</v>
      </c>
      <c r="C5" s="5">
        <f t="shared" si="0"/>
        <v>0.14959785522788205</v>
      </c>
    </row>
    <row r="6" spans="1:3" x14ac:dyDescent="0.15">
      <c r="A6" s="1" t="s">
        <v>11</v>
      </c>
      <c r="B6">
        <v>130</v>
      </c>
      <c r="C6" s="5">
        <f t="shared" si="0"/>
        <v>6.9705093833780166E-2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A68A-E2C9-3945-AC55-3A4294815F04}">
  <dimension ref="A1:M15"/>
  <sheetViews>
    <sheetView tabSelected="1" workbookViewId="0">
      <selection activeCell="I25" sqref="I25"/>
    </sheetView>
  </sheetViews>
  <sheetFormatPr baseColWidth="10" defaultRowHeight="13" x14ac:dyDescent="0.15"/>
  <cols>
    <col min="3" max="3" width="14" bestFit="1" customWidth="1"/>
    <col min="5" max="5" width="13" bestFit="1" customWidth="1"/>
    <col min="6" max="6" width="14.83203125" bestFit="1" customWidth="1"/>
    <col min="9" max="10" width="12.1640625" bestFit="1" customWidth="1"/>
    <col min="12" max="12" width="12.1640625" bestFit="1" customWidth="1"/>
  </cols>
  <sheetData>
    <row r="1" spans="1:13" x14ac:dyDescent="0.15">
      <c r="A1" s="1" t="s">
        <v>13</v>
      </c>
      <c r="B1">
        <v>0.24763044054691605</v>
      </c>
    </row>
    <row r="2" spans="1:13" x14ac:dyDescent="0.15">
      <c r="A2" s="1" t="s">
        <v>4</v>
      </c>
      <c r="B2">
        <v>0.39135629763138602</v>
      </c>
    </row>
    <row r="3" spans="1:13" x14ac:dyDescent="0.15">
      <c r="A3" s="1" t="s">
        <v>3</v>
      </c>
      <c r="B3">
        <f>SUM(K7:K11)</f>
        <v>-2484.1530425020937</v>
      </c>
    </row>
    <row r="4" spans="1:13" x14ac:dyDescent="0.15">
      <c r="A4" s="1" t="s">
        <v>9</v>
      </c>
      <c r="B4">
        <v>1</v>
      </c>
    </row>
    <row r="6" spans="1:13" x14ac:dyDescent="0.15">
      <c r="A6" s="1" t="s">
        <v>0</v>
      </c>
      <c r="B6" s="1" t="s">
        <v>1</v>
      </c>
      <c r="C6" s="1" t="s">
        <v>12</v>
      </c>
      <c r="D6" s="1" t="s">
        <v>14</v>
      </c>
      <c r="E6" s="1" t="s">
        <v>15</v>
      </c>
      <c r="F6" s="1" t="s">
        <v>16</v>
      </c>
      <c r="H6" s="1" t="s">
        <v>28</v>
      </c>
      <c r="I6" s="1" t="s">
        <v>1</v>
      </c>
      <c r="J6" s="1" t="s">
        <v>14</v>
      </c>
      <c r="K6" s="1" t="s">
        <v>30</v>
      </c>
      <c r="L6" s="1" t="s">
        <v>10</v>
      </c>
      <c r="M6" s="1" t="s">
        <v>24</v>
      </c>
    </row>
    <row r="7" spans="1:13" x14ac:dyDescent="0.15">
      <c r="A7" s="1">
        <v>0</v>
      </c>
      <c r="B7" s="1">
        <v>1020</v>
      </c>
      <c r="C7" s="6">
        <v>0.54700000000000004</v>
      </c>
      <c r="D7">
        <f>(B1/(B1+B4))^B2</f>
        <v>0.5310770609444434</v>
      </c>
      <c r="E7">
        <f>B7*LN(D7)</f>
        <v>-645.50510696214644</v>
      </c>
      <c r="F7" s="2">
        <f>D7*SUM($B$7:$B$14)</f>
        <v>990.45871866138691</v>
      </c>
      <c r="H7">
        <v>0</v>
      </c>
      <c r="I7" s="1">
        <v>1020</v>
      </c>
      <c r="J7">
        <f>(B1/(B1+B4))^B2</f>
        <v>0.5310770609444434</v>
      </c>
      <c r="K7">
        <f>I7*LN(J7)</f>
        <v>-645.50510696214644</v>
      </c>
      <c r="L7" s="2">
        <f>D7*SUM($B$7:$B$14)</f>
        <v>990.45871866138691</v>
      </c>
      <c r="M7">
        <f>(L7-I7)^2 / I7</f>
        <v>0.85557578737950002</v>
      </c>
    </row>
    <row r="8" spans="1:13" x14ac:dyDescent="0.15">
      <c r="A8" s="1">
        <v>1</v>
      </c>
      <c r="B8" s="1">
        <v>166</v>
      </c>
      <c r="C8" s="6">
        <v>8.8999999999999996E-2</v>
      </c>
      <c r="D8">
        <f>D7 * $B$4/A8 * ($B$2 + A8 - 1)/($B$1+$B$4)</f>
        <v>0.16658807413921836</v>
      </c>
      <c r="E8">
        <f>B8*LN(D8)</f>
        <v>-297.51036851123445</v>
      </c>
      <c r="F8" s="2">
        <f t="shared" ref="F8" si="0">D8*SUM($B$7:$B$14)</f>
        <v>310.68675826964227</v>
      </c>
      <c r="H8">
        <v>1</v>
      </c>
      <c r="I8" s="1">
        <v>166</v>
      </c>
      <c r="J8">
        <f>J7 * $B$4/H8 * ($B$2 + H8 - 1)/($B$1+$B$4)</f>
        <v>0.16658807413921836</v>
      </c>
      <c r="K8">
        <f t="shared" ref="K8:K11" si="1">I8*LN(J8)</f>
        <v>-297.51036851123445</v>
      </c>
      <c r="L8" s="2">
        <f>D8*SUM($B$7:$B$14)</f>
        <v>310.68675826964227</v>
      </c>
      <c r="M8">
        <f>(L8-I8)^2 / I8</f>
        <v>126.10998806372227</v>
      </c>
    </row>
    <row r="9" spans="1:13" x14ac:dyDescent="0.15">
      <c r="A9" s="1">
        <v>2</v>
      </c>
      <c r="B9" s="1">
        <v>270</v>
      </c>
      <c r="C9" s="6">
        <v>0.14499999999999999</v>
      </c>
      <c r="D9">
        <f t="shared" ref="D9:D12" si="2">D8 * $B$4/A9 * ($B$2 + A9 - 1)/($B$1+$B$4)</f>
        <v>9.2889432051000739E-2</v>
      </c>
      <c r="E9">
        <f>B9*LN(D9)</f>
        <v>-641.61325686917201</v>
      </c>
      <c r="F9" s="2">
        <f>D9*SUM($B$7:$B$14)</f>
        <v>173.23879077511637</v>
      </c>
      <c r="H9">
        <v>2</v>
      </c>
      <c r="I9" s="1">
        <v>270</v>
      </c>
      <c r="J9">
        <f>J8 * $B$4/H9 * ($B$2 + H9 - 1)/($B$1+$B$4)</f>
        <v>9.2889432051000739E-2</v>
      </c>
      <c r="K9">
        <f t="shared" si="1"/>
        <v>-641.61325686917201</v>
      </c>
      <c r="L9" s="2">
        <f>D9*SUM($B$7:$B$14)</f>
        <v>173.23879077511637</v>
      </c>
      <c r="M9">
        <f>(L9-I9)^2 / I9</f>
        <v>34.6767837431915</v>
      </c>
    </row>
    <row r="10" spans="1:13" x14ac:dyDescent="0.15">
      <c r="A10" s="1">
        <v>3</v>
      </c>
      <c r="D10">
        <f t="shared" si="2"/>
        <v>5.9347629741274145E-2</v>
      </c>
      <c r="F10" s="2"/>
      <c r="H10" s="7" t="s">
        <v>17</v>
      </c>
      <c r="I10" s="1">
        <v>279</v>
      </c>
      <c r="J10">
        <f>SUM(D10:D12)</f>
        <v>0.12806840669532571</v>
      </c>
      <c r="K10">
        <f t="shared" si="1"/>
        <v>-573.39821381248578</v>
      </c>
      <c r="L10" s="2">
        <f>D13*SUM($B$7:$B$14)</f>
        <v>238.84757848678245</v>
      </c>
      <c r="M10">
        <f>(L10-I10)^2 / I10</f>
        <v>5.7785553884412018</v>
      </c>
    </row>
    <row r="11" spans="1:13" x14ac:dyDescent="0.15">
      <c r="A11" s="1">
        <v>4</v>
      </c>
      <c r="D11">
        <f t="shared" si="2"/>
        <v>4.0330243502302007E-2</v>
      </c>
      <c r="F11" s="2"/>
      <c r="H11" s="1" t="s">
        <v>11</v>
      </c>
      <c r="I11" s="1">
        <v>130</v>
      </c>
      <c r="J11">
        <f>1-SUM(J7:J10)</f>
        <v>8.1377026170011746E-2</v>
      </c>
      <c r="K11">
        <f t="shared" si="1"/>
        <v>-326.12609634705512</v>
      </c>
      <c r="L11" s="2">
        <f>D14*SUM($B$7:$B$14)</f>
        <v>151.76815380707191</v>
      </c>
      <c r="M11">
        <f>(L11-I11)^2 / I11</f>
        <v>3.6450193859103028</v>
      </c>
    </row>
    <row r="12" spans="1:13" x14ac:dyDescent="0.15">
      <c r="A12" s="1">
        <v>5</v>
      </c>
      <c r="D12">
        <f t="shared" si="2"/>
        <v>2.8390533451749543E-2</v>
      </c>
      <c r="F12" s="2"/>
    </row>
    <row r="13" spans="1:13" x14ac:dyDescent="0.15">
      <c r="A13" s="7" t="s">
        <v>17</v>
      </c>
      <c r="B13" s="1">
        <v>279</v>
      </c>
      <c r="C13" s="6">
        <v>0.15</v>
      </c>
      <c r="D13">
        <f>SUM(D10:D12)</f>
        <v>0.12806840669532571</v>
      </c>
      <c r="E13">
        <f>B13*LN(D13)</f>
        <v>-573.39821381248578</v>
      </c>
      <c r="F13" s="2">
        <f>D13*SUM($B$7:$B$14)</f>
        <v>238.84757848678245</v>
      </c>
      <c r="I13" s="1" t="s">
        <v>24</v>
      </c>
      <c r="J13">
        <f>SUM(M7:M11)</f>
        <v>171.06592236864475</v>
      </c>
    </row>
    <row r="14" spans="1:13" x14ac:dyDescent="0.15">
      <c r="A14" s="1" t="s">
        <v>11</v>
      </c>
      <c r="B14" s="1">
        <v>130</v>
      </c>
      <c r="C14" s="6">
        <v>7.0000000000000007E-2</v>
      </c>
      <c r="D14">
        <f>1-SUM(D7:D12)</f>
        <v>8.1377026170011746E-2</v>
      </c>
      <c r="E14">
        <f>B14*LN(D14)</f>
        <v>-326.12609634705512</v>
      </c>
      <c r="F14" s="2">
        <f>D14*SUM($B$7:$B$14)</f>
        <v>151.76815380707191</v>
      </c>
      <c r="I14" s="1" t="s">
        <v>26</v>
      </c>
      <c r="J14">
        <f>5 - 2 - 1</f>
        <v>2</v>
      </c>
    </row>
    <row r="15" spans="1:13" x14ac:dyDescent="0.15">
      <c r="I15" s="1" t="s">
        <v>29</v>
      </c>
      <c r="J15">
        <f>_xlfn.CHISQ.DIST.RT(J13,J14)</f>
        <v>7.1368560443252077E-38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prescription data</vt:lpstr>
      <vt:lpstr>nbd prescription</vt:lpstr>
      <vt:lpstr>prescription final</vt:lpstr>
      <vt:lpstr>survey data</vt:lpstr>
      <vt:lpstr>nbd survey</vt:lpstr>
    </vt:vector>
  </TitlesOfParts>
  <Company>wharton.upenn.edu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Alan Wu</cp:lastModifiedBy>
  <dcterms:created xsi:type="dcterms:W3CDTF">2003-09-08T21:47:48Z</dcterms:created>
  <dcterms:modified xsi:type="dcterms:W3CDTF">2026-02-07T20:57:38Z</dcterms:modified>
</cp:coreProperties>
</file>