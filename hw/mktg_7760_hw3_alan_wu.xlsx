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lanwu/Documents/GitHub/mktg-7760/hw/"/>
    </mc:Choice>
  </mc:AlternateContent>
  <xr:revisionPtr revIDLastSave="0" documentId="13_ncr:9_{84DE5B4E-2273-5843-949A-D9ABD1B22EF3}" xr6:coauthVersionLast="47" xr6:coauthVersionMax="47" xr10:uidLastSave="{00000000-0000-0000-0000-000000000000}"/>
  <bookViews>
    <workbookView xWindow="33720" yWindow="1500" windowWidth="22980" windowHeight="17520" activeTab="6" xr2:uid="{99759C26-3D9D-5B43-B8C9-E3741E576396}"/>
  </bookViews>
  <sheets>
    <sheet name="prescription" sheetId="1" r:id="rId1"/>
    <sheet name="1a" sheetId="2" r:id="rId2"/>
    <sheet name="1b" sheetId="3" r:id="rId3"/>
    <sheet name="1d" sheetId="5" r:id="rId4"/>
    <sheet name="2" sheetId="6" r:id="rId5"/>
    <sheet name="3a" sheetId="7" r:id="rId6"/>
    <sheet name="3b" sheetId="8" r:id="rId7"/>
  </sheets>
  <definedNames>
    <definedName name="solver_adj" localSheetId="1" hidden="1">'1a'!$H$1:$H$2</definedName>
    <definedName name="solver_adj" localSheetId="2" hidden="1">'1b'!$B$1:$B$3</definedName>
    <definedName name="solver_adj" localSheetId="4" hidden="1">'2'!$H$21</definedName>
    <definedName name="solver_adj" localSheetId="5" hidden="1">'3a'!$D$6</definedName>
    <definedName name="solver_adj" localSheetId="6" hidden="1">'3b'!$H$6</definedName>
    <definedName name="solver_cvg" localSheetId="1" hidden="1">0.0001</definedName>
    <definedName name="solver_cvg" localSheetId="2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drv" localSheetId="1" hidden="1">1</definedName>
    <definedName name="solver_drv" localSheetId="2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eng" localSheetId="1" hidden="1">1</definedName>
    <definedName name="solver_eng" localSheetId="2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itr" localSheetId="1" hidden="1">2147483647</definedName>
    <definedName name="solver_itr" localSheetId="2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lhs1" localSheetId="1" hidden="1">'1a'!$H$1:$H$2</definedName>
    <definedName name="solver_lhs1" localSheetId="2" hidden="1">'1b'!$B$1:$B$3</definedName>
    <definedName name="solver_lhs1" localSheetId="4" hidden="1">'2'!$E$2</definedName>
    <definedName name="solver_lhs1" localSheetId="5" hidden="1">'3a'!$D$6</definedName>
    <definedName name="solver_lhs1" localSheetId="6" hidden="1">'3b'!$H$6</definedName>
    <definedName name="solver_lhs2" localSheetId="2" hidden="1">'1b'!$B$3</definedName>
    <definedName name="solver_lin" localSheetId="1" hidden="1">2</definedName>
    <definedName name="solver_lin" localSheetId="2" hidden="1">2</definedName>
    <definedName name="solver_lin" localSheetId="4" hidden="1">2</definedName>
    <definedName name="solver_lin" localSheetId="5" hidden="1">2</definedName>
    <definedName name="solver_lin" localSheetId="6" hidden="1">2</definedName>
    <definedName name="solver_mip" localSheetId="1" hidden="1">2147483647</definedName>
    <definedName name="solver_mip" localSheetId="2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ni" localSheetId="1" hidden="1">30</definedName>
    <definedName name="solver_mni" localSheetId="2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rt" localSheetId="1" hidden="1">0.075</definedName>
    <definedName name="solver_mrt" localSheetId="2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sl" localSheetId="1" hidden="1">2</definedName>
    <definedName name="solver_msl" localSheetId="2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neg" localSheetId="1" hidden="1">1</definedName>
    <definedName name="solver_neg" localSheetId="2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od" localSheetId="1" hidden="1">2147483647</definedName>
    <definedName name="solver_nod" localSheetId="2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um" localSheetId="1" hidden="1">1</definedName>
    <definedName name="solver_num" localSheetId="2" hidden="1">2</definedName>
    <definedName name="solver_num" localSheetId="4" hidden="1">0</definedName>
    <definedName name="solver_num" localSheetId="5" hidden="1">1</definedName>
    <definedName name="solver_num" localSheetId="6" hidden="1">1</definedName>
    <definedName name="solver_opt" localSheetId="1" hidden="1">'1a'!$K$2</definedName>
    <definedName name="solver_opt" localSheetId="2" hidden="1">'1b'!$B$4</definedName>
    <definedName name="solver_opt" localSheetId="4" hidden="1">'2'!$I$21</definedName>
    <definedName name="solver_opt" localSheetId="5" hidden="1">'3a'!$D$10</definedName>
    <definedName name="solver_opt" localSheetId="6" hidden="1">'3b'!$K$6</definedName>
    <definedName name="solver_pre" localSheetId="1" hidden="1">0.000001</definedName>
    <definedName name="solver_pre" localSheetId="2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rbv" localSheetId="1" hidden="1">1</definedName>
    <definedName name="solver_rbv" localSheetId="2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el1" localSheetId="1" hidden="1">3</definedName>
    <definedName name="solver_rel1" localSheetId="2" hidden="1">3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2" localSheetId="2" hidden="1">1</definedName>
    <definedName name="solver_rhs1" localSheetId="1" hidden="1">0.0001</definedName>
    <definedName name="solver_rhs1" localSheetId="2" hidden="1">0.0001</definedName>
    <definedName name="solver_rhs1" localSheetId="4" hidden="1">0.0001</definedName>
    <definedName name="solver_rhs1" localSheetId="5" hidden="1">0.001</definedName>
    <definedName name="solver_rhs1" localSheetId="6" hidden="1">0.0001</definedName>
    <definedName name="solver_rhs2" localSheetId="2" hidden="1">0.9999</definedName>
    <definedName name="solver_rlx" localSheetId="1" hidden="1">2</definedName>
    <definedName name="solver_rlx" localSheetId="2" hidden="1">1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sd" localSheetId="1" hidden="1">0</definedName>
    <definedName name="solver_rsd" localSheetId="2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scl" localSheetId="1" hidden="1">1</definedName>
    <definedName name="solver_scl" localSheetId="2" hidden="1">2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ho" localSheetId="1" hidden="1">2</definedName>
    <definedName name="solver_sho" localSheetId="2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sz" localSheetId="1" hidden="1">100</definedName>
    <definedName name="solver_ssz" localSheetId="2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tim" localSheetId="1" hidden="1">2147483647</definedName>
    <definedName name="solver_tim" localSheetId="2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ol" localSheetId="1" hidden="1">0.01</definedName>
    <definedName name="solver_tol" localSheetId="2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yp" localSheetId="1" hidden="1">2</definedName>
    <definedName name="solver_typ" localSheetId="2" hidden="1">1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val" localSheetId="1" hidden="1">0</definedName>
    <definedName name="solver_val" localSheetId="2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er" localSheetId="1" hidden="1">2</definedName>
    <definedName name="solver_ver" localSheetId="2" hidden="1">2</definedName>
    <definedName name="solver_ver" localSheetId="4" hidden="1">2</definedName>
    <definedName name="solver_ver" localSheetId="5" hidden="1">2</definedName>
    <definedName name="solver_ver" localSheetId="6" hidden="1">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7" i="8" l="1"/>
  <c r="G6" i="8"/>
  <c r="J6" i="8" s="1"/>
  <c r="D6" i="8" l="1"/>
  <c r="A6" i="8"/>
  <c r="B6" i="8"/>
  <c r="E6" i="8" s="1"/>
  <c r="B10" i="7"/>
  <c r="D10" i="7" s="1"/>
  <c r="A6" i="7"/>
  <c r="B6" i="7" s="1"/>
  <c r="E6" i="7" s="1"/>
  <c r="B12" i="7" s="1"/>
  <c r="K6" i="8" l="1"/>
  <c r="B3" i="7"/>
  <c r="E7" i="7"/>
  <c r="D9" i="6" l="1"/>
  <c r="D8" i="6"/>
  <c r="D7" i="6"/>
  <c r="D6" i="6"/>
  <c r="H24" i="6"/>
  <c r="H23" i="6"/>
  <c r="C31" i="6"/>
  <c r="E8" i="6"/>
  <c r="E9" i="6"/>
  <c r="E10" i="6"/>
  <c r="E11" i="6"/>
  <c r="E12" i="6"/>
  <c r="E13" i="6"/>
  <c r="E14" i="6"/>
  <c r="E15" i="6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7" i="6"/>
  <c r="E6" i="6"/>
  <c r="D10" i="6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6" i="6"/>
  <c r="H16" i="6"/>
  <c r="G21" i="6"/>
  <c r="I21" i="6" s="1"/>
  <c r="H11" i="6"/>
  <c r="H7" i="6"/>
  <c r="H8" i="6"/>
  <c r="H9" i="6"/>
  <c r="H10" i="6"/>
  <c r="H12" i="6"/>
  <c r="H13" i="6"/>
  <c r="H14" i="6"/>
  <c r="H15" i="6"/>
  <c r="H6" i="6"/>
  <c r="E1" i="6"/>
  <c r="H1" i="6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B6" i="6" l="1"/>
  <c r="B3" i="6"/>
  <c r="H2" i="6" s="1"/>
  <c r="H13" i="5"/>
  <c r="H8" i="5"/>
  <c r="C8" i="5"/>
  <c r="H9" i="5"/>
  <c r="H10" i="5"/>
  <c r="H11" i="5"/>
  <c r="H12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8" i="5"/>
  <c r="C10" i="5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9" i="5"/>
  <c r="D9" i="5" s="1"/>
  <c r="D8" i="5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10" i="2"/>
  <c r="J18" i="3"/>
  <c r="J20" i="3" s="1"/>
  <c r="J11" i="3"/>
  <c r="J12" i="3"/>
  <c r="I12" i="3"/>
  <c r="I8" i="3"/>
  <c r="I7" i="3"/>
  <c r="E7" i="3"/>
  <c r="L10" i="2"/>
  <c r="A21" i="1"/>
  <c r="K10" i="2"/>
  <c r="L18" i="2"/>
  <c r="K11" i="2"/>
  <c r="L11" i="2" s="1"/>
  <c r="M11" i="2" s="1"/>
  <c r="J15" i="3"/>
  <c r="C7" i="3"/>
  <c r="D7" i="3" s="1"/>
  <c r="K1" i="2"/>
  <c r="B7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10" i="2"/>
  <c r="B6" i="2" s="1"/>
  <c r="E11" i="2"/>
  <c r="B5" i="2" s="1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10" i="2"/>
  <c r="C10" i="2"/>
  <c r="D10" i="2" s="1"/>
  <c r="B7" i="6" l="1"/>
  <c r="D10" i="5"/>
  <c r="E2" i="2"/>
  <c r="E1" i="2" s="1"/>
  <c r="K2" i="2"/>
  <c r="J7" i="3"/>
  <c r="K7" i="3" s="1"/>
  <c r="K12" i="2"/>
  <c r="L12" i="2" s="1"/>
  <c r="M10" i="2"/>
  <c r="C8" i="3"/>
  <c r="D8" i="3" s="1"/>
  <c r="C11" i="2"/>
  <c r="B8" i="6" l="1"/>
  <c r="D11" i="5"/>
  <c r="E8" i="3"/>
  <c r="J8" i="3"/>
  <c r="K8" i="3" s="1"/>
  <c r="C9" i="3"/>
  <c r="D9" i="3" s="1"/>
  <c r="I9" i="3" s="1"/>
  <c r="K13" i="2"/>
  <c r="L13" i="2" s="1"/>
  <c r="M12" i="2"/>
  <c r="C12" i="2"/>
  <c r="D11" i="2"/>
  <c r="B9" i="6" l="1"/>
  <c r="D12" i="5"/>
  <c r="E9" i="3"/>
  <c r="J9" i="3"/>
  <c r="K9" i="3" s="1"/>
  <c r="C10" i="3"/>
  <c r="D10" i="3" s="1"/>
  <c r="K14" i="2"/>
  <c r="M13" i="2"/>
  <c r="C13" i="2"/>
  <c r="D12" i="2"/>
  <c r="B10" i="6" l="1"/>
  <c r="D13" i="5"/>
  <c r="L14" i="2"/>
  <c r="M14" i="2" s="1"/>
  <c r="K15" i="2"/>
  <c r="L15" i="2" s="1"/>
  <c r="M15" i="2" s="1"/>
  <c r="E10" i="3"/>
  <c r="I10" i="3"/>
  <c r="J10" i="3" s="1"/>
  <c r="K10" i="3" s="1"/>
  <c r="C11" i="3"/>
  <c r="D11" i="3" s="1"/>
  <c r="C14" i="2"/>
  <c r="D13" i="2"/>
  <c r="B11" i="6" l="1"/>
  <c r="D14" i="5"/>
  <c r="E11" i="3"/>
  <c r="I11" i="3"/>
  <c r="C12" i="3"/>
  <c r="D12" i="3" s="1"/>
  <c r="L17" i="2"/>
  <c r="L19" i="2" s="1"/>
  <c r="C15" i="2"/>
  <c r="D14" i="2"/>
  <c r="B12" i="6" l="1"/>
  <c r="D15" i="5"/>
  <c r="K11" i="3"/>
  <c r="K12" i="3"/>
  <c r="E12" i="3"/>
  <c r="C13" i="3"/>
  <c r="D13" i="3" s="1"/>
  <c r="E13" i="3" s="1"/>
  <c r="C16" i="2"/>
  <c r="D15" i="2"/>
  <c r="B13" i="6" l="1"/>
  <c r="D16" i="5"/>
  <c r="J14" i="3"/>
  <c r="J16" i="3" s="1"/>
  <c r="C14" i="3"/>
  <c r="D14" i="3" s="1"/>
  <c r="E14" i="3" s="1"/>
  <c r="C17" i="2"/>
  <c r="D16" i="2"/>
  <c r="B14" i="6" l="1"/>
  <c r="D17" i="5"/>
  <c r="C15" i="3"/>
  <c r="D15" i="3" s="1"/>
  <c r="E15" i="3" s="1"/>
  <c r="C18" i="2"/>
  <c r="D17" i="2"/>
  <c r="B15" i="6" l="1"/>
  <c r="D18" i="5"/>
  <c r="C16" i="3"/>
  <c r="D16" i="3" s="1"/>
  <c r="E16" i="3" s="1"/>
  <c r="C19" i="2"/>
  <c r="D18" i="2"/>
  <c r="B16" i="6" l="1"/>
  <c r="D19" i="5"/>
  <c r="C17" i="3"/>
  <c r="D17" i="3" s="1"/>
  <c r="E17" i="3" s="1"/>
  <c r="C20" i="2"/>
  <c r="D19" i="2"/>
  <c r="B17" i="6" l="1"/>
  <c r="D20" i="5"/>
  <c r="C18" i="3"/>
  <c r="D18" i="3" s="1"/>
  <c r="E18" i="3" s="1"/>
  <c r="C21" i="2"/>
  <c r="D20" i="2"/>
  <c r="B18" i="6" l="1"/>
  <c r="D21" i="5"/>
  <c r="C19" i="3"/>
  <c r="D19" i="3" s="1"/>
  <c r="E19" i="3" s="1"/>
  <c r="C22" i="2"/>
  <c r="D21" i="2"/>
  <c r="B19" i="6" l="1"/>
  <c r="D22" i="5"/>
  <c r="C20" i="3"/>
  <c r="D20" i="3" s="1"/>
  <c r="E20" i="3" s="1"/>
  <c r="C23" i="2"/>
  <c r="D22" i="2"/>
  <c r="B20" i="6" l="1"/>
  <c r="D23" i="5"/>
  <c r="C21" i="3"/>
  <c r="D21" i="3" s="1"/>
  <c r="E21" i="3" s="1"/>
  <c r="C24" i="2"/>
  <c r="D23" i="2"/>
  <c r="B21" i="6" l="1"/>
  <c r="B4" i="5"/>
  <c r="C22" i="3"/>
  <c r="D22" i="3" s="1"/>
  <c r="E22" i="3" s="1"/>
  <c r="B4" i="3" s="1"/>
  <c r="C25" i="2"/>
  <c r="D25" i="2" s="1"/>
  <c r="D24" i="2"/>
  <c r="B22" i="6" l="1"/>
  <c r="B3" i="2"/>
  <c r="B23" i="6" l="1"/>
  <c r="B24" i="6" l="1"/>
  <c r="B25" i="6" l="1"/>
  <c r="B26" i="6" l="1"/>
  <c r="B27" i="6" l="1"/>
  <c r="B28" i="6" l="1"/>
  <c r="B29" i="6" l="1"/>
</calcChain>
</file>

<file path=xl/sharedStrings.xml><?xml version="1.0" encoding="utf-8"?>
<sst xmlns="http://purl.oclc.org/ooxml/spreadsheetml/main" count="111" uniqueCount="56">
  <si>
    <t>x</t>
  </si>
  <si>
    <t>n_x</t>
  </si>
  <si>
    <t>r</t>
  </si>
  <si>
    <t>alpha</t>
  </si>
  <si>
    <t xml:space="preserve">LL </t>
  </si>
  <si>
    <t>alpha_mom</t>
  </si>
  <si>
    <t>r_mom</t>
  </si>
  <si>
    <t>r_m0</t>
  </si>
  <si>
    <t>alpha_m0</t>
  </si>
  <si>
    <t>P(0)</t>
  </si>
  <si>
    <t xml:space="preserve">P(X = x) </t>
  </si>
  <si>
    <t>5+</t>
  </si>
  <si>
    <t>xbar</t>
  </si>
  <si>
    <t>s2</t>
  </si>
  <si>
    <t>x*nx</t>
  </si>
  <si>
    <t>x2*nx</t>
  </si>
  <si>
    <t xml:space="preserve">model_p0 </t>
  </si>
  <si>
    <t>diff2</t>
  </si>
  <si>
    <t>pi</t>
  </si>
  <si>
    <t xml:space="preserve">spike </t>
  </si>
  <si>
    <t>P(X=x)</t>
  </si>
  <si>
    <t>chisq</t>
  </si>
  <si>
    <t>exp</t>
  </si>
  <si>
    <t xml:space="preserve">chisq </t>
  </si>
  <si>
    <t>df</t>
  </si>
  <si>
    <t>pvalue</t>
  </si>
  <si>
    <t>lrt</t>
  </si>
  <si>
    <t>t</t>
  </si>
  <si>
    <t xml:space="preserve">exp </t>
  </si>
  <si>
    <t>t=1</t>
  </si>
  <si>
    <t xml:space="preserve">xbar </t>
  </si>
  <si>
    <t>model P(0)</t>
  </si>
  <si>
    <t>diff^2</t>
  </si>
  <si>
    <t>penet</t>
  </si>
  <si>
    <t>cum</t>
  </si>
  <si>
    <t>vol</t>
  </si>
  <si>
    <t xml:space="preserve">percentile </t>
  </si>
  <si>
    <t>p</t>
  </si>
  <si>
    <t>L(p)</t>
  </si>
  <si>
    <t xml:space="preserve">L(p) </t>
  </si>
  <si>
    <t>percentile</t>
  </si>
  <si>
    <t>cumvol</t>
  </si>
  <si>
    <t>from_p</t>
  </si>
  <si>
    <t>analytical</t>
  </si>
  <si>
    <t>top%</t>
  </si>
  <si>
    <t>mau</t>
  </si>
  <si>
    <t>dau</t>
  </si>
  <si>
    <t xml:space="preserve">base pop </t>
  </si>
  <si>
    <t>penet(day)</t>
  </si>
  <si>
    <t>penet(mth)</t>
  </si>
  <si>
    <t>P(0|day)</t>
  </si>
  <si>
    <t xml:space="preserve">alpha </t>
  </si>
  <si>
    <t>mean</t>
  </si>
  <si>
    <t>P(0|mth)</t>
  </si>
  <si>
    <t>verify dau</t>
  </si>
  <si>
    <t>model P(0|mth)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</si>
</sst>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0000000000000000"/>
  </numFmts>
  <fonts count="3" x14ac:knownFonts="1">
    <font>
      <sz val="10"/>
      <name val="Arial"/>
    </font>
    <font>
      <sz val="1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8" fontId="2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calcChain" Target="calcChain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prescription NBD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observed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'1a'!$I$10:$I$15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5+</c:v>
                </c:pt>
              </c:strCache>
            </c:strRef>
          </c:cat>
          <c:val>
            <c:numRef>
              <c:f>'1a'!$J$10:$J$15</c:f>
              <c:numCache>
                <c:formatCode>General</c:formatCode>
                <c:ptCount val="6"/>
                <c:pt idx="0">
                  <c:v>1650</c:v>
                </c:pt>
                <c:pt idx="1">
                  <c:v>138</c:v>
                </c:pt>
                <c:pt idx="2">
                  <c:v>55</c:v>
                </c:pt>
                <c:pt idx="3">
                  <c:v>30</c:v>
                </c:pt>
                <c:pt idx="4">
                  <c:v>14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94-CD48-9328-78CE7842AA29}"/>
            </c:ext>
          </c:extLst>
        </c:ser>
        <c:ser>
          <c:idx val="1"/>
          <c:order val="1"/>
          <c:tx>
            <c:v>expected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'1a'!$I$10:$I$15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5+</c:v>
                </c:pt>
              </c:strCache>
            </c:strRef>
          </c:cat>
          <c:val>
            <c:numRef>
              <c:f>'1a'!$L$10:$L$15</c:f>
              <c:numCache>
                <c:formatCode>General</c:formatCode>
                <c:ptCount val="6"/>
                <c:pt idx="0">
                  <c:v>1650.2367548549478</c:v>
                </c:pt>
                <c:pt idx="1">
                  <c:v>134.91210690290185</c:v>
                </c:pt>
                <c:pt idx="2">
                  <c:v>56.630608773551714</c:v>
                </c:pt>
                <c:pt idx="3">
                  <c:v>30.151720538058989</c:v>
                </c:pt>
                <c:pt idx="4">
                  <c:v>17.752197169005701</c:v>
                </c:pt>
                <c:pt idx="5">
                  <c:v>33.316611761533977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94-CD48-9328-78CE7842A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838688"/>
        <c:axId val="1886840400"/>
      </c:barChart>
      <c:catAx>
        <c:axId val="188683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840400"/>
        <c:crosses val="autoZero"/>
        <c:auto val="1"/>
        <c:lblAlgn val="ctr"/>
        <c:lblOffset val="100"/>
        <c:noMultiLvlLbl val="0"/>
      </c:catAx>
      <c:valAx>
        <c:axId val="18868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83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prescription NBD Spike@0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observed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'1b'!$G$7:$G$12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5+</c:v>
                </c:pt>
              </c:strCache>
            </c:strRef>
          </c:cat>
          <c:val>
            <c:numRef>
              <c:f>'1b'!$H$7:$H$12</c:f>
              <c:numCache>
                <c:formatCode>General</c:formatCode>
                <c:ptCount val="6"/>
                <c:pt idx="0">
                  <c:v>1650</c:v>
                </c:pt>
                <c:pt idx="1">
                  <c:v>138</c:v>
                </c:pt>
                <c:pt idx="2">
                  <c:v>55</c:v>
                </c:pt>
                <c:pt idx="3">
                  <c:v>30</c:v>
                </c:pt>
                <c:pt idx="4">
                  <c:v>14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3-C249-ACDB-4A147F276E65}"/>
            </c:ext>
          </c:extLst>
        </c:ser>
        <c:ser>
          <c:idx val="1"/>
          <c:order val="1"/>
          <c:tx>
            <c:v>expected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'1b'!$G$7:$G$12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5+</c:v>
                </c:pt>
              </c:strCache>
            </c:strRef>
          </c:cat>
          <c:val>
            <c:numRef>
              <c:f>'1b'!$J$7:$J$12</c:f>
              <c:numCache>
                <c:formatCode>General</c:formatCode>
                <c:ptCount val="6"/>
                <c:pt idx="0">
                  <c:v>1650.2371104860056</c:v>
                </c:pt>
                <c:pt idx="1">
                  <c:v>134.9119337712398</c:v>
                </c:pt>
                <c:pt idx="2">
                  <c:v>56.630815191920426</c:v>
                </c:pt>
                <c:pt idx="3">
                  <c:v>30.15180910310098</c:v>
                </c:pt>
                <c:pt idx="4">
                  <c:v>17.752201083970164</c:v>
                </c:pt>
                <c:pt idx="5">
                  <c:v>33.316130363762838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73-C249-ACDB-4A147F276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838688"/>
        <c:axId val="1886840400"/>
      </c:barChart>
      <c:catAx>
        <c:axId val="188683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840400"/>
        <c:crosses val="autoZero"/>
        <c:auto val="1"/>
        <c:lblAlgn val="ctr"/>
        <c:lblOffset val="100"/>
        <c:noMultiLvlLbl val="0"/>
      </c:catAx>
      <c:valAx>
        <c:axId val="18868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83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nbd t = 1 vs t = 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t=12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'1d'!$G$8:$G$13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5+</c:v>
                </c:pt>
              </c:strCache>
            </c:strRef>
          </c:cat>
          <c:val>
            <c:numRef>
              <c:f>'1d'!$H$8:$H$13</c:f>
              <c:numCache>
                <c:formatCode>General</c:formatCode>
                <c:ptCount val="6"/>
                <c:pt idx="0">
                  <c:v>1296.7661734450373</c:v>
                </c:pt>
                <c:pt idx="1">
                  <c:v>136.29076283306767</c:v>
                </c:pt>
                <c:pt idx="2">
                  <c:v>73.539214817137591</c:v>
                </c:pt>
                <c:pt idx="3">
                  <c:v>50.330317541275761</c:v>
                </c:pt>
                <c:pt idx="4">
                  <c:v>38.090671113794201</c:v>
                </c:pt>
                <c:pt idx="5">
                  <c:v>327.98286024968729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4-5E4A-BF41-CBDE1443EADF}"/>
            </c:ext>
          </c:extLst>
        </c:ser>
        <c:ser>
          <c:idx val="1"/>
          <c:order val="1"/>
          <c:tx>
            <c:v>t=1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'1d'!$G$8:$G$13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5+</c:v>
                </c:pt>
              </c:strCache>
            </c:strRef>
          </c:cat>
          <c:val>
            <c:numRef>
              <c:f>'1d'!$I$8:$I$13</c:f>
              <c:numCache>
                <c:formatCode>General</c:formatCode>
                <c:ptCount val="6"/>
                <c:pt idx="0">
                  <c:v>1650</c:v>
                </c:pt>
                <c:pt idx="1">
                  <c:v>138</c:v>
                </c:pt>
                <c:pt idx="2">
                  <c:v>55</c:v>
                </c:pt>
                <c:pt idx="3">
                  <c:v>30</c:v>
                </c:pt>
                <c:pt idx="4">
                  <c:v>14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4-5E4A-BF41-CBDE1443E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358080"/>
        <c:axId val="2030359792"/>
      </c:barChart>
      <c:catAx>
        <c:axId val="203035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59792"/>
        <c:crosses val="autoZero"/>
        <c:auto val="1"/>
        <c:lblAlgn val="ctr"/>
        <c:lblOffset val="100"/>
        <c:noMultiLvlLbl val="0"/>
      </c:catAx>
      <c:valAx>
        <c:axId val="203035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35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7</xdr:col>
      <xdr:colOff>45156</xdr:colOff>
      <xdr:row>19</xdr:row>
      <xdr:rowOff>101600</xdr:rowOff>
    </xdr:from>
    <xdr:to>
      <xdr:col>12</xdr:col>
      <xdr:colOff>476956</xdr:colOff>
      <xdr:row>35</xdr:row>
      <xdr:rowOff>143933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F5C28-7108-73DA-8452-ACC7C282E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6</xdr:col>
      <xdr:colOff>10007</xdr:colOff>
      <xdr:row>21</xdr:row>
      <xdr:rowOff>36177</xdr:rowOff>
    </xdr:from>
    <xdr:to>
      <xdr:col>11</xdr:col>
      <xdr:colOff>382970</xdr:colOff>
      <xdr:row>37</xdr:row>
      <xdr:rowOff>124431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98DCF-79A8-DD44-9F53-1431D7934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twoCellAnchor>
    <xdr:from>
      <xdr:col>5</xdr:col>
      <xdr:colOff>810517</xdr:colOff>
      <xdr:row>13</xdr:row>
      <xdr:rowOff>148120</xdr:rowOff>
    </xdr:from>
    <xdr:to>
      <xdr:col>11</xdr:col>
      <xdr:colOff>416674</xdr:colOff>
      <xdr:row>29</xdr:row>
      <xdr:rowOff>151544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848EDC-DC5D-8E99-D9FA-85B334F98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6053-CBF6-234E-9C16-34EE8C6455BF}">
  <dimension ref="A1:E21"/>
  <sheetViews>
    <sheetView workbookViewId="0">
      <selection activeCell="A22" sqref="A22"/>
    </sheetView>
  </sheetViews>
  <sheetFormatPr baseColWidth="10" defaultRowHeight="13" x14ac:dyDescent="0.15"/>
  <cols>
    <col min="1" max="256" width="8.83203125" customWidth="1"/>
  </cols>
  <sheetData>
    <row r="1" spans="1:5" x14ac:dyDescent="0.15">
      <c r="A1" t="s">
        <v>0</v>
      </c>
      <c r="B1" t="s">
        <v>1</v>
      </c>
      <c r="D1" s="1" t="s">
        <v>0</v>
      </c>
      <c r="E1" s="1" t="s">
        <v>1</v>
      </c>
    </row>
    <row r="2" spans="1:5" x14ac:dyDescent="0.15">
      <c r="A2">
        <v>0</v>
      </c>
      <c r="B2">
        <v>1650</v>
      </c>
      <c r="D2" s="1">
        <v>0</v>
      </c>
      <c r="E2" s="1">
        <v>1650</v>
      </c>
    </row>
    <row r="3" spans="1:5" x14ac:dyDescent="0.15">
      <c r="A3">
        <v>1</v>
      </c>
      <c r="B3">
        <v>138</v>
      </c>
      <c r="D3">
        <v>1</v>
      </c>
      <c r="E3">
        <v>138</v>
      </c>
    </row>
    <row r="4" spans="1:5" x14ac:dyDescent="0.15">
      <c r="A4">
        <v>2</v>
      </c>
      <c r="B4">
        <v>55</v>
      </c>
      <c r="D4">
        <v>2</v>
      </c>
      <c r="E4">
        <v>55</v>
      </c>
    </row>
    <row r="5" spans="1:5" x14ac:dyDescent="0.15">
      <c r="A5">
        <v>3</v>
      </c>
      <c r="B5">
        <v>30</v>
      </c>
      <c r="D5">
        <v>3</v>
      </c>
      <c r="E5">
        <v>30</v>
      </c>
    </row>
    <row r="6" spans="1:5" x14ac:dyDescent="0.15">
      <c r="A6">
        <v>4</v>
      </c>
      <c r="B6">
        <v>15</v>
      </c>
      <c r="D6">
        <v>4</v>
      </c>
      <c r="E6">
        <v>14</v>
      </c>
    </row>
    <row r="7" spans="1:5" x14ac:dyDescent="0.15">
      <c r="A7">
        <v>5</v>
      </c>
      <c r="B7">
        <v>10</v>
      </c>
      <c r="D7" s="1" t="s">
        <v>11</v>
      </c>
      <c r="E7">
        <v>35</v>
      </c>
    </row>
    <row r="8" spans="1:5" x14ac:dyDescent="0.15">
      <c r="A8">
        <v>6</v>
      </c>
      <c r="B8">
        <v>8</v>
      </c>
    </row>
    <row r="9" spans="1:5" x14ac:dyDescent="0.15">
      <c r="A9">
        <v>7</v>
      </c>
      <c r="B9">
        <v>4</v>
      </c>
    </row>
    <row r="10" spans="1:5" x14ac:dyDescent="0.15">
      <c r="A10">
        <v>8</v>
      </c>
      <c r="B10">
        <v>6</v>
      </c>
    </row>
    <row r="11" spans="1:5" x14ac:dyDescent="0.15">
      <c r="A11">
        <v>9</v>
      </c>
      <c r="B11">
        <v>3</v>
      </c>
    </row>
    <row r="12" spans="1:5" x14ac:dyDescent="0.15">
      <c r="A12">
        <v>10</v>
      </c>
      <c r="B12">
        <v>1</v>
      </c>
    </row>
    <row r="13" spans="1:5" x14ac:dyDescent="0.15">
      <c r="A13">
        <v>11</v>
      </c>
      <c r="B13">
        <v>0</v>
      </c>
    </row>
    <row r="14" spans="1:5" x14ac:dyDescent="0.15">
      <c r="A14">
        <v>12</v>
      </c>
      <c r="B14">
        <v>1</v>
      </c>
    </row>
    <row r="15" spans="1:5" x14ac:dyDescent="0.15">
      <c r="A15">
        <v>13</v>
      </c>
      <c r="B15">
        <v>1</v>
      </c>
    </row>
    <row r="16" spans="1:5" x14ac:dyDescent="0.15">
      <c r="A16">
        <v>14</v>
      </c>
      <c r="B16">
        <v>0</v>
      </c>
    </row>
    <row r="17" spans="1:2" x14ac:dyDescent="0.15">
      <c r="A17">
        <v>15</v>
      </c>
      <c r="B17">
        <v>1</v>
      </c>
    </row>
    <row r="21" spans="1:2" x14ac:dyDescent="0.15">
      <c r="A21">
        <f>SUM(B2:B17)</f>
        <v>1923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8D66-73C4-104B-9B28-85F8CBC05C79}">
  <dimension ref="A1:M25"/>
  <sheetViews>
    <sheetView zoomScale="108" workbookViewId="0">
      <selection activeCell="M10" sqref="M10"/>
    </sheetView>
  </sheetViews>
  <sheetFormatPr baseColWidth="10" defaultRowHeight="13" x14ac:dyDescent="0.15"/>
  <sheetData>
    <row r="1" spans="1:13" x14ac:dyDescent="0.15">
      <c r="A1" s="1" t="s">
        <v>2</v>
      </c>
      <c r="B1">
        <v>0.10788719737293301</v>
      </c>
      <c r="D1" s="1" t="s">
        <v>6</v>
      </c>
      <c r="E1">
        <f xml:space="preserve"> E2* B5</f>
        <v>0.10957325066278391</v>
      </c>
      <c r="G1" s="1" t="s">
        <v>7</v>
      </c>
      <c r="H1">
        <v>0.25315873566093799</v>
      </c>
      <c r="J1" s="1" t="s">
        <v>16</v>
      </c>
      <c r="K1">
        <f>(H2/(H2+1))^H1</f>
        <v>0.85803432137285485</v>
      </c>
    </row>
    <row r="2" spans="1:13" x14ac:dyDescent="0.15">
      <c r="A2" s="1" t="s">
        <v>3</v>
      </c>
      <c r="B2">
        <v>0.31966969140317175</v>
      </c>
      <c r="D2" s="1" t="s">
        <v>5</v>
      </c>
      <c r="E2">
        <f>B5/(B6-B5)</f>
        <v>0.3246677365555215</v>
      </c>
      <c r="G2" s="1" t="s">
        <v>8</v>
      </c>
      <c r="H2">
        <v>1.2035264248742701</v>
      </c>
      <c r="J2" s="1" t="s">
        <v>17</v>
      </c>
      <c r="K2">
        <f>(K1-B7)^2</f>
        <v>1.2325951644078309E-32</v>
      </c>
    </row>
    <row r="3" spans="1:13" x14ac:dyDescent="0.15">
      <c r="A3" s="1" t="s">
        <v>4</v>
      </c>
      <c r="B3">
        <f>SUM(D10:D25)</f>
        <v>-1219.2701022035199</v>
      </c>
    </row>
    <row r="4" spans="1:13" x14ac:dyDescent="0.15">
      <c r="I4" s="1"/>
    </row>
    <row r="5" spans="1:13" x14ac:dyDescent="0.15">
      <c r="A5" s="1" t="s">
        <v>12</v>
      </c>
      <c r="B5">
        <f>SUM(E10:E25)/SUM(B10:B25)</f>
        <v>0.3374934997399896</v>
      </c>
    </row>
    <row r="6" spans="1:13" x14ac:dyDescent="0.15">
      <c r="A6" s="1" t="s">
        <v>13</v>
      </c>
      <c r="B6">
        <f>SUM(F10:F25)/SUM(B10:B25) - B5^2</f>
        <v>1.3769977736186931</v>
      </c>
    </row>
    <row r="7" spans="1:13" x14ac:dyDescent="0.15">
      <c r="A7" s="1" t="s">
        <v>9</v>
      </c>
      <c r="B7">
        <f>B10/(SUM(B10:B25))</f>
        <v>0.85803432137285496</v>
      </c>
    </row>
    <row r="8" spans="1:13" x14ac:dyDescent="0.15">
      <c r="A8" s="1"/>
    </row>
    <row r="9" spans="1:13" x14ac:dyDescent="0.15">
      <c r="A9" t="s">
        <v>0</v>
      </c>
      <c r="B9" t="s">
        <v>1</v>
      </c>
      <c r="C9" s="1" t="s">
        <v>10</v>
      </c>
      <c r="D9" s="1" t="s">
        <v>4</v>
      </c>
      <c r="E9" s="1" t="s">
        <v>14</v>
      </c>
      <c r="F9" s="1" t="s">
        <v>15</v>
      </c>
      <c r="G9" s="1" t="s">
        <v>22</v>
      </c>
      <c r="I9" s="1" t="s">
        <v>0</v>
      </c>
      <c r="J9" s="1" t="s">
        <v>1</v>
      </c>
      <c r="K9" s="1" t="s">
        <v>20</v>
      </c>
      <c r="L9" s="1" t="s">
        <v>22</v>
      </c>
      <c r="M9" s="1" t="s">
        <v>21</v>
      </c>
    </row>
    <row r="10" spans="1:13" x14ac:dyDescent="0.15">
      <c r="A10">
        <v>0</v>
      </c>
      <c r="B10">
        <v>1650</v>
      </c>
      <c r="C10">
        <f xml:space="preserve"> (B2/(B2+1))^B1</f>
        <v>0.8581574388221257</v>
      </c>
      <c r="D10">
        <f>LN(C10)*B10</f>
        <v>-252.39670697449637</v>
      </c>
      <c r="E10">
        <f>B10*A10</f>
        <v>0</v>
      </c>
      <c r="F10">
        <f>A10^2 * B10</f>
        <v>0</v>
      </c>
      <c r="G10">
        <f>C10*1923</f>
        <v>1650.2367548549478</v>
      </c>
      <c r="I10" s="1">
        <v>0</v>
      </c>
      <c r="J10" s="1">
        <v>1650</v>
      </c>
      <c r="K10">
        <f>(B2/(B2+1))^B1</f>
        <v>0.8581574388221257</v>
      </c>
      <c r="L10">
        <f xml:space="preserve"> K10 * 1923</f>
        <v>1650.2367548549478</v>
      </c>
      <c r="M10">
        <f>(L10-J10)^2/L10</f>
        <v>3.3966557329690183E-5</v>
      </c>
    </row>
    <row r="11" spans="1:13" x14ac:dyDescent="0.15">
      <c r="A11">
        <v>1</v>
      </c>
      <c r="B11">
        <v>138</v>
      </c>
      <c r="C11">
        <f>C10*1/A11 * ($B$1+A10)/($B$2+1)</f>
        <v>7.0157101873583913E-2</v>
      </c>
      <c r="D11">
        <f t="shared" ref="D11:D25" si="0">LN(C11)*B11</f>
        <v>-366.66851700414043</v>
      </c>
      <c r="E11">
        <f t="shared" ref="E11:E25" si="1">B11*A11</f>
        <v>138</v>
      </c>
      <c r="F11">
        <f t="shared" ref="F11:F25" si="2">A11^2 * B11</f>
        <v>138</v>
      </c>
      <c r="G11">
        <f t="shared" ref="G11:G25" si="3">C11*1923</f>
        <v>134.91210690290185</v>
      </c>
      <c r="I11">
        <v>1</v>
      </c>
      <c r="J11">
        <v>138</v>
      </c>
      <c r="K11">
        <f xml:space="preserve"> K10 * 1/I11 * ($B$1 + I10)/($B$2 + 1)</f>
        <v>7.0157101873583913E-2</v>
      </c>
      <c r="L11">
        <f t="shared" ref="L11:L15" si="4" xml:space="preserve"> K11 * 1923</f>
        <v>134.91210690290185</v>
      </c>
      <c r="M11">
        <f>(L11-J11)^2/L11</f>
        <v>7.067626470298112E-2</v>
      </c>
    </row>
    <row r="12" spans="1:13" x14ac:dyDescent="0.15">
      <c r="A12">
        <v>2</v>
      </c>
      <c r="B12">
        <v>55</v>
      </c>
      <c r="C12">
        <f t="shared" ref="C12:C25" si="5">C11*1/A12 * ($B$1+A11)/($B$2+1)</f>
        <v>2.9449094526027932E-2</v>
      </c>
      <c r="D12">
        <f t="shared" si="0"/>
        <v>-193.88006635262516</v>
      </c>
      <c r="E12">
        <f t="shared" si="1"/>
        <v>110</v>
      </c>
      <c r="F12">
        <f t="shared" si="2"/>
        <v>220</v>
      </c>
      <c r="G12">
        <f t="shared" si="3"/>
        <v>56.630608773551714</v>
      </c>
      <c r="I12">
        <v>2</v>
      </c>
      <c r="J12">
        <v>55</v>
      </c>
      <c r="K12">
        <f t="shared" ref="K12:K14" si="6" xml:space="preserve"> K11 * 1/I12 * ($B$1 + I11)/($B$2 + 1)</f>
        <v>2.9449094526027932E-2</v>
      </c>
      <c r="L12">
        <f t="shared" si="4"/>
        <v>56.630608773551714</v>
      </c>
      <c r="M12">
        <f t="shared" ref="M11:M15" si="7">(L12-J12)^2/L12</f>
        <v>4.6951375412824591E-2</v>
      </c>
    </row>
    <row r="13" spans="1:13" x14ac:dyDescent="0.15">
      <c r="A13">
        <v>3</v>
      </c>
      <c r="B13">
        <v>30</v>
      </c>
      <c r="C13">
        <f t="shared" si="5"/>
        <v>1.56795218606651E-2</v>
      </c>
      <c r="D13">
        <f t="shared" si="0"/>
        <v>-124.66199274314536</v>
      </c>
      <c r="E13">
        <f t="shared" si="1"/>
        <v>90</v>
      </c>
      <c r="F13">
        <f t="shared" si="2"/>
        <v>270</v>
      </c>
      <c r="G13">
        <f t="shared" si="3"/>
        <v>30.151720538058989</v>
      </c>
      <c r="I13">
        <v>3</v>
      </c>
      <c r="J13">
        <v>30</v>
      </c>
      <c r="K13">
        <f t="shared" si="6"/>
        <v>1.56795218606651E-2</v>
      </c>
      <c r="L13">
        <f t="shared" si="4"/>
        <v>30.151720538058989</v>
      </c>
      <c r="M13">
        <f t="shared" si="7"/>
        <v>7.6344305592289917E-4</v>
      </c>
    </row>
    <row r="14" spans="1:13" x14ac:dyDescent="0.15">
      <c r="A14">
        <v>4</v>
      </c>
      <c r="B14">
        <v>15</v>
      </c>
      <c r="C14">
        <f t="shared" si="5"/>
        <v>9.2315117883544993E-3</v>
      </c>
      <c r="D14">
        <f t="shared" si="0"/>
        <v>-70.27698679737972</v>
      </c>
      <c r="E14">
        <f t="shared" si="1"/>
        <v>60</v>
      </c>
      <c r="F14">
        <f t="shared" si="2"/>
        <v>240</v>
      </c>
      <c r="G14">
        <f t="shared" si="3"/>
        <v>17.752197169005701</v>
      </c>
      <c r="I14">
        <v>4</v>
      </c>
      <c r="J14">
        <v>14</v>
      </c>
      <c r="K14">
        <f t="shared" si="6"/>
        <v>9.2315117883544993E-3</v>
      </c>
      <c r="L14">
        <f t="shared" si="4"/>
        <v>17.752197169005701</v>
      </c>
      <c r="M14">
        <f t="shared" si="7"/>
        <v>0.79308400312697513</v>
      </c>
    </row>
    <row r="15" spans="1:13" x14ac:dyDescent="0.15">
      <c r="A15">
        <v>5</v>
      </c>
      <c r="B15">
        <v>10</v>
      </c>
      <c r="C15">
        <f t="shared" si="5"/>
        <v>5.7471970955788538E-3</v>
      </c>
      <c r="D15">
        <f t="shared" si="0"/>
        <v>-51.590430046593873</v>
      </c>
      <c r="E15">
        <f t="shared" si="1"/>
        <v>50</v>
      </c>
      <c r="F15">
        <f t="shared" si="2"/>
        <v>250</v>
      </c>
      <c r="G15">
        <f t="shared" si="3"/>
        <v>11.051860014798136</v>
      </c>
      <c r="I15" s="1" t="s">
        <v>11</v>
      </c>
      <c r="J15">
        <v>35</v>
      </c>
      <c r="K15">
        <f>1-(SUM(K10:K14))</f>
        <v>1.7325331129242838E-2</v>
      </c>
      <c r="L15">
        <f t="shared" si="4"/>
        <v>33.316611761533977</v>
      </c>
      <c r="M15">
        <f t="shared" si="7"/>
        <v>8.5056547217011017E-2</v>
      </c>
    </row>
    <row r="16" spans="1:13" x14ac:dyDescent="0.15">
      <c r="A16">
        <v>6</v>
      </c>
      <c r="B16">
        <v>8</v>
      </c>
      <c r="C16">
        <f t="shared" si="5"/>
        <v>3.7074977494396841E-3</v>
      </c>
      <c r="D16">
        <f t="shared" si="0"/>
        <v>-44.779184727851614</v>
      </c>
      <c r="E16">
        <f t="shared" si="1"/>
        <v>48</v>
      </c>
      <c r="F16">
        <f t="shared" si="2"/>
        <v>288</v>
      </c>
      <c r="G16">
        <f t="shared" si="3"/>
        <v>7.1295181721725127</v>
      </c>
    </row>
    <row r="17" spans="1:12" x14ac:dyDescent="0.15">
      <c r="A17">
        <v>7</v>
      </c>
      <c r="B17">
        <v>4</v>
      </c>
      <c r="C17">
        <f t="shared" si="5"/>
        <v>2.4513686141755852E-3</v>
      </c>
      <c r="D17">
        <f t="shared" si="0"/>
        <v>-24.044435169454481</v>
      </c>
      <c r="E17">
        <f t="shared" si="1"/>
        <v>28</v>
      </c>
      <c r="F17">
        <f t="shared" si="2"/>
        <v>196</v>
      </c>
      <c r="G17">
        <f t="shared" si="3"/>
        <v>4.7139818450596502</v>
      </c>
      <c r="K17" s="1" t="s">
        <v>23</v>
      </c>
      <c r="L17">
        <f>SUM(M10:M15)</f>
        <v>0.99656560007304451</v>
      </c>
    </row>
    <row r="18" spans="1:12" x14ac:dyDescent="0.15">
      <c r="A18">
        <v>8</v>
      </c>
      <c r="B18">
        <v>6</v>
      </c>
      <c r="C18">
        <f t="shared" si="5"/>
        <v>1.6504178756100239E-3</v>
      </c>
      <c r="D18">
        <f t="shared" si="0"/>
        <v>-38.440360591131352</v>
      </c>
      <c r="E18">
        <f t="shared" si="1"/>
        <v>48</v>
      </c>
      <c r="F18">
        <f t="shared" si="2"/>
        <v>384</v>
      </c>
      <c r="G18">
        <f t="shared" si="3"/>
        <v>3.1737535747980758</v>
      </c>
      <c r="K18" s="1" t="s">
        <v>24</v>
      </c>
      <c r="L18">
        <f xml:space="preserve"> 6 - 2 - 1</f>
        <v>3</v>
      </c>
    </row>
    <row r="19" spans="1:12" x14ac:dyDescent="0.15">
      <c r="A19">
        <v>9</v>
      </c>
      <c r="B19">
        <v>3</v>
      </c>
      <c r="C19">
        <f t="shared" si="5"/>
        <v>1.126662565736922E-3</v>
      </c>
      <c r="D19">
        <f t="shared" si="0"/>
        <v>-20.365486494121246</v>
      </c>
      <c r="E19">
        <f t="shared" si="1"/>
        <v>27</v>
      </c>
      <c r="F19">
        <f t="shared" si="2"/>
        <v>243</v>
      </c>
      <c r="G19">
        <f t="shared" si="3"/>
        <v>2.166572113912101</v>
      </c>
      <c r="K19" s="1" t="s">
        <v>25</v>
      </c>
      <c r="L19">
        <f>_xlfn.CHISQ.DIST.RT(L17,L18)</f>
        <v>0.80208298032157521</v>
      </c>
    </row>
    <row r="20" spans="1:12" x14ac:dyDescent="0.15">
      <c r="A20">
        <v>10</v>
      </c>
      <c r="B20">
        <v>1</v>
      </c>
      <c r="C20">
        <f t="shared" si="5"/>
        <v>7.7758211960781201E-4</v>
      </c>
      <c r="D20">
        <f t="shared" si="0"/>
        <v>-7.1593212994139357</v>
      </c>
      <c r="E20">
        <f t="shared" si="1"/>
        <v>10</v>
      </c>
      <c r="F20">
        <f t="shared" si="2"/>
        <v>100</v>
      </c>
      <c r="G20">
        <f t="shared" si="3"/>
        <v>1.4952904160058225</v>
      </c>
    </row>
    <row r="21" spans="1:12" x14ac:dyDescent="0.15">
      <c r="A21">
        <v>11</v>
      </c>
      <c r="B21">
        <v>0</v>
      </c>
      <c r="C21">
        <f t="shared" si="5"/>
        <v>5.414379896376588E-4</v>
      </c>
      <c r="D21">
        <f t="shared" si="0"/>
        <v>0</v>
      </c>
      <c r="E21">
        <f t="shared" si="1"/>
        <v>0</v>
      </c>
      <c r="F21">
        <f t="shared" si="2"/>
        <v>0</v>
      </c>
      <c r="G21">
        <f t="shared" si="3"/>
        <v>1.0411852540732178</v>
      </c>
    </row>
    <row r="22" spans="1:12" x14ac:dyDescent="0.15">
      <c r="A22">
        <v>12</v>
      </c>
      <c r="B22">
        <v>1</v>
      </c>
      <c r="C22">
        <f t="shared" si="5"/>
        <v>3.7978140492569691E-4</v>
      </c>
      <c r="D22">
        <f t="shared" si="0"/>
        <v>-7.8759147209592504</v>
      </c>
      <c r="E22">
        <f t="shared" si="1"/>
        <v>12</v>
      </c>
      <c r="F22">
        <f t="shared" si="2"/>
        <v>144</v>
      </c>
      <c r="G22">
        <f t="shared" si="3"/>
        <v>0.73031964167211516</v>
      </c>
    </row>
    <row r="23" spans="1:12" x14ac:dyDescent="0.15">
      <c r="A23">
        <v>13</v>
      </c>
      <c r="B23">
        <v>1</v>
      </c>
      <c r="C23">
        <f t="shared" si="5"/>
        <v>2.6803620985647148E-4</v>
      </c>
      <c r="D23">
        <f t="shared" si="0"/>
        <v>-8.2243884751753971</v>
      </c>
      <c r="E23">
        <f t="shared" si="1"/>
        <v>13</v>
      </c>
      <c r="F23">
        <f t="shared" si="2"/>
        <v>169</v>
      </c>
      <c r="G23">
        <f t="shared" si="3"/>
        <v>0.51543363155399469</v>
      </c>
    </row>
    <row r="24" spans="1:12" x14ac:dyDescent="0.15">
      <c r="A24">
        <v>14</v>
      </c>
      <c r="B24">
        <v>0</v>
      </c>
      <c r="C24">
        <f t="shared" si="5"/>
        <v>1.9016600606833393E-4</v>
      </c>
      <c r="D24">
        <f t="shared" si="0"/>
        <v>0</v>
      </c>
      <c r="E24">
        <f t="shared" si="1"/>
        <v>0</v>
      </c>
      <c r="F24">
        <f t="shared" si="2"/>
        <v>0</v>
      </c>
      <c r="G24">
        <f t="shared" si="3"/>
        <v>0.36568922966940615</v>
      </c>
    </row>
    <row r="25" spans="1:12" x14ac:dyDescent="0.15">
      <c r="A25">
        <v>15</v>
      </c>
      <c r="B25">
        <v>1</v>
      </c>
      <c r="C25">
        <f t="shared" si="5"/>
        <v>1.3553091251364041E-4</v>
      </c>
      <c r="D25">
        <f t="shared" si="0"/>
        <v>-8.9063108070316908</v>
      </c>
      <c r="E25">
        <f t="shared" si="1"/>
        <v>15</v>
      </c>
      <c r="F25">
        <f t="shared" si="2"/>
        <v>225</v>
      </c>
      <c r="G25">
        <f t="shared" si="3"/>
        <v>0.26062594476373052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8D64-354F-BE4D-8D4D-91989FC82F07}">
  <dimension ref="A1:K22"/>
  <sheetViews>
    <sheetView zoomScaleNormal="75" workbookViewId="0">
      <selection activeCell="E29" sqref="E29"/>
    </sheetView>
  </sheetViews>
  <sheetFormatPr baseColWidth="10" defaultRowHeight="13" x14ac:dyDescent="0.15"/>
  <cols>
    <col min="10" max="10" width="12.83203125" bestFit="1" customWidth="1"/>
  </cols>
  <sheetData>
    <row r="1" spans="1:11" x14ac:dyDescent="0.15">
      <c r="A1" s="1" t="s">
        <v>2</v>
      </c>
      <c r="B1">
        <v>0.10790035916590192</v>
      </c>
    </row>
    <row r="2" spans="1:11" x14ac:dyDescent="0.15">
      <c r="A2" s="1" t="s">
        <v>3</v>
      </c>
      <c r="B2">
        <v>0.31967886542314761</v>
      </c>
    </row>
    <row r="3" spans="1:11" x14ac:dyDescent="0.15">
      <c r="A3" s="1" t="s">
        <v>18</v>
      </c>
      <c r="B3">
        <v>1.0000000000000132E-4</v>
      </c>
    </row>
    <row r="4" spans="1:11" x14ac:dyDescent="0.15">
      <c r="A4" s="1" t="s">
        <v>4</v>
      </c>
      <c r="B4">
        <f>SUM(E7:E22)</f>
        <v>-1219.2701297586641</v>
      </c>
    </row>
    <row r="6" spans="1:11" x14ac:dyDescent="0.15">
      <c r="A6" t="s">
        <v>0</v>
      </c>
      <c r="B6" t="s">
        <v>1</v>
      </c>
      <c r="C6" s="1" t="s">
        <v>10</v>
      </c>
      <c r="D6" s="1" t="s">
        <v>19</v>
      </c>
      <c r="E6" s="1" t="s">
        <v>4</v>
      </c>
      <c r="G6" s="1" t="s">
        <v>0</v>
      </c>
      <c r="H6" s="1" t="s">
        <v>1</v>
      </c>
      <c r="I6" s="1" t="s">
        <v>20</v>
      </c>
      <c r="J6" s="1" t="s">
        <v>22</v>
      </c>
      <c r="K6" s="1" t="s">
        <v>21</v>
      </c>
    </row>
    <row r="7" spans="1:11" x14ac:dyDescent="0.15">
      <c r="A7">
        <v>0</v>
      </c>
      <c r="B7">
        <v>1650</v>
      </c>
      <c r="C7">
        <f>(B2/(1+B2))^B1</f>
        <v>0.85814343810148341</v>
      </c>
      <c r="D7">
        <f>B3+ (1-B3) * C7</f>
        <v>0.85815762375767324</v>
      </c>
      <c r="E7">
        <f>LN(D7)*B7</f>
        <v>-252.39635139449817</v>
      </c>
      <c r="G7" s="1">
        <v>0</v>
      </c>
      <c r="H7" s="1">
        <v>1650</v>
      </c>
      <c r="I7">
        <f>D7</f>
        <v>0.85815762375767324</v>
      </c>
      <c r="J7">
        <f xml:space="preserve"> I7 * 1923</f>
        <v>1650.2371104860056</v>
      </c>
      <c r="K7">
        <f>(J7-H7)^2/J7</f>
        <v>3.4068669415174632E-5</v>
      </c>
    </row>
    <row r="8" spans="1:11" x14ac:dyDescent="0.15">
      <c r="A8">
        <v>1</v>
      </c>
      <c r="B8">
        <v>138</v>
      </c>
      <c r="C8">
        <f>C7*1/A8 * ($B$1+A7)/($B$2+1)</f>
        <v>7.0164028244342799E-2</v>
      </c>
      <c r="D8">
        <f xml:space="preserve"> (1-$B$3) * C8</f>
        <v>7.015701184151836E-2</v>
      </c>
      <c r="E8">
        <f t="shared" ref="E8:E22" si="0">LN(D8)*B8</f>
        <v>-366.66869409858543</v>
      </c>
      <c r="G8">
        <v>1</v>
      </c>
      <c r="H8">
        <v>138</v>
      </c>
      <c r="I8">
        <f>D8</f>
        <v>7.015701184151836E-2</v>
      </c>
      <c r="J8">
        <f t="shared" ref="J8:J12" si="1" xml:space="preserve"> I8 * 1923</f>
        <v>134.9119337712398</v>
      </c>
      <c r="K8">
        <f t="shared" ref="K8:K12" si="2">(J8-H8)^2/J8</f>
        <v>7.0684280972348829E-2</v>
      </c>
    </row>
    <row r="9" spans="1:11" x14ac:dyDescent="0.15">
      <c r="A9">
        <v>2</v>
      </c>
      <c r="B9">
        <v>55</v>
      </c>
      <c r="C9">
        <f t="shared" ref="C9:C22" si="3">C8*1/A9 * ($B$1+A8)/($B$2+1)</f>
        <v>2.9452147082581596E-2</v>
      </c>
      <c r="D9">
        <f t="shared" ref="D9:D22" si="4" xml:space="preserve"> (1-$B$3) * C9</f>
        <v>2.9449201867873337E-2</v>
      </c>
      <c r="E9">
        <f t="shared" si="0"/>
        <v>-193.87986587818503</v>
      </c>
      <c r="G9">
        <v>2</v>
      </c>
      <c r="H9">
        <v>55</v>
      </c>
      <c r="I9">
        <f>D9</f>
        <v>2.9449201867873337E-2</v>
      </c>
      <c r="J9">
        <f t="shared" si="1"/>
        <v>56.630815191920426</v>
      </c>
      <c r="K9">
        <f t="shared" si="2"/>
        <v>4.6963092111340449E-2</v>
      </c>
    </row>
    <row r="10" spans="1:11" x14ac:dyDescent="0.15">
      <c r="A10">
        <v>3</v>
      </c>
      <c r="B10">
        <v>30</v>
      </c>
      <c r="C10">
        <f t="shared" si="3"/>
        <v>1.5681136029932156E-2</v>
      </c>
      <c r="D10">
        <f t="shared" si="4"/>
        <v>1.5679567916329164E-2</v>
      </c>
      <c r="E10">
        <f t="shared" si="0"/>
        <v>-124.66190462388352</v>
      </c>
      <c r="G10">
        <v>3</v>
      </c>
      <c r="H10">
        <v>30</v>
      </c>
      <c r="I10">
        <f t="shared" ref="I8:I12" si="5">D10</f>
        <v>1.5679567916329164E-2</v>
      </c>
      <c r="J10">
        <f t="shared" si="1"/>
        <v>30.15180910310098</v>
      </c>
      <c r="K10">
        <f t="shared" si="2"/>
        <v>7.6433237241323203E-4</v>
      </c>
    </row>
    <row r="11" spans="1:11" x14ac:dyDescent="0.15">
      <c r="A11">
        <v>4</v>
      </c>
      <c r="B11">
        <v>15</v>
      </c>
      <c r="C11">
        <f t="shared" si="3"/>
        <v>9.2324370679242457E-3</v>
      </c>
      <c r="D11">
        <f t="shared" si="4"/>
        <v>9.2315138242174532E-3</v>
      </c>
      <c r="E11">
        <f t="shared" si="0"/>
        <v>-70.276983489368888</v>
      </c>
      <c r="G11">
        <v>4</v>
      </c>
      <c r="H11">
        <v>14</v>
      </c>
      <c r="I11">
        <f t="shared" si="5"/>
        <v>9.2315138242174532E-3</v>
      </c>
      <c r="J11">
        <f xml:space="preserve"> I11 * 1923</f>
        <v>17.752201083970164</v>
      </c>
      <c r="K11">
        <f t="shared" si="2"/>
        <v>0.79308548320015937</v>
      </c>
    </row>
    <row r="12" spans="1:11" x14ac:dyDescent="0.15">
      <c r="A12">
        <v>5</v>
      </c>
      <c r="B12">
        <v>10</v>
      </c>
      <c r="C12">
        <f t="shared" si="3"/>
        <v>5.747751599422919E-3</v>
      </c>
      <c r="D12">
        <f t="shared" si="4"/>
        <v>5.747176824262977E-3</v>
      </c>
      <c r="E12">
        <f t="shared" si="0"/>
        <v>-51.590465318312049</v>
      </c>
      <c r="G12" s="1" t="s">
        <v>11</v>
      </c>
      <c r="H12">
        <v>35</v>
      </c>
      <c r="I12">
        <f>1-SUM(I7:I11)</f>
        <v>1.732508079238837E-2</v>
      </c>
      <c r="J12">
        <f xml:space="preserve"> I12 * 1923</f>
        <v>33.316130363762838</v>
      </c>
      <c r="K12">
        <f t="shared" si="2"/>
        <v>8.5106431055555251E-2</v>
      </c>
    </row>
    <row r="13" spans="1:11" x14ac:dyDescent="0.15">
      <c r="A13">
        <v>6</v>
      </c>
      <c r="B13">
        <v>8</v>
      </c>
      <c r="C13">
        <f t="shared" si="3"/>
        <v>3.7078392362870972E-3</v>
      </c>
      <c r="D13">
        <f t="shared" si="4"/>
        <v>3.7074684523634685E-3</v>
      </c>
      <c r="E13">
        <f t="shared" si="0"/>
        <v>-44.77924794502708</v>
      </c>
    </row>
    <row r="14" spans="1:11" x14ac:dyDescent="0.15">
      <c r="A14">
        <v>7</v>
      </c>
      <c r="B14">
        <v>4</v>
      </c>
      <c r="C14">
        <f t="shared" si="3"/>
        <v>2.4515826427196435E-3</v>
      </c>
      <c r="D14">
        <f t="shared" si="4"/>
        <v>2.4513374844553717E-3</v>
      </c>
      <c r="E14">
        <f t="shared" si="0"/>
        <v>-24.044485965434642</v>
      </c>
      <c r="I14" s="1" t="s">
        <v>23</v>
      </c>
      <c r="J14">
        <f>SUM(K7:K12)</f>
        <v>0.99663768838123235</v>
      </c>
    </row>
    <row r="15" spans="1:11" x14ac:dyDescent="0.15">
      <c r="A15">
        <v>8</v>
      </c>
      <c r="B15">
        <v>6</v>
      </c>
      <c r="C15">
        <f t="shared" si="3"/>
        <v>1.6505535554216463E-3</v>
      </c>
      <c r="D15">
        <f t="shared" si="4"/>
        <v>1.6503885000661042E-3</v>
      </c>
      <c r="E15">
        <f t="shared" si="0"/>
        <v>-38.440467385195262</v>
      </c>
      <c r="I15" s="1" t="s">
        <v>24</v>
      </c>
      <c r="J15">
        <f xml:space="preserve"> 6 - 3 - 1</f>
        <v>2</v>
      </c>
    </row>
    <row r="16" spans="1:11" x14ac:dyDescent="0.15">
      <c r="A16">
        <v>9</v>
      </c>
      <c r="B16">
        <v>3</v>
      </c>
      <c r="C16">
        <f t="shared" si="3"/>
        <v>1.1267491841690247E-3</v>
      </c>
      <c r="D16">
        <f t="shared" si="4"/>
        <v>1.1266365092506077E-3</v>
      </c>
      <c r="E16">
        <f t="shared" si="0"/>
        <v>-20.365555876352673</v>
      </c>
      <c r="I16" s="1" t="s">
        <v>25</v>
      </c>
      <c r="J16">
        <f>_xlfn.CHISQ.DIST.RT(J14,J15)</f>
        <v>0.60755118984950374</v>
      </c>
    </row>
    <row r="17" spans="1:10" x14ac:dyDescent="0.15">
      <c r="A17">
        <v>10</v>
      </c>
      <c r="B17">
        <v>1</v>
      </c>
      <c r="C17">
        <f t="shared" si="3"/>
        <v>7.7763761836804077E-4</v>
      </c>
      <c r="D17">
        <f t="shared" si="4"/>
        <v>7.7755985460620399E-4</v>
      </c>
      <c r="E17">
        <f t="shared" si="0"/>
        <v>-7.1593499334576167</v>
      </c>
    </row>
    <row r="18" spans="1:10" x14ac:dyDescent="0.15">
      <c r="A18">
        <v>11</v>
      </c>
      <c r="B18">
        <v>0</v>
      </c>
      <c r="C18">
        <f t="shared" si="3"/>
        <v>5.414735748459999E-4</v>
      </c>
      <c r="D18">
        <f t="shared" si="4"/>
        <v>5.414194274885153E-4</v>
      </c>
      <c r="E18">
        <f t="shared" si="0"/>
        <v>0</v>
      </c>
      <c r="I18" s="1" t="s">
        <v>26</v>
      </c>
      <c r="J18">
        <f>2 * (B4-'1a'!B3)</f>
        <v>-5.5110288485593628E-5</v>
      </c>
    </row>
    <row r="19" spans="1:10" x14ac:dyDescent="0.15">
      <c r="A19">
        <v>12</v>
      </c>
      <c r="B19">
        <v>1</v>
      </c>
      <c r="C19">
        <f t="shared" si="3"/>
        <v>3.798041752239833E-4</v>
      </c>
      <c r="D19">
        <f t="shared" si="4"/>
        <v>3.7976619480646092E-4</v>
      </c>
      <c r="E19">
        <f t="shared" si="0"/>
        <v>-7.8759547714294076</v>
      </c>
      <c r="I19" s="1" t="s">
        <v>24</v>
      </c>
      <c r="J19">
        <v>1</v>
      </c>
    </row>
    <row r="20" spans="1:10" x14ac:dyDescent="0.15">
      <c r="A20">
        <v>13</v>
      </c>
      <c r="B20">
        <v>1</v>
      </c>
      <c r="C20">
        <f t="shared" si="3"/>
        <v>2.6805070828480866E-4</v>
      </c>
      <c r="D20">
        <f t="shared" si="4"/>
        <v>2.6802390321398016E-4</v>
      </c>
      <c r="E20">
        <f t="shared" si="0"/>
        <v>-8.2244343903337658</v>
      </c>
      <c r="I20" s="1" t="s">
        <v>25</v>
      </c>
      <c r="J20" t="e">
        <f>_xlfn.CHISQ.DIST.RT(J18,J19)</f>
        <v>#NUM!</v>
      </c>
    </row>
    <row r="21" spans="1:10" x14ac:dyDescent="0.15">
      <c r="A21">
        <v>14</v>
      </c>
      <c r="B21">
        <v>0</v>
      </c>
      <c r="C21">
        <f t="shared" si="3"/>
        <v>1.9017516130305512E-4</v>
      </c>
      <c r="D21">
        <f t="shared" si="4"/>
        <v>1.901561437869248E-4</v>
      </c>
      <c r="E21">
        <f t="shared" si="0"/>
        <v>0</v>
      </c>
    </row>
    <row r="22" spans="1:10" x14ac:dyDescent="0.15">
      <c r="A22">
        <v>15</v>
      </c>
      <c r="B22">
        <v>1</v>
      </c>
      <c r="C22">
        <f t="shared" si="3"/>
        <v>1.3553662166093338E-4</v>
      </c>
      <c r="D22">
        <f t="shared" si="4"/>
        <v>1.3552306799876729E-4</v>
      </c>
      <c r="E22">
        <f t="shared" si="0"/>
        <v>-8.906368688600967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4C6D-740D-5A46-A72D-0009E20D42B8}">
  <dimension ref="A1:I23"/>
  <sheetViews>
    <sheetView workbookViewId="0">
      <selection activeCell="J13" sqref="J13"/>
    </sheetView>
  </sheetViews>
  <sheetFormatPr baseColWidth="10" defaultRowHeight="13" x14ac:dyDescent="0.15"/>
  <sheetData>
    <row r="1" spans="1:9" x14ac:dyDescent="0.15">
      <c r="A1" s="1" t="s">
        <v>2</v>
      </c>
      <c r="B1">
        <v>0.107900359165902</v>
      </c>
    </row>
    <row r="2" spans="1:9" x14ac:dyDescent="0.15">
      <c r="A2" s="1" t="s">
        <v>3</v>
      </c>
      <c r="B2">
        <v>0.31967886542314761</v>
      </c>
    </row>
    <row r="3" spans="1:9" x14ac:dyDescent="0.15">
      <c r="A3" s="1" t="s">
        <v>27</v>
      </c>
      <c r="B3">
        <v>12</v>
      </c>
    </row>
    <row r="4" spans="1:9" x14ac:dyDescent="0.15">
      <c r="A4" s="1" t="s">
        <v>4</v>
      </c>
      <c r="B4">
        <f>SUM(D8:D23)</f>
        <v>-1519.8064999238027</v>
      </c>
    </row>
    <row r="7" spans="1:9" x14ac:dyDescent="0.15">
      <c r="A7" t="s">
        <v>0</v>
      </c>
      <c r="B7" t="s">
        <v>1</v>
      </c>
      <c r="C7" s="1" t="s">
        <v>10</v>
      </c>
      <c r="D7" s="1" t="s">
        <v>4</v>
      </c>
      <c r="E7" s="1" t="s">
        <v>28</v>
      </c>
      <c r="G7" s="1" t="s">
        <v>0</v>
      </c>
      <c r="H7" s="1" t="s">
        <v>22</v>
      </c>
      <c r="I7" s="1" t="s">
        <v>29</v>
      </c>
    </row>
    <row r="8" spans="1:9" x14ac:dyDescent="0.15">
      <c r="A8">
        <v>0</v>
      </c>
      <c r="B8">
        <v>1650</v>
      </c>
      <c r="C8">
        <f>(B2/(B3+B2))^B1</f>
        <v>0.67434538400677968</v>
      </c>
      <c r="D8">
        <f>LN(C8)*B8</f>
        <v>-650.12121923553855</v>
      </c>
      <c r="E8">
        <f>C8*1923</f>
        <v>1296.7661734450373</v>
      </c>
      <c r="G8">
        <v>0</v>
      </c>
      <c r="H8">
        <f>C8*1923</f>
        <v>1296.7661734450373</v>
      </c>
      <c r="I8" s="1">
        <v>1650</v>
      </c>
    </row>
    <row r="9" spans="1:9" x14ac:dyDescent="0.15">
      <c r="A9">
        <v>1</v>
      </c>
      <c r="B9">
        <v>138</v>
      </c>
      <c r="C9">
        <f>C8*$B$3/A9 * ($B$1+A8)/($B$2+$B$3)</f>
        <v>7.0874031634460571E-2</v>
      </c>
      <c r="D9">
        <f t="shared" ref="D9:D23" si="0">LN(C9)*B9</f>
        <v>-365.26546284461028</v>
      </c>
      <c r="E9">
        <f t="shared" ref="E9:E23" si="1">C9*1923</f>
        <v>136.29076283306767</v>
      </c>
      <c r="G9">
        <v>1</v>
      </c>
      <c r="H9">
        <f t="shared" ref="H9:H12" si="2">C9*1923</f>
        <v>136.29076283306767</v>
      </c>
      <c r="I9">
        <v>138</v>
      </c>
    </row>
    <row r="10" spans="1:9" x14ac:dyDescent="0.15">
      <c r="A10">
        <v>2</v>
      </c>
      <c r="B10">
        <v>55</v>
      </c>
      <c r="C10">
        <f t="shared" ref="C10:C23" si="3">C9*$B$3/A10 * ($B$1+A9)/($B$2+$B$3)</f>
        <v>3.8241921381766818E-2</v>
      </c>
      <c r="D10">
        <f t="shared" si="0"/>
        <v>-179.51026206971557</v>
      </c>
      <c r="E10">
        <f t="shared" si="1"/>
        <v>73.539214817137591</v>
      </c>
      <c r="G10">
        <v>2</v>
      </c>
      <c r="H10">
        <f t="shared" si="2"/>
        <v>73.539214817137591</v>
      </c>
      <c r="I10">
        <v>55</v>
      </c>
    </row>
    <row r="11" spans="1:9" x14ac:dyDescent="0.15">
      <c r="A11">
        <v>3</v>
      </c>
      <c r="B11">
        <v>30</v>
      </c>
      <c r="C11">
        <f t="shared" si="3"/>
        <v>2.6172812033944753E-2</v>
      </c>
      <c r="D11">
        <f t="shared" si="0"/>
        <v>-109.29102346906558</v>
      </c>
      <c r="E11">
        <f t="shared" si="1"/>
        <v>50.330317541275761</v>
      </c>
      <c r="G11">
        <v>3</v>
      </c>
      <c r="H11">
        <f t="shared" si="2"/>
        <v>50.330317541275761</v>
      </c>
      <c r="I11">
        <v>30</v>
      </c>
    </row>
    <row r="12" spans="1:9" x14ac:dyDescent="0.15">
      <c r="A12">
        <v>4</v>
      </c>
      <c r="B12">
        <v>15</v>
      </c>
      <c r="C12">
        <f t="shared" si="3"/>
        <v>1.9807941296824859E-2</v>
      </c>
      <c r="D12">
        <f t="shared" si="0"/>
        <v>-58.825085191406252</v>
      </c>
      <c r="E12">
        <f t="shared" si="1"/>
        <v>38.090671113794201</v>
      </c>
      <c r="G12">
        <v>4</v>
      </c>
      <c r="H12">
        <f t="shared" si="2"/>
        <v>38.090671113794201</v>
      </c>
      <c r="I12">
        <v>14</v>
      </c>
    </row>
    <row r="13" spans="1:9" x14ac:dyDescent="0.15">
      <c r="A13">
        <v>5</v>
      </c>
      <c r="B13">
        <v>10</v>
      </c>
      <c r="C13">
        <f t="shared" si="3"/>
        <v>1.5851526661969199E-2</v>
      </c>
      <c r="D13">
        <f t="shared" si="0"/>
        <v>-41.444894639301175</v>
      </c>
      <c r="E13">
        <f t="shared" si="1"/>
        <v>30.482485770966772</v>
      </c>
      <c r="G13" s="1" t="s">
        <v>11</v>
      </c>
      <c r="H13">
        <f>1923 - SUM(H8:H12)</f>
        <v>327.98286024968729</v>
      </c>
      <c r="I13">
        <v>35</v>
      </c>
    </row>
    <row r="14" spans="1:9" x14ac:dyDescent="0.15">
      <c r="A14">
        <v>6</v>
      </c>
      <c r="B14">
        <v>8</v>
      </c>
      <c r="C14">
        <f t="shared" si="3"/>
        <v>1.314450151087105E-2</v>
      </c>
      <c r="D14">
        <f t="shared" si="0"/>
        <v>-34.654013950856431</v>
      </c>
      <c r="E14">
        <f t="shared" si="1"/>
        <v>25.27687640540503</v>
      </c>
    </row>
    <row r="15" spans="1:9" x14ac:dyDescent="0.15">
      <c r="A15">
        <v>7</v>
      </c>
      <c r="B15">
        <v>4</v>
      </c>
      <c r="C15">
        <f t="shared" si="3"/>
        <v>1.1171715901686967E-2</v>
      </c>
      <c r="D15">
        <f t="shared" si="0"/>
        <v>-17.977480242868339</v>
      </c>
      <c r="E15">
        <f t="shared" si="1"/>
        <v>21.483209678944036</v>
      </c>
    </row>
    <row r="16" spans="1:9" x14ac:dyDescent="0.15">
      <c r="A16">
        <v>8</v>
      </c>
      <c r="B16">
        <v>6</v>
      </c>
      <c r="C16">
        <f t="shared" si="3"/>
        <v>9.6683660756330253E-3</v>
      </c>
      <c r="D16">
        <f t="shared" si="0"/>
        <v>-27.833375713124347</v>
      </c>
      <c r="E16">
        <f t="shared" si="1"/>
        <v>18.592267963442307</v>
      </c>
    </row>
    <row r="17" spans="1:5" x14ac:dyDescent="0.15">
      <c r="A17">
        <v>9</v>
      </c>
      <c r="B17">
        <v>3</v>
      </c>
      <c r="C17">
        <f t="shared" si="3"/>
        <v>8.4840034802297782E-3</v>
      </c>
      <c r="D17">
        <f t="shared" si="0"/>
        <v>-14.308718496206478</v>
      </c>
      <c r="E17">
        <f t="shared" si="1"/>
        <v>16.314738692481864</v>
      </c>
    </row>
    <row r="18" spans="1:5" x14ac:dyDescent="0.15">
      <c r="A18">
        <v>10</v>
      </c>
      <c r="B18">
        <v>1</v>
      </c>
      <c r="C18">
        <f t="shared" si="3"/>
        <v>7.5266369380736775E-3</v>
      </c>
      <c r="D18">
        <f t="shared" si="0"/>
        <v>-4.8893069587053075</v>
      </c>
      <c r="E18">
        <f t="shared" si="1"/>
        <v>14.473722831915682</v>
      </c>
    </row>
    <row r="19" spans="1:5" x14ac:dyDescent="0.15">
      <c r="A19">
        <v>11</v>
      </c>
      <c r="B19">
        <v>0</v>
      </c>
      <c r="C19">
        <f t="shared" si="3"/>
        <v>6.736760271467278E-3</v>
      </c>
      <c r="D19">
        <f t="shared" si="0"/>
        <v>0</v>
      </c>
      <c r="E19">
        <f t="shared" si="1"/>
        <v>12.954790002031576</v>
      </c>
    </row>
    <row r="20" spans="1:5" x14ac:dyDescent="0.15">
      <c r="A20">
        <v>12</v>
      </c>
      <c r="B20">
        <v>1</v>
      </c>
      <c r="C20">
        <f t="shared" si="3"/>
        <v>6.0741243872086681E-3</v>
      </c>
      <c r="D20">
        <f t="shared" si="0"/>
        <v>-5.1037174339366098</v>
      </c>
      <c r="E20">
        <f t="shared" si="1"/>
        <v>11.680541196602269</v>
      </c>
    </row>
    <row r="21" spans="1:5" x14ac:dyDescent="0.15">
      <c r="A21">
        <v>13</v>
      </c>
      <c r="B21">
        <v>1</v>
      </c>
      <c r="C21">
        <f t="shared" si="3"/>
        <v>5.5105002444565529E-3</v>
      </c>
      <c r="D21">
        <f t="shared" si="0"/>
        <v>-5.2010998714707233</v>
      </c>
      <c r="E21">
        <f t="shared" si="1"/>
        <v>10.596691970089951</v>
      </c>
    </row>
    <row r="22" spans="1:5" x14ac:dyDescent="0.15">
      <c r="A22">
        <v>14</v>
      </c>
      <c r="B22">
        <v>0</v>
      </c>
      <c r="C22">
        <f t="shared" si="3"/>
        <v>5.0254849930421158E-3</v>
      </c>
      <c r="D22">
        <f t="shared" si="0"/>
        <v>0</v>
      </c>
      <c r="E22">
        <f t="shared" si="1"/>
        <v>9.6640076416199889</v>
      </c>
    </row>
    <row r="23" spans="1:5" x14ac:dyDescent="0.15">
      <c r="A23">
        <v>15</v>
      </c>
      <c r="B23">
        <v>1</v>
      </c>
      <c r="C23">
        <f t="shared" si="3"/>
        <v>4.6039538733308703E-3</v>
      </c>
      <c r="D23">
        <f t="shared" si="0"/>
        <v>-5.380839806997435</v>
      </c>
      <c r="E23">
        <f t="shared" si="1"/>
        <v>8.8534032984152642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1A0D-EB80-244C-8539-AC481D332828}">
  <dimension ref="A1:I31"/>
  <sheetViews>
    <sheetView zoomScale="117" zoomScaleNormal="75" workbookViewId="0">
      <selection activeCell="H30" sqref="H30"/>
    </sheetView>
  </sheetViews>
  <sheetFormatPr baseColWidth="10" defaultRowHeight="13" x14ac:dyDescent="0.15"/>
  <cols>
    <col min="1" max="1" width="19.33203125" bestFit="1" customWidth="1"/>
    <col min="4" max="4" width="16.1640625" bestFit="1" customWidth="1"/>
    <col min="8" max="8" width="12.33203125" bestFit="1" customWidth="1"/>
  </cols>
  <sheetData>
    <row r="1" spans="1:9" x14ac:dyDescent="0.15">
      <c r="A1" s="1" t="s">
        <v>33</v>
      </c>
      <c r="B1">
        <v>0.33300000000000002</v>
      </c>
      <c r="D1" s="1" t="s">
        <v>2</v>
      </c>
      <c r="E1">
        <f>B2*E2</f>
        <v>0.25323567205706016</v>
      </c>
      <c r="G1" s="1" t="s">
        <v>31</v>
      </c>
      <c r="H1">
        <f xml:space="preserve"> (E2/(E2 + 1))^E1</f>
        <v>0.66700000000000004</v>
      </c>
    </row>
    <row r="2" spans="1:9" x14ac:dyDescent="0.15">
      <c r="A2" s="1" t="s">
        <v>30</v>
      </c>
      <c r="B2">
        <v>1</v>
      </c>
      <c r="D2" s="1" t="s">
        <v>3</v>
      </c>
      <c r="E2">
        <v>0.25323567205706016</v>
      </c>
      <c r="G2" s="1" t="s">
        <v>32</v>
      </c>
      <c r="H2">
        <f>(H1-B3)^2</f>
        <v>0</v>
      </c>
    </row>
    <row r="3" spans="1:9" x14ac:dyDescent="0.15">
      <c r="A3" s="1" t="s">
        <v>9</v>
      </c>
      <c r="B3">
        <f>1 - B1</f>
        <v>0.66700000000000004</v>
      </c>
    </row>
    <row r="5" spans="1:9" x14ac:dyDescent="0.15">
      <c r="A5" s="1" t="s">
        <v>0</v>
      </c>
      <c r="B5" s="1" t="s">
        <v>10</v>
      </c>
      <c r="C5" s="1" t="s">
        <v>35</v>
      </c>
      <c r="D5" s="1" t="s">
        <v>41</v>
      </c>
      <c r="E5" s="1" t="s">
        <v>34</v>
      </c>
      <c r="G5" s="1" t="s">
        <v>36</v>
      </c>
      <c r="H5" s="1" t="s">
        <v>38</v>
      </c>
    </row>
    <row r="6" spans="1:9" x14ac:dyDescent="0.15">
      <c r="A6">
        <v>0</v>
      </c>
      <c r="B6">
        <f xml:space="preserve"> (E2/(E2+1))^E1</f>
        <v>0.66700000000000004</v>
      </c>
      <c r="C6">
        <f>B6*A6</f>
        <v>0</v>
      </c>
      <c r="D6">
        <f>C6</f>
        <v>0</v>
      </c>
      <c r="E6">
        <f>B6</f>
        <v>0.66700000000000004</v>
      </c>
      <c r="G6">
        <v>0</v>
      </c>
      <c r="H6">
        <f>_xlfn.GAMMA.DIST(_xlfn.GAMMA.INV(G6, $E$1, 1), $E$1 + 1, 1,TRUE )</f>
        <v>0</v>
      </c>
      <c r="I6" s="1"/>
    </row>
    <row r="7" spans="1:9" x14ac:dyDescent="0.15">
      <c r="A7" s="1">
        <v>1</v>
      </c>
      <c r="B7" s="1">
        <f xml:space="preserve"> B6 * 1 / A7 * ($E$1 + A6) / ($E$2 + 1)</f>
        <v>0.13477767751759998</v>
      </c>
      <c r="C7">
        <f t="shared" ref="C7:C29" si="0">B7*A7</f>
        <v>0.13477767751759998</v>
      </c>
      <c r="D7">
        <f>D6+C7</f>
        <v>0.13477767751759998</v>
      </c>
      <c r="E7">
        <f>E6+B8</f>
        <v>0.73438883875880001</v>
      </c>
      <c r="G7">
        <v>0.1</v>
      </c>
      <c r="H7">
        <f>_xlfn.GAMMA.DIST(_xlfn.GAMMA.INV(G7, $E$1, 1), $E$1 + 1, 1,TRUE )</f>
        <v>6.0716310373332959E-6</v>
      </c>
    </row>
    <row r="8" spans="1:9" x14ac:dyDescent="0.15">
      <c r="A8">
        <v>2</v>
      </c>
      <c r="B8" s="1">
        <f t="shared" ref="B8:B65" si="1" xml:space="preserve"> B7 * 1 / A8 * ($E$1 + A7) / ($E$2 + 1)</f>
        <v>6.7388838758799988E-2</v>
      </c>
      <c r="C8">
        <f t="shared" si="0"/>
        <v>0.13477767751759998</v>
      </c>
      <c r="D8">
        <f>D7+C8</f>
        <v>0.26955535503519995</v>
      </c>
      <c r="E8">
        <f t="shared" ref="E8:E29" si="2">E7+B9</f>
        <v>0.77477574516845527</v>
      </c>
      <c r="G8">
        <v>0.2</v>
      </c>
      <c r="H8">
        <f t="shared" ref="H7:H16" si="3">_xlfn.GAMMA.DIST(_xlfn.GAMMA.INV(G8, $E$1, 1), $E$1 + 1, 1,TRUE )</f>
        <v>1.8762118550043547E-4</v>
      </c>
    </row>
    <row r="9" spans="1:9" x14ac:dyDescent="0.15">
      <c r="A9">
        <v>3</v>
      </c>
      <c r="B9" s="1">
        <f t="shared" si="1"/>
        <v>4.038690640965522E-2</v>
      </c>
      <c r="C9">
        <f t="shared" si="0"/>
        <v>0.12116071922896565</v>
      </c>
      <c r="D9">
        <f>D8+C9</f>
        <v>0.3907160742641656</v>
      </c>
      <c r="E9">
        <f t="shared" si="2"/>
        <v>0.80098552508962917</v>
      </c>
      <c r="G9">
        <v>0.3</v>
      </c>
      <c r="H9">
        <f t="shared" si="3"/>
        <v>1.3984208911342424E-3</v>
      </c>
    </row>
    <row r="10" spans="1:9" x14ac:dyDescent="0.15">
      <c r="A10">
        <v>4</v>
      </c>
      <c r="B10" s="1">
        <f t="shared" si="1"/>
        <v>2.6209779921173945E-2</v>
      </c>
      <c r="C10">
        <f t="shared" si="0"/>
        <v>0.10483911968469578</v>
      </c>
      <c r="D10">
        <f t="shared" ref="D8:D29" si="4">D9+C10</f>
        <v>0.49555519394886138</v>
      </c>
      <c r="E10">
        <f t="shared" si="2"/>
        <v>0.81877569391470328</v>
      </c>
      <c r="G10">
        <v>0.4</v>
      </c>
      <c r="H10">
        <f t="shared" si="3"/>
        <v>5.8391360702242821E-3</v>
      </c>
    </row>
    <row r="11" spans="1:9" x14ac:dyDescent="0.15">
      <c r="A11">
        <v>5</v>
      </c>
      <c r="B11" s="1">
        <f t="shared" si="1"/>
        <v>1.7790168825074164E-2</v>
      </c>
      <c r="C11">
        <f t="shared" si="0"/>
        <v>8.8950844125370826E-2</v>
      </c>
      <c r="D11">
        <f t="shared" si="4"/>
        <v>0.58450603807423218</v>
      </c>
      <c r="E11">
        <f t="shared" si="2"/>
        <v>0.83120431522506422</v>
      </c>
      <c r="G11">
        <v>0.5</v>
      </c>
      <c r="H11">
        <f>_xlfn.GAMMA.DIST(_xlfn.GAMMA.INV(G11, $E$1, 1), $E$1 + 1, 1,TRUE )</f>
        <v>1.7825609659425774E-2</v>
      </c>
    </row>
    <row r="12" spans="1:9" x14ac:dyDescent="0.15">
      <c r="A12">
        <v>6</v>
      </c>
      <c r="B12" s="1">
        <f t="shared" si="1"/>
        <v>1.2428621310360898E-2</v>
      </c>
      <c r="C12">
        <f t="shared" si="0"/>
        <v>7.4571727862165385E-2</v>
      </c>
      <c r="D12">
        <f t="shared" si="4"/>
        <v>0.65907776593639755</v>
      </c>
      <c r="E12">
        <f t="shared" si="2"/>
        <v>0.84006356536626858</v>
      </c>
      <c r="G12">
        <v>0.6</v>
      </c>
      <c r="H12">
        <f t="shared" si="3"/>
        <v>4.4919131967653764E-2</v>
      </c>
    </row>
    <row r="13" spans="1:9" x14ac:dyDescent="0.15">
      <c r="A13">
        <v>7</v>
      </c>
      <c r="B13" s="1">
        <f t="shared" si="1"/>
        <v>8.8592501412044014E-3</v>
      </c>
      <c r="C13">
        <f t="shared" si="0"/>
        <v>6.201475098843081E-2</v>
      </c>
      <c r="D13">
        <f t="shared" si="4"/>
        <v>0.72109251692482834</v>
      </c>
      <c r="E13">
        <f t="shared" si="2"/>
        <v>0.84647279774216988</v>
      </c>
      <c r="G13">
        <v>0.7</v>
      </c>
      <c r="H13">
        <f t="shared" si="3"/>
        <v>0.10009119549502045</v>
      </c>
    </row>
    <row r="14" spans="1:9" x14ac:dyDescent="0.15">
      <c r="A14">
        <v>8</v>
      </c>
      <c r="B14" s="1">
        <f t="shared" si="1"/>
        <v>6.4092323759013031E-3</v>
      </c>
      <c r="C14">
        <f t="shared" si="0"/>
        <v>5.1273859007210425E-2</v>
      </c>
      <c r="D14">
        <f t="shared" si="4"/>
        <v>0.77236637593203872</v>
      </c>
      <c r="E14">
        <f t="shared" si="2"/>
        <v>0.85116260513476483</v>
      </c>
      <c r="G14">
        <v>0.8</v>
      </c>
      <c r="H14">
        <f t="shared" si="3"/>
        <v>0.20702573227795146</v>
      </c>
    </row>
    <row r="15" spans="1:9" x14ac:dyDescent="0.15">
      <c r="A15">
        <v>9</v>
      </c>
      <c r="B15" s="1">
        <f t="shared" si="1"/>
        <v>4.6898073925949104E-3</v>
      </c>
      <c r="C15">
        <f t="shared" si="0"/>
        <v>4.2208266533354195E-2</v>
      </c>
      <c r="D15">
        <f t="shared" si="4"/>
        <v>0.81457464246539291</v>
      </c>
      <c r="E15">
        <f t="shared" si="2"/>
        <v>0.85462531322932511</v>
      </c>
      <c r="G15">
        <v>0.9</v>
      </c>
      <c r="H15">
        <f t="shared" si="3"/>
        <v>0.41813536514249255</v>
      </c>
    </row>
    <row r="16" spans="1:9" x14ac:dyDescent="0.15">
      <c r="A16">
        <v>10</v>
      </c>
      <c r="B16" s="1">
        <f t="shared" si="1"/>
        <v>3.4627080945602317E-3</v>
      </c>
      <c r="C16">
        <f t="shared" si="0"/>
        <v>3.4627080945602316E-2</v>
      </c>
      <c r="D16">
        <f t="shared" si="4"/>
        <v>0.8492017234109952</v>
      </c>
      <c r="E16">
        <f t="shared" si="2"/>
        <v>0.85720075294536169</v>
      </c>
      <c r="G16">
        <v>0.92449999999999999</v>
      </c>
      <c r="H16">
        <f t="shared" si="3"/>
        <v>0.49983494565551517</v>
      </c>
    </row>
    <row r="17" spans="1:9" x14ac:dyDescent="0.15">
      <c r="A17">
        <f>A16+1</f>
        <v>11</v>
      </c>
      <c r="B17" s="1">
        <f t="shared" si="1"/>
        <v>2.5754397160366294E-3</v>
      </c>
      <c r="C17">
        <f t="shared" si="0"/>
        <v>2.8329836876402923E-2</v>
      </c>
      <c r="D17">
        <f t="shared" si="4"/>
        <v>0.87753156028739809</v>
      </c>
      <c r="E17">
        <f t="shared" si="2"/>
        <v>0.8591278997921159</v>
      </c>
      <c r="G17">
        <v>1</v>
      </c>
      <c r="H17">
        <v>1</v>
      </c>
    </row>
    <row r="18" spans="1:9" x14ac:dyDescent="0.15">
      <c r="A18">
        <f t="shared" ref="A18:A65" si="5">A17+1</f>
        <v>12</v>
      </c>
      <c r="B18" s="1">
        <f t="shared" si="1"/>
        <v>1.9271468467542115E-3</v>
      </c>
      <c r="C18">
        <f t="shared" si="0"/>
        <v>2.3125762161050539E-2</v>
      </c>
      <c r="D18">
        <f t="shared" si="4"/>
        <v>0.90065732244844865</v>
      </c>
      <c r="E18">
        <f t="shared" si="2"/>
        <v>0.86057730392344689</v>
      </c>
    </row>
    <row r="19" spans="1:9" x14ac:dyDescent="0.15">
      <c r="A19">
        <f t="shared" si="5"/>
        <v>13</v>
      </c>
      <c r="B19" s="1">
        <f t="shared" si="1"/>
        <v>1.4494041313309679E-3</v>
      </c>
      <c r="C19">
        <f t="shared" si="0"/>
        <v>1.8842253707302581E-2</v>
      </c>
      <c r="D19">
        <f t="shared" si="4"/>
        <v>0.91949957615575117</v>
      </c>
      <c r="E19">
        <f t="shared" si="2"/>
        <v>0.86167214386256752</v>
      </c>
    </row>
    <row r="20" spans="1:9" x14ac:dyDescent="0.15">
      <c r="A20">
        <f t="shared" si="5"/>
        <v>14</v>
      </c>
      <c r="B20" s="1">
        <f t="shared" si="1"/>
        <v>1.094839939120625E-3</v>
      </c>
      <c r="C20">
        <f t="shared" si="0"/>
        <v>1.532775914768875E-2</v>
      </c>
      <c r="D20">
        <f t="shared" si="4"/>
        <v>0.93482733530343998</v>
      </c>
      <c r="E20">
        <f t="shared" si="2"/>
        <v>0.86250226235894756</v>
      </c>
      <c r="G20" s="1" t="s">
        <v>39</v>
      </c>
      <c r="H20" s="1" t="s">
        <v>40</v>
      </c>
      <c r="I20" s="1" t="s">
        <v>17</v>
      </c>
    </row>
    <row r="21" spans="1:9" x14ac:dyDescent="0.15">
      <c r="A21">
        <f t="shared" si="5"/>
        <v>15</v>
      </c>
      <c r="B21" s="1">
        <f t="shared" si="1"/>
        <v>8.3011849638000483E-4</v>
      </c>
      <c r="C21">
        <f t="shared" si="0"/>
        <v>1.2451777445700073E-2</v>
      </c>
      <c r="D21">
        <f t="shared" si="4"/>
        <v>0.94727911274914001</v>
      </c>
      <c r="E21">
        <f t="shared" si="2"/>
        <v>0.86313372744086203</v>
      </c>
      <c r="G21" s="1">
        <f>_xlfn.GAMMA.DIST(_xlfn.GAMMA.INV(H21, $E$1, 1), $E$1 + 1, 1,TRUE )</f>
        <v>0.49999999982254872</v>
      </c>
      <c r="H21">
        <v>0.92454447013363406</v>
      </c>
      <c r="I21">
        <f>(0.5 - G21)^2</f>
        <v>3.1488955316988703E-20</v>
      </c>
    </row>
    <row r="22" spans="1:9" x14ac:dyDescent="0.15">
      <c r="A22">
        <f t="shared" si="5"/>
        <v>16</v>
      </c>
      <c r="B22" s="1">
        <f t="shared" si="1"/>
        <v>6.3146508191444517E-4</v>
      </c>
      <c r="C22">
        <f t="shared" si="0"/>
        <v>1.0103441310631123E-2</v>
      </c>
      <c r="D22">
        <f t="shared" si="4"/>
        <v>0.95738255405977113</v>
      </c>
      <c r="E22">
        <f t="shared" si="2"/>
        <v>0.86361546166756475</v>
      </c>
    </row>
    <row r="23" spans="1:9" x14ac:dyDescent="0.15">
      <c r="A23">
        <f t="shared" si="5"/>
        <v>17</v>
      </c>
      <c r="B23" s="1">
        <f t="shared" si="1"/>
        <v>4.8173422670276127E-4</v>
      </c>
      <c r="C23">
        <f t="shared" si="0"/>
        <v>8.1894818539469411E-3</v>
      </c>
      <c r="D23">
        <f t="shared" si="4"/>
        <v>0.9655720359137181</v>
      </c>
      <c r="E23">
        <f t="shared" si="2"/>
        <v>0.86398390678438053</v>
      </c>
      <c r="G23" s="1" t="s">
        <v>43</v>
      </c>
      <c r="H23">
        <f>_xlfn.GAMMA.DIST(_xlfn.GAMMA.INV(0.5,$E$1+1,1),$E$1,1,TRUE)</f>
        <v>0.92454447018143437</v>
      </c>
    </row>
    <row r="24" spans="1:9" x14ac:dyDescent="0.15">
      <c r="A24">
        <f t="shared" si="5"/>
        <v>18</v>
      </c>
      <c r="B24" s="1">
        <f t="shared" si="1"/>
        <v>3.6844511681582938E-4</v>
      </c>
      <c r="C24">
        <f t="shared" si="0"/>
        <v>6.6320121026849288E-3</v>
      </c>
      <c r="D24">
        <f t="shared" si="4"/>
        <v>0.97220404801640303</v>
      </c>
      <c r="E24">
        <f t="shared" si="2"/>
        <v>0.86426634685864545</v>
      </c>
      <c r="G24" s="1" t="s">
        <v>44</v>
      </c>
      <c r="H24">
        <f>1-H23</f>
        <v>7.5455529818565625E-2</v>
      </c>
    </row>
    <row r="25" spans="1:9" x14ac:dyDescent="0.15">
      <c r="A25">
        <f t="shared" si="5"/>
        <v>19</v>
      </c>
      <c r="B25" s="1">
        <f t="shared" si="1"/>
        <v>2.8244007426493303E-4</v>
      </c>
      <c r="C25">
        <f t="shared" si="0"/>
        <v>5.3663614110337279E-3</v>
      </c>
      <c r="D25">
        <f t="shared" si="4"/>
        <v>0.97757040942743678</v>
      </c>
      <c r="E25">
        <f t="shared" si="2"/>
        <v>0.8644833006780388</v>
      </c>
    </row>
    <row r="26" spans="1:9" x14ac:dyDescent="0.15">
      <c r="A26">
        <f t="shared" si="5"/>
        <v>20</v>
      </c>
      <c r="B26" s="1">
        <f t="shared" si="1"/>
        <v>2.1695381939337523E-4</v>
      </c>
      <c r="C26">
        <f t="shared" si="0"/>
        <v>4.3390763878675045E-3</v>
      </c>
      <c r="D26">
        <f t="shared" si="4"/>
        <v>0.98190948581530424</v>
      </c>
      <c r="E26">
        <f t="shared" si="2"/>
        <v>0.86465025961603303</v>
      </c>
    </row>
    <row r="27" spans="1:9" x14ac:dyDescent="0.15">
      <c r="A27">
        <f t="shared" si="5"/>
        <v>21</v>
      </c>
      <c r="B27" s="1">
        <f t="shared" si="1"/>
        <v>1.669589379942742E-4</v>
      </c>
      <c r="C27">
        <f t="shared" si="0"/>
        <v>3.5061376978797582E-3</v>
      </c>
      <c r="D27">
        <f t="shared" si="4"/>
        <v>0.98541562351318401</v>
      </c>
      <c r="E27">
        <f t="shared" si="2"/>
        <v>0.86477895983999464</v>
      </c>
    </row>
    <row r="28" spans="1:9" x14ac:dyDescent="0.15">
      <c r="A28">
        <f t="shared" si="5"/>
        <v>22</v>
      </c>
      <c r="B28" s="1">
        <f t="shared" si="1"/>
        <v>1.2870022396158738E-4</v>
      </c>
      <c r="C28">
        <f t="shared" si="0"/>
        <v>2.8314049271549223E-3</v>
      </c>
      <c r="D28">
        <f t="shared" si="4"/>
        <v>0.98824702844033896</v>
      </c>
      <c r="E28">
        <f t="shared" si="2"/>
        <v>0.86487831990931863</v>
      </c>
    </row>
    <row r="29" spans="1:9" x14ac:dyDescent="0.15">
      <c r="A29">
        <f t="shared" si="5"/>
        <v>23</v>
      </c>
      <c r="B29" s="1">
        <f t="shared" si="1"/>
        <v>9.9360069324036323E-5</v>
      </c>
      <c r="C29">
        <f t="shared" si="0"/>
        <v>2.2852815944528356E-3</v>
      </c>
      <c r="D29">
        <f t="shared" si="4"/>
        <v>0.99053231003479181</v>
      </c>
      <c r="E29">
        <f t="shared" si="2"/>
        <v>0.86487831990931863</v>
      </c>
    </row>
    <row r="31" spans="1:9" x14ac:dyDescent="0.15">
      <c r="B31" s="1" t="s">
        <v>42</v>
      </c>
      <c r="C31">
        <f>1-E10</f>
        <v>0.18122430608529672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F786-0807-3C48-9353-5D174263E6DF}">
  <dimension ref="A1:K12"/>
  <sheetViews>
    <sheetView zoomScale="113" workbookViewId="0">
      <selection activeCell="G30" sqref="G30"/>
    </sheetView>
  </sheetViews>
  <sheetFormatPr baseColWidth="10" defaultRowHeight="13" x14ac:dyDescent="0.15"/>
  <cols>
    <col min="11" max="11" width="20.6640625" customWidth="1"/>
  </cols>
  <sheetData>
    <row r="1" spans="1:11" x14ac:dyDescent="0.15">
      <c r="A1" s="1" t="s">
        <v>46</v>
      </c>
      <c r="B1">
        <v>205</v>
      </c>
    </row>
    <row r="2" spans="1:11" x14ac:dyDescent="0.15">
      <c r="A2" s="1" t="s">
        <v>47</v>
      </c>
      <c r="B2">
        <v>360</v>
      </c>
    </row>
    <row r="3" spans="1:11" x14ac:dyDescent="0.15">
      <c r="A3" s="1" t="s">
        <v>45</v>
      </c>
      <c r="B3">
        <f xml:space="preserve"> B2 * (1 - (E6/(E6+30.5))^D6)</f>
        <v>292.34879745158764</v>
      </c>
    </row>
    <row r="5" spans="1:11" x14ac:dyDescent="0.15">
      <c r="A5" s="1" t="s">
        <v>48</v>
      </c>
      <c r="B5" s="1" t="s">
        <v>50</v>
      </c>
      <c r="D5" s="1" t="s">
        <v>2</v>
      </c>
      <c r="E5" s="1" t="s">
        <v>51</v>
      </c>
      <c r="J5" s="1"/>
      <c r="K5" s="1"/>
    </row>
    <row r="6" spans="1:11" ht="15" x14ac:dyDescent="0.2">
      <c r="A6">
        <f>B1/B2</f>
        <v>0.56944444444444442</v>
      </c>
      <c r="B6">
        <f>1-A6</f>
        <v>0.43055555555555558</v>
      </c>
      <c r="D6">
        <v>0.24482889420916001</v>
      </c>
      <c r="E6">
        <f>B6^(1/D6)/(1 - B6^(1/D6))</f>
        <v>3.3061601338862184E-2</v>
      </c>
      <c r="J6" s="2"/>
      <c r="K6" s="3"/>
    </row>
    <row r="7" spans="1:11" x14ac:dyDescent="0.15">
      <c r="D7" s="1" t="s">
        <v>52</v>
      </c>
      <c r="E7">
        <f>D6/E6</f>
        <v>7.405233996375622</v>
      </c>
    </row>
    <row r="8" spans="1:11" x14ac:dyDescent="0.15">
      <c r="A8" s="1"/>
      <c r="B8" s="1"/>
    </row>
    <row r="9" spans="1:11" x14ac:dyDescent="0.15">
      <c r="A9" s="1" t="s">
        <v>37</v>
      </c>
      <c r="B9" s="1" t="s">
        <v>38</v>
      </c>
      <c r="D9" s="1" t="s">
        <v>17</v>
      </c>
    </row>
    <row r="10" spans="1:11" x14ac:dyDescent="0.15">
      <c r="A10" s="1">
        <v>0.8</v>
      </c>
      <c r="B10" s="1">
        <f>_xlfn.GAMMA.DIST(_xlfn.GAMMA.INV(A10,D6,1),D6+1,1,TRUE)</f>
        <v>0.19999999999999993</v>
      </c>
      <c r="D10" s="1">
        <f>(0.2-B10)^2</f>
        <v>6.9333477997940491E-33</v>
      </c>
    </row>
    <row r="12" spans="1:11" x14ac:dyDescent="0.15">
      <c r="A12" s="1" t="s">
        <v>54</v>
      </c>
      <c r="B12">
        <f>B2*(1-(E6/(E6+1))^D6)</f>
        <v>205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EEDE-88E3-1D42-AA15-7E9D7F14B9B4}">
  <dimension ref="A1:K7"/>
  <sheetViews>
    <sheetView tabSelected="1" workbookViewId="0">
      <selection activeCell="G13" sqref="G13"/>
    </sheetView>
  </sheetViews>
  <sheetFormatPr baseColWidth="10" defaultRowHeight="13" x14ac:dyDescent="0.15"/>
  <cols>
    <col min="10" max="10" width="12.83203125" bestFit="1" customWidth="1"/>
  </cols>
  <sheetData>
    <row r="1" spans="1:11" x14ac:dyDescent="0.15">
      <c r="A1" s="1" t="s">
        <v>46</v>
      </c>
      <c r="B1">
        <v>205</v>
      </c>
    </row>
    <row r="2" spans="1:11" x14ac:dyDescent="0.15">
      <c r="A2" s="1" t="s">
        <v>45</v>
      </c>
      <c r="B2">
        <v>272</v>
      </c>
    </row>
    <row r="3" spans="1:11" x14ac:dyDescent="0.15">
      <c r="A3" s="1" t="s">
        <v>47</v>
      </c>
      <c r="B3">
        <v>360</v>
      </c>
    </row>
    <row r="5" spans="1:11" x14ac:dyDescent="0.15">
      <c r="A5" s="1" t="s">
        <v>48</v>
      </c>
      <c r="B5" s="1" t="s">
        <v>49</v>
      </c>
      <c r="D5" s="1" t="s">
        <v>50</v>
      </c>
      <c r="E5" s="1" t="s">
        <v>53</v>
      </c>
      <c r="G5" s="1" t="s">
        <v>2</v>
      </c>
      <c r="H5" s="1" t="s">
        <v>3</v>
      </c>
      <c r="J5" s="1" t="s">
        <v>55</v>
      </c>
      <c r="K5" s="1" t="s">
        <v>17</v>
      </c>
    </row>
    <row r="6" spans="1:11" x14ac:dyDescent="0.15">
      <c r="A6">
        <f>B1/B3</f>
        <v>0.56944444444444442</v>
      </c>
      <c r="B6">
        <f>B2/B3</f>
        <v>0.75555555555555554</v>
      </c>
      <c r="D6">
        <f>1-A6</f>
        <v>0.43055555555555558</v>
      </c>
      <c r="E6">
        <f>1-B6</f>
        <v>0.24444444444444446</v>
      </c>
      <c r="G6">
        <f>LN(D6)/(LN((7*H6)/((7*H6)+1)))</f>
        <v>0.16619565535551031</v>
      </c>
      <c r="H6">
        <v>9.0279662894693878E-4</v>
      </c>
      <c r="J6">
        <f>(H6/(H6+(13/3)))^G6</f>
        <v>0.24444444444444471</v>
      </c>
      <c r="K6">
        <f>(J6-E6)^2</f>
        <v>6.2400130198146442E-32</v>
      </c>
    </row>
    <row r="7" spans="1:11" x14ac:dyDescent="0.15">
      <c r="G7" s="1" t="s">
        <v>52</v>
      </c>
      <c r="H7">
        <f>G6/H6</f>
        <v>184.08980497564346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prescription</vt:lpstr>
      <vt:lpstr>1a</vt:lpstr>
      <vt:lpstr>1b</vt:lpstr>
      <vt:lpstr>1d</vt:lpstr>
      <vt:lpstr>2</vt:lpstr>
      <vt:lpstr>3a</vt:lpstr>
      <vt:lpstr>3b</vt:lpstr>
    </vt:vector>
  </TitlesOfParts>
  <Company>wharton.upenn.edu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Wu, Alan Liu</cp:lastModifiedBy>
  <dcterms:created xsi:type="dcterms:W3CDTF">2003-09-08T21:47:48Z</dcterms:created>
  <dcterms:modified xsi:type="dcterms:W3CDTF">2026-02-18T21:43:53Z</dcterms:modified>
</cp:coreProperties>
</file>